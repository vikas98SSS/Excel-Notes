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3.xml" ContentType="application/vnd.ms-excel.slicer+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5.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D:\Excel practice files\"/>
    </mc:Choice>
  </mc:AlternateContent>
  <xr:revisionPtr revIDLastSave="0" documentId="13_ncr:1_{4B0243B3-E24E-4480-998C-AA7964298331}" xr6:coauthVersionLast="47" xr6:coauthVersionMax="47" xr10:uidLastSave="{00000000-0000-0000-0000-000000000000}"/>
  <bookViews>
    <workbookView xWindow="410" yWindow="30" windowWidth="18750" windowHeight="10170" firstSheet="18" activeTab="18" xr2:uid="{12A483E8-A267-472B-8C56-E5BA2941DE05}"/>
  </bookViews>
  <sheets>
    <sheet name="fill zeros in Empty cells" sheetId="3" r:id="rId1"/>
    <sheet name="show values as" sheetId="4" r:id="rId2"/>
    <sheet name="Salesman" sheetId="7" r:id="rId3"/>
    <sheet name="grouping" sheetId="8" r:id="rId4"/>
    <sheet name="slicers" sheetId="9" r:id="rId5"/>
    <sheet name="Sheet2" sheetId="11" r:id="rId6"/>
    <sheet name="Map report" sheetId="26" r:id="rId7"/>
    <sheet name="Sheet1" sheetId="1" r:id="rId8"/>
    <sheet name="Sheet8" sheetId="17" r:id="rId9"/>
    <sheet name="City wise report" sheetId="20" r:id="rId10"/>
    <sheet name="Pivot" sheetId="19" r:id="rId11"/>
    <sheet name="New Data" sheetId="21" r:id="rId12"/>
    <sheet name="Sheet3" sheetId="22" r:id="rId13"/>
    <sheet name="Sheet4" sheetId="23" r:id="rId14"/>
    <sheet name="Sparklines" sheetId="27" r:id="rId15"/>
    <sheet name="Sheet6" sheetId="34" r:id="rId16"/>
    <sheet name="Charts" sheetId="28" r:id="rId17"/>
    <sheet name="Chart's Data" sheetId="39" r:id="rId18"/>
    <sheet name="Page layout" sheetId="29" r:id="rId19"/>
    <sheet name="Power Pivot" sheetId="30" r:id="rId20"/>
    <sheet name="Conditional Functions" sheetId="31" r:id="rId21"/>
    <sheet name="Logical functions" sheetId="32" r:id="rId22"/>
    <sheet name="Vlookup" sheetId="35" r:id="rId23"/>
    <sheet name="vlookup 2" sheetId="36" r:id="rId24"/>
    <sheet name="V-lookup with match" sheetId="37" r:id="rId25"/>
    <sheet name="Sheet11" sheetId="38" r:id="rId26"/>
    <sheet name="HLookup" sheetId="40" r:id="rId27"/>
  </sheets>
  <definedNames>
    <definedName name="_xlnm._FilterDatabase" localSheetId="18" hidden="1">'Page layout'!$A$1:$K$1044</definedName>
    <definedName name="_xlchart.v1.0" hidden="1">'Map report'!$G$5:$H$19</definedName>
    <definedName name="_xlchart.v1.1" hidden="1">'Map report'!$I$4</definedName>
    <definedName name="_xlchart.v1.2" hidden="1">'Map report'!$I$5:$I$19</definedName>
    <definedName name="_xlchart.v1.3" hidden="1">Charts!$A$2:$A$17</definedName>
    <definedName name="_xlchart.v1.4" hidden="1">Charts!$B$1</definedName>
    <definedName name="_xlchart.v1.5" hidden="1">Charts!$B$2:$B$17</definedName>
    <definedName name="_xlcn.WorksheetConnection_Excelpractice1.xlsxProduct_info1" hidden="1">Product_info[]</definedName>
    <definedName name="_xlcn.WorksheetConnection_Excelpractice1.xlsxSales1" hidden="1">Sales[]</definedName>
    <definedName name="Emp_Type">'vlookup 2'!$H$2:$I$8</definedName>
    <definedName name="Slicer_AGE">#N/A</definedName>
    <definedName name="Slicer_City">#N/A</definedName>
    <definedName name="Slicer_City1">#N/A</definedName>
    <definedName name="Slicer_Product">#N/A</definedName>
    <definedName name="Slicer_Product1">#N/A</definedName>
    <definedName name="Slicer_State">#N/A</definedName>
  </definedNames>
  <calcPr calcId="191029"/>
  <pivotCaches>
    <pivotCache cacheId="0" r:id="rId28"/>
    <pivotCache cacheId="1" r:id="rId29"/>
    <pivotCache cacheId="2" r:id="rId30"/>
    <pivotCache cacheId="3" r:id="rId31"/>
    <pivotCache cacheId="4" r:id="rId32"/>
    <pivotCache cacheId="5" r:id="rId33"/>
  </pivotCaches>
  <extLst>
    <ext xmlns:x14="http://schemas.microsoft.com/office/spreadsheetml/2009/9/main" uri="{BBE1A952-AA13-448e-AADC-164F8A28A991}">
      <x14:slicerCaches>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Excel practice 1.xlsx!Sales"/>
          <x15:modelTable id="Product_info" name="Product_info" connection="WorksheetConnection_Excel practice 1.xlsx!Product_info"/>
        </x15:modelTables>
        <x15:modelRelationships>
          <x15:modelRelationship fromTable="Sales" fromColumn="Product ID" toTable="Product_info"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1" i="35" l="1"/>
  <c r="S52" i="35"/>
  <c r="S53" i="35"/>
  <c r="S50" i="35"/>
  <c r="J26" i="35"/>
  <c r="K26" i="35"/>
  <c r="L26" i="35"/>
  <c r="M26" i="35"/>
  <c r="J27" i="35"/>
  <c r="K27" i="35"/>
  <c r="L27" i="35"/>
  <c r="M27" i="35"/>
  <c r="J28" i="35"/>
  <c r="K28" i="35"/>
  <c r="L28" i="35"/>
  <c r="M28" i="35"/>
  <c r="J29" i="35"/>
  <c r="K29" i="35"/>
  <c r="L29" i="35"/>
  <c r="M29" i="35"/>
  <c r="J30" i="35"/>
  <c r="K30" i="35"/>
  <c r="L30" i="35"/>
  <c r="M30" i="35"/>
  <c r="J31" i="35"/>
  <c r="K31" i="35"/>
  <c r="L31" i="35"/>
  <c r="M31" i="35"/>
  <c r="J32" i="35"/>
  <c r="K32" i="35"/>
  <c r="L32" i="35"/>
  <c r="M32" i="35"/>
  <c r="J33" i="35"/>
  <c r="K33" i="35"/>
  <c r="L33" i="35"/>
  <c r="M33" i="35"/>
  <c r="J34" i="35"/>
  <c r="K34" i="35"/>
  <c r="L34" i="35"/>
  <c r="M34" i="35"/>
  <c r="J35" i="35"/>
  <c r="K35" i="35"/>
  <c r="L35" i="35"/>
  <c r="M35" i="35"/>
  <c r="J36" i="35"/>
  <c r="K36" i="35"/>
  <c r="L36" i="35"/>
  <c r="M36" i="35"/>
  <c r="K25" i="35"/>
  <c r="L25" i="35"/>
  <c r="M25" i="35"/>
  <c r="J25" i="35"/>
  <c r="I4" i="35"/>
  <c r="I5" i="35"/>
  <c r="I6" i="35"/>
  <c r="I7" i="35"/>
  <c r="G3" i="35"/>
  <c r="L7" i="35"/>
  <c r="L6" i="35"/>
  <c r="L5" i="35"/>
  <c r="L4" i="35"/>
  <c r="L14" i="32"/>
  <c r="M7" i="32"/>
  <c r="N8" i="32"/>
  <c r="N9" i="32"/>
  <c r="N10" i="32"/>
  <c r="N11" i="32"/>
  <c r="M8" i="32"/>
  <c r="M9" i="32"/>
  <c r="M10" i="32"/>
  <c r="M11" i="32"/>
  <c r="C20" i="38"/>
  <c r="F2" i="35"/>
  <c r="H33" i="37"/>
  <c r="H7" i="40"/>
  <c r="F27" i="35"/>
  <c r="C27" i="35"/>
  <c r="D27" i="35"/>
  <c r="E27" i="35"/>
  <c r="F28" i="35"/>
  <c r="C28" i="35"/>
  <c r="D28" i="35"/>
  <c r="E28" i="35"/>
  <c r="F29" i="35"/>
  <c r="C29" i="35"/>
  <c r="D29" i="35"/>
  <c r="E29" i="35"/>
  <c r="F30" i="35"/>
  <c r="C30" i="35"/>
  <c r="D30" i="35"/>
  <c r="E30" i="35"/>
  <c r="F31" i="35"/>
  <c r="C31" i="35"/>
  <c r="D31" i="35"/>
  <c r="E31" i="35"/>
  <c r="F32" i="35"/>
  <c r="C32" i="35"/>
  <c r="D32" i="35"/>
  <c r="E32" i="35"/>
  <c r="F33" i="35"/>
  <c r="C33" i="35"/>
  <c r="D33" i="35"/>
  <c r="E33" i="35"/>
  <c r="F34" i="35"/>
  <c r="C34" i="35"/>
  <c r="D34" i="35"/>
  <c r="E34" i="35"/>
  <c r="F35" i="35"/>
  <c r="C35" i="35"/>
  <c r="D35" i="35"/>
  <c r="E35" i="35"/>
  <c r="F36" i="35"/>
  <c r="C36" i="35"/>
  <c r="D36" i="35"/>
  <c r="E36" i="35"/>
  <c r="F37" i="35"/>
  <c r="C37" i="35"/>
  <c r="D37" i="35"/>
  <c r="E37" i="35"/>
  <c r="C26" i="35"/>
  <c r="D26" i="35"/>
  <c r="E26" i="35"/>
  <c r="F26" i="35"/>
  <c r="L14" i="36"/>
  <c r="L13" i="36"/>
  <c r="F3" i="36"/>
  <c r="F4" i="36"/>
  <c r="F5" i="36"/>
  <c r="F6" i="36"/>
  <c r="F7" i="36"/>
  <c r="F8" i="36"/>
  <c r="F9" i="36"/>
  <c r="F10" i="36"/>
  <c r="F11" i="36"/>
  <c r="F12" i="36"/>
  <c r="F13" i="36"/>
  <c r="F2" i="36"/>
  <c r="H5" i="40"/>
  <c r="J10" i="35"/>
  <c r="K10" i="35"/>
  <c r="J11" i="35"/>
  <c r="K11" i="35"/>
  <c r="L11" i="35"/>
  <c r="M11" i="35"/>
  <c r="J12" i="35"/>
  <c r="K12" i="35"/>
  <c r="L12" i="35"/>
  <c r="M12" i="35"/>
  <c r="J13" i="35"/>
  <c r="K13" i="35"/>
  <c r="L13" i="35"/>
  <c r="M13" i="35"/>
  <c r="J14" i="35"/>
  <c r="K14" i="35"/>
  <c r="L14" i="35"/>
  <c r="M14" i="35"/>
  <c r="J15" i="35"/>
  <c r="K15" i="35"/>
  <c r="L15" i="35"/>
  <c r="M15" i="35"/>
  <c r="J16" i="35"/>
  <c r="K16" i="35"/>
  <c r="L16" i="35"/>
  <c r="M16" i="35"/>
  <c r="J17" i="35"/>
  <c r="K17" i="35"/>
  <c r="L17" i="35"/>
  <c r="M17" i="35"/>
  <c r="J18" i="35"/>
  <c r="K18" i="35"/>
  <c r="L18" i="35"/>
  <c r="M18" i="35"/>
  <c r="J19" i="35"/>
  <c r="K19" i="35"/>
  <c r="L19" i="35"/>
  <c r="M19" i="35"/>
  <c r="J20" i="35"/>
  <c r="K20" i="35"/>
  <c r="L20" i="35"/>
  <c r="M20" i="35"/>
  <c r="J21" i="35"/>
  <c r="K21" i="35"/>
  <c r="L21" i="35"/>
  <c r="M21" i="35"/>
  <c r="L10" i="35"/>
  <c r="M10" i="35"/>
  <c r="E18" i="35"/>
  <c r="L10" i="37"/>
  <c r="J10" i="37"/>
  <c r="I5" i="37" a="1"/>
  <c r="I5" i="37" s="1"/>
  <c r="G2" i="36"/>
  <c r="I4" i="31"/>
  <c r="D3" i="32"/>
  <c r="D4" i="32"/>
  <c r="D5" i="32"/>
  <c r="D6" i="32"/>
  <c r="D7" i="32"/>
  <c r="D8" i="32"/>
  <c r="D9" i="32"/>
  <c r="D10" i="32"/>
  <c r="D11" i="32"/>
  <c r="D12" i="32"/>
  <c r="D13" i="32"/>
  <c r="D2" i="32"/>
  <c r="D3" i="31"/>
  <c r="D4" i="31"/>
  <c r="D5" i="31"/>
  <c r="D6" i="31"/>
  <c r="D7" i="31"/>
  <c r="D8" i="31"/>
  <c r="D9" i="31"/>
  <c r="D10" i="31"/>
  <c r="D11" i="31"/>
  <c r="D12" i="31"/>
  <c r="D13" i="31"/>
  <c r="D2" i="31"/>
  <c r="C2" i="31"/>
  <c r="C3" i="31"/>
  <c r="C4" i="31"/>
  <c r="C5" i="31"/>
  <c r="C6" i="31"/>
  <c r="C7" i="31"/>
  <c r="C8" i="31"/>
  <c r="C9" i="31"/>
  <c r="C10" i="31"/>
  <c r="C11" i="31"/>
  <c r="C12" i="31"/>
  <c r="C13" i="31"/>
  <c r="B17" i="28"/>
  <c r="I34" i="26"/>
  <c r="I42" i="26"/>
  <c r="I35" i="26"/>
  <c r="I43" i="26"/>
  <c r="I36" i="26"/>
  <c r="I44" i="26"/>
  <c r="I39" i="26"/>
  <c r="I37" i="26"/>
  <c r="I45" i="26"/>
  <c r="I46" i="26"/>
  <c r="I38" i="26"/>
  <c r="I40" i="26"/>
  <c r="I41" i="26"/>
  <c r="I47" i="26"/>
  <c r="I33" i="26"/>
  <c r="I5" i="26"/>
  <c r="I6" i="26"/>
  <c r="I14" i="26"/>
  <c r="I16" i="26"/>
  <c r="I7" i="26"/>
  <c r="I15" i="26"/>
  <c r="I8" i="26"/>
  <c r="I9" i="26"/>
  <c r="I17" i="26"/>
  <c r="I10" i="26"/>
  <c r="I18" i="26"/>
  <c r="I11" i="26"/>
  <c r="I19" i="26"/>
  <c r="I12" i="26"/>
  <c r="I13" i="26"/>
  <c r="F8" i="20"/>
  <c r="F16" i="20"/>
  <c r="F10" i="20"/>
  <c r="F13" i="20"/>
  <c r="F7" i="20"/>
  <c r="F9" i="20"/>
  <c r="F17" i="20"/>
  <c r="F18" i="20"/>
  <c r="F14" i="20"/>
  <c r="F11" i="20"/>
  <c r="F12" i="20"/>
  <c r="F5" i="20"/>
  <c r="F6" i="20"/>
  <c r="F15" i="20"/>
  <c r="F4" i="20"/>
  <c r="G26" i="35"/>
  <c r="G25" i="3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884825-9491-40B1-83FD-7414F86D0D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39D042F-9C0A-4EBD-9354-9595FC076334}" name="WorksheetConnection_Excel practice 1.xlsx!Product_info" type="102" refreshedVersion="8" minRefreshableVersion="5">
    <extLst>
      <ext xmlns:x15="http://schemas.microsoft.com/office/spreadsheetml/2010/11/main" uri="{DE250136-89BD-433C-8126-D09CA5730AF9}">
        <x15:connection id="Product_info">
          <x15:rangePr sourceName="_xlcn.WorksheetConnection_Excelpractice1.xlsxProduct_info1"/>
        </x15:connection>
      </ext>
    </extLst>
  </connection>
  <connection id="3" xr16:uid="{5F588CC2-87AF-4F13-B29A-F0DEEACC8A4C}" name="WorksheetConnection_Excel practice 1.xlsx!Sales" type="102" refreshedVersion="8" minRefreshableVersion="5">
    <extLst>
      <ext xmlns:x15="http://schemas.microsoft.com/office/spreadsheetml/2010/11/main" uri="{DE250136-89BD-433C-8126-D09CA5730AF9}">
        <x15:connection id="Sales">
          <x15:rangePr sourceName="_xlcn.WorksheetConnection_Excelpractice1.xlsxSal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<sst xmlns="http://schemas.openxmlformats.org/spreadsheetml/2006/main" count="13216" uniqueCount="460">
  <si>
    <t>Sale Date</t>
  </si>
  <si>
    <t>Region</t>
  </si>
  <si>
    <t>State</t>
  </si>
  <si>
    <t>City</t>
  </si>
  <si>
    <t>Product</t>
  </si>
  <si>
    <t>Quantity</t>
  </si>
  <si>
    <t>Price per Unit</t>
  </si>
  <si>
    <t>Sales Amount</t>
  </si>
  <si>
    <t>West</t>
  </si>
  <si>
    <t>Maharashtra</t>
  </si>
  <si>
    <t>Mumbai</t>
  </si>
  <si>
    <t>Stationery</t>
  </si>
  <si>
    <t>South</t>
  </si>
  <si>
    <t>Karnataka</t>
  </si>
  <si>
    <t>Mysuru</t>
  </si>
  <si>
    <t>Clothing</t>
  </si>
  <si>
    <t>Tamil Nadu</t>
  </si>
  <si>
    <t>Chennai</t>
  </si>
  <si>
    <t>Groceries</t>
  </si>
  <si>
    <t>Madurai</t>
  </si>
  <si>
    <t>North</t>
  </si>
  <si>
    <t>Delhi</t>
  </si>
  <si>
    <t>New Delhi</t>
  </si>
  <si>
    <t>Nagpur</t>
  </si>
  <si>
    <t>Furniture</t>
  </si>
  <si>
    <t>Coimbatore</t>
  </si>
  <si>
    <t>Hubli</t>
  </si>
  <si>
    <t>Electronics</t>
  </si>
  <si>
    <t>Gujarat</t>
  </si>
  <si>
    <t>Ahmedabad</t>
  </si>
  <si>
    <t>Vadodara</t>
  </si>
  <si>
    <t>Pune</t>
  </si>
  <si>
    <t>Surat</t>
  </si>
  <si>
    <t>Bengaluru</t>
  </si>
  <si>
    <t>Karol Bagh</t>
  </si>
  <si>
    <t>Dwarka</t>
  </si>
  <si>
    <t>Row Labels</t>
  </si>
  <si>
    <t>Grand Total</t>
  </si>
  <si>
    <t>Column Labels</t>
  </si>
  <si>
    <t>Sum of Sales Amount</t>
  </si>
  <si>
    <t>Count of Product</t>
  </si>
  <si>
    <t>Count of Sales Amount</t>
  </si>
  <si>
    <t>Total % Sale By Products</t>
  </si>
  <si>
    <t>% Sale By Products</t>
  </si>
  <si>
    <t>Values</t>
  </si>
  <si>
    <t>Total Rank</t>
  </si>
  <si>
    <t>Rank</t>
  </si>
  <si>
    <t xml:space="preserve">Salesman </t>
  </si>
  <si>
    <t>Rajendra</t>
  </si>
  <si>
    <t xml:space="preserve">Kuldeep </t>
  </si>
  <si>
    <t xml:space="preserve">vishal </t>
  </si>
  <si>
    <t>Raju</t>
  </si>
  <si>
    <t>Pankaj</t>
  </si>
  <si>
    <t>Priya</t>
  </si>
  <si>
    <t>Keshav</t>
  </si>
  <si>
    <t>Dinesh</t>
  </si>
  <si>
    <t>Raghav</t>
  </si>
  <si>
    <t>Rustam</t>
  </si>
  <si>
    <t>Pinkesh</t>
  </si>
  <si>
    <t>Jaykesh</t>
  </si>
  <si>
    <t xml:space="preserve">Collapse </t>
  </si>
  <si>
    <t>Expand</t>
  </si>
  <si>
    <t>267.32-10267.32</t>
  </si>
  <si>
    <t>10267.32-20267.32</t>
  </si>
  <si>
    <t>20267.32-30267.32</t>
  </si>
  <si>
    <t>30267.32-40267.32</t>
  </si>
  <si>
    <t>40267.32-50267.32</t>
  </si>
  <si>
    <t>50267.32-60267.32</t>
  </si>
  <si>
    <t>60267.32-70267.32</t>
  </si>
  <si>
    <t>70267.32-80267.32</t>
  </si>
  <si>
    <t>80267.32-90267.32</t>
  </si>
  <si>
    <t>90267.32-100267.32</t>
  </si>
  <si>
    <t>AGE</t>
  </si>
  <si>
    <t>36-45</t>
  </si>
  <si>
    <t>Sum of Quantity</t>
  </si>
  <si>
    <t>Golu</t>
  </si>
  <si>
    <t>bittu</t>
  </si>
  <si>
    <t>Bablu</t>
  </si>
  <si>
    <t>Kalu</t>
  </si>
  <si>
    <t>Salesman</t>
  </si>
  <si>
    <t>Mfgcost</t>
  </si>
  <si>
    <t>Laptop</t>
  </si>
  <si>
    <t>Tamara</t>
  </si>
  <si>
    <t>East</t>
  </si>
  <si>
    <t>Jacob</t>
  </si>
  <si>
    <t>Printer</t>
  </si>
  <si>
    <t>Tricia</t>
  </si>
  <si>
    <t>Monitor</t>
  </si>
  <si>
    <t>Jason</t>
  </si>
  <si>
    <t>Smartphone</t>
  </si>
  <si>
    <t>Shannon</t>
  </si>
  <si>
    <t>Steven</t>
  </si>
  <si>
    <t>Sierra</t>
  </si>
  <si>
    <t>Scott</t>
  </si>
  <si>
    <t>Michelle</t>
  </si>
  <si>
    <t>Tablet</t>
  </si>
  <si>
    <t>Christopher</t>
  </si>
  <si>
    <t>Justin</t>
  </si>
  <si>
    <t>Linda</t>
  </si>
  <si>
    <t>Lauren</t>
  </si>
  <si>
    <t>Emily</t>
  </si>
  <si>
    <t>Holly</t>
  </si>
  <si>
    <t>Joy</t>
  </si>
  <si>
    <t>Thomas</t>
  </si>
  <si>
    <t>Aaron</t>
  </si>
  <si>
    <t>Carly</t>
  </si>
  <si>
    <t>Donald</t>
  </si>
  <si>
    <t>Rachel</t>
  </si>
  <si>
    <t>Kaitlyn</t>
  </si>
  <si>
    <t>Carolyn</t>
  </si>
  <si>
    <t>Jennifer</t>
  </si>
  <si>
    <t>Felicia</t>
  </si>
  <si>
    <t>Robert</t>
  </si>
  <si>
    <t>Karen</t>
  </si>
  <si>
    <t>Chad</t>
  </si>
  <si>
    <t>Ethan</t>
  </si>
  <si>
    <t>Crystal</t>
  </si>
  <si>
    <t>Cathy</t>
  </si>
  <si>
    <t>Adrienne</t>
  </si>
  <si>
    <t>Nicole</t>
  </si>
  <si>
    <t>Mike</t>
  </si>
  <si>
    <t>Sarah</t>
  </si>
  <si>
    <t>William</t>
  </si>
  <si>
    <t>Erica</t>
  </si>
  <si>
    <t>Mary</t>
  </si>
  <si>
    <t>Mysore</t>
  </si>
  <si>
    <t>Richard</t>
  </si>
  <si>
    <t>Gary</t>
  </si>
  <si>
    <t>Bruce</t>
  </si>
  <si>
    <t>Lori</t>
  </si>
  <si>
    <t>Sandra</t>
  </si>
  <si>
    <t>Nicholas</t>
  </si>
  <si>
    <t>Melissa</t>
  </si>
  <si>
    <t>Gabriel</t>
  </si>
  <si>
    <t>Angela</t>
  </si>
  <si>
    <t>Bangalore</t>
  </si>
  <si>
    <t>Jane</t>
  </si>
  <si>
    <t>Connie</t>
  </si>
  <si>
    <t>Patrick</t>
  </si>
  <si>
    <t>Catherine</t>
  </si>
  <si>
    <t>Margaret</t>
  </si>
  <si>
    <t>Melinda</t>
  </si>
  <si>
    <t>Natasha</t>
  </si>
  <si>
    <t>Christine</t>
  </si>
  <si>
    <t>Paula</t>
  </si>
  <si>
    <t>Rebecca</t>
  </si>
  <si>
    <t>Jamie</t>
  </si>
  <si>
    <t>Michael</t>
  </si>
  <si>
    <t>Cheryl</t>
  </si>
  <si>
    <t>Terri</t>
  </si>
  <si>
    <t>Francisco</t>
  </si>
  <si>
    <t>Alexander</t>
  </si>
  <si>
    <t>Leonard</t>
  </si>
  <si>
    <t>Kristin</t>
  </si>
  <si>
    <t>Monica</t>
  </si>
  <si>
    <t>Arthur</t>
  </si>
  <si>
    <t>Jill</t>
  </si>
  <si>
    <t>Savannah</t>
  </si>
  <si>
    <t>Sara</t>
  </si>
  <si>
    <t>Elizabeth</t>
  </si>
  <si>
    <t>Kimberly</t>
  </si>
  <si>
    <t>Ashley</t>
  </si>
  <si>
    <t>Samantha</t>
  </si>
  <si>
    <t>Tina</t>
  </si>
  <si>
    <t>Patricia</t>
  </si>
  <si>
    <t>Brittany</t>
  </si>
  <si>
    <t>Amy</t>
  </si>
  <si>
    <t>Joseph</t>
  </si>
  <si>
    <t>Heather</t>
  </si>
  <si>
    <t>Victoria</t>
  </si>
  <si>
    <t>Brenda</t>
  </si>
  <si>
    <t>Gloria</t>
  </si>
  <si>
    <t>Brandon</t>
  </si>
  <si>
    <t>April</t>
  </si>
  <si>
    <t>Michele</t>
  </si>
  <si>
    <t>Kelsey</t>
  </si>
  <si>
    <t>Ricky</t>
  </si>
  <si>
    <t>Megan</t>
  </si>
  <si>
    <t>Kathryn</t>
  </si>
  <si>
    <t>Susan</t>
  </si>
  <si>
    <t>Daniel</t>
  </si>
  <si>
    <t>Denise</t>
  </si>
  <si>
    <t>Kurt</t>
  </si>
  <si>
    <t>Brittney</t>
  </si>
  <si>
    <t>Hayley</t>
  </si>
  <si>
    <t>Randy</t>
  </si>
  <si>
    <t>Jody</t>
  </si>
  <si>
    <t>Taylor</t>
  </si>
  <si>
    <t>Tiffany</t>
  </si>
  <si>
    <t>Dan</t>
  </si>
  <si>
    <t>David</t>
  </si>
  <si>
    <t>Mackenzie</t>
  </si>
  <si>
    <t>Janet</t>
  </si>
  <si>
    <t>Mark</t>
  </si>
  <si>
    <t>Faith</t>
  </si>
  <si>
    <t>Sean</t>
  </si>
  <si>
    <t>Nancy</t>
  </si>
  <si>
    <t>Andrea</t>
  </si>
  <si>
    <t>Natalie</t>
  </si>
  <si>
    <t>Blake</t>
  </si>
  <si>
    <t>Veronica</t>
  </si>
  <si>
    <t>Marissa</t>
  </si>
  <si>
    <t>Joshua</t>
  </si>
  <si>
    <t>Keith</t>
  </si>
  <si>
    <t>Bailey</t>
  </si>
  <si>
    <t>Lisa</t>
  </si>
  <si>
    <t>Total mfgcost</t>
  </si>
  <si>
    <t>Sum of Incentive2</t>
  </si>
  <si>
    <t>Month</t>
  </si>
  <si>
    <t>Type</t>
  </si>
  <si>
    <t>Credit</t>
  </si>
  <si>
    <t>Credit/Debit</t>
  </si>
  <si>
    <t>Amount</t>
  </si>
  <si>
    <t>January</t>
  </si>
  <si>
    <t>February</t>
  </si>
  <si>
    <t>March</t>
  </si>
  <si>
    <t>May</t>
  </si>
  <si>
    <t>June</t>
  </si>
  <si>
    <t>July</t>
  </si>
  <si>
    <t>Saving</t>
  </si>
  <si>
    <t>Current</t>
  </si>
  <si>
    <t>Debit</t>
  </si>
  <si>
    <t>Sum of Amount</t>
  </si>
  <si>
    <t>Platform</t>
  </si>
  <si>
    <t>Status</t>
  </si>
  <si>
    <t>Product Name</t>
  </si>
  <si>
    <t>Amazon</t>
  </si>
  <si>
    <t>Sold</t>
  </si>
  <si>
    <t>Keyboard</t>
  </si>
  <si>
    <t>Flipkart</t>
  </si>
  <si>
    <t>Cancel</t>
  </si>
  <si>
    <t>Mouse</t>
  </si>
  <si>
    <t>eBay</t>
  </si>
  <si>
    <t>MSOffice</t>
  </si>
  <si>
    <t>QuickHeal</t>
  </si>
  <si>
    <t>August</t>
  </si>
  <si>
    <t>September</t>
  </si>
  <si>
    <t>October</t>
  </si>
  <si>
    <t>November</t>
  </si>
  <si>
    <t>December</t>
  </si>
  <si>
    <t>Count of Amount</t>
  </si>
  <si>
    <t>Hardware</t>
  </si>
  <si>
    <t>Software</t>
  </si>
  <si>
    <t>Department</t>
  </si>
  <si>
    <t xml:space="preserve">January </t>
  </si>
  <si>
    <t>Grocery</t>
  </si>
  <si>
    <t>Garments</t>
  </si>
  <si>
    <t>Medical</t>
  </si>
  <si>
    <t>Sparklines</t>
  </si>
  <si>
    <t>Total</t>
  </si>
  <si>
    <t>Product ID</t>
  </si>
  <si>
    <t>Date</t>
  </si>
  <si>
    <t>Fruit</t>
  </si>
  <si>
    <t>Price</t>
  </si>
  <si>
    <t>Apple</t>
  </si>
  <si>
    <t>Banana</t>
  </si>
  <si>
    <t>Peach</t>
  </si>
  <si>
    <t>Strawberry</t>
  </si>
  <si>
    <t>Mango</t>
  </si>
  <si>
    <t>Sales</t>
  </si>
  <si>
    <t>Target status</t>
  </si>
  <si>
    <t>Incentive</t>
  </si>
  <si>
    <t>Finance</t>
  </si>
  <si>
    <t>Operations</t>
  </si>
  <si>
    <t>Incomplete</t>
  </si>
  <si>
    <t>Target Condition</t>
  </si>
  <si>
    <t>Sales Achieved</t>
  </si>
  <si>
    <t>&gt;=50000</t>
  </si>
  <si>
    <t xml:space="preserve">Completed </t>
  </si>
  <si>
    <t>&lt;50000</t>
  </si>
  <si>
    <t>INCENTIVE CALCULATION</t>
  </si>
  <si>
    <t>Percentage</t>
  </si>
  <si>
    <t>75000&gt;</t>
  </si>
  <si>
    <t>50000&gt;</t>
  </si>
  <si>
    <t>Working (years)</t>
  </si>
  <si>
    <t>Salary</t>
  </si>
  <si>
    <t>(And)Promotion</t>
  </si>
  <si>
    <t>(Or) Pro</t>
  </si>
  <si>
    <r>
      <t xml:space="preserve">Use of </t>
    </r>
    <r>
      <rPr>
        <b/>
        <sz val="11"/>
        <color theme="1"/>
        <rFont val="Calibri"/>
        <family val="2"/>
        <scheme val="minor"/>
      </rPr>
      <t>AND</t>
    </r>
    <r>
      <rPr>
        <sz val="11"/>
        <color theme="1"/>
        <rFont val="Calibri"/>
        <family val="2"/>
        <scheme val="minor"/>
      </rPr>
      <t xml:space="preserve"> / </t>
    </r>
    <r>
      <rPr>
        <b/>
        <sz val="11"/>
        <color theme="1"/>
        <rFont val="Calibri"/>
        <family val="2"/>
        <scheme val="minor"/>
      </rPr>
      <t>OR</t>
    </r>
  </si>
  <si>
    <t>Both</t>
  </si>
  <si>
    <t>Promotion</t>
  </si>
  <si>
    <t>5&gt;=</t>
  </si>
  <si>
    <t>Yes</t>
  </si>
  <si>
    <t>Any One</t>
  </si>
  <si>
    <t>5&gt;</t>
  </si>
  <si>
    <t>Cancelation %</t>
  </si>
  <si>
    <t>Employee ID</t>
  </si>
  <si>
    <t>Name</t>
  </si>
  <si>
    <t>Joining Date</t>
  </si>
  <si>
    <t>EMP001</t>
  </si>
  <si>
    <t>Employee_1</t>
  </si>
  <si>
    <t>EMP002</t>
  </si>
  <si>
    <t>Employee_2</t>
  </si>
  <si>
    <t>EMP003</t>
  </si>
  <si>
    <t>Employee_3</t>
  </si>
  <si>
    <t>EMP004</t>
  </si>
  <si>
    <t>Employee_4</t>
  </si>
  <si>
    <t>EMP005</t>
  </si>
  <si>
    <t>Employee_5</t>
  </si>
  <si>
    <t>EMP006</t>
  </si>
  <si>
    <t>EMP007</t>
  </si>
  <si>
    <t>Employee_7</t>
  </si>
  <si>
    <t>EMP008</t>
  </si>
  <si>
    <t>Employee_8</t>
  </si>
  <si>
    <t>EMP009</t>
  </si>
  <si>
    <t>Employee_9</t>
  </si>
  <si>
    <t>EMP010</t>
  </si>
  <si>
    <t>Employee_10</t>
  </si>
  <si>
    <t>EMP011</t>
  </si>
  <si>
    <t>Employee_11</t>
  </si>
  <si>
    <t>EMP012</t>
  </si>
  <si>
    <t>Employee_12</t>
  </si>
  <si>
    <t>emp_type</t>
  </si>
  <si>
    <t>Greater than</t>
  </si>
  <si>
    <t>Emp_type</t>
  </si>
  <si>
    <t>Grade6</t>
  </si>
  <si>
    <t>Grade5</t>
  </si>
  <si>
    <t>Grade4</t>
  </si>
  <si>
    <t>Grade3</t>
  </si>
  <si>
    <t>VLOOKUP(D2,Emp_Type,2,1)</t>
  </si>
  <si>
    <t>Grade2</t>
  </si>
  <si>
    <t>Grade1</t>
  </si>
  <si>
    <t>Class/Subjects</t>
  </si>
  <si>
    <t>8:00 AM - 8:45 AM</t>
  </si>
  <si>
    <t>8:45 AM - 9:30 AM</t>
  </si>
  <si>
    <t>9:30 AM - 10:15 AM</t>
  </si>
  <si>
    <t>10:15 AM - 11:00 AM</t>
  </si>
  <si>
    <t>11:00 AM - 11:15 AM (Break)</t>
  </si>
  <si>
    <t>11:15 AM - 12:00 PM</t>
  </si>
  <si>
    <t>12:00 PM - 12:45 PM</t>
  </si>
  <si>
    <t>12:45 PM - 1:30 PM</t>
  </si>
  <si>
    <t>1:30 PM - 2:15 PM</t>
  </si>
  <si>
    <t>Mathematics</t>
  </si>
  <si>
    <t>Mathematics (Ms. Johnson)</t>
  </si>
  <si>
    <t>Mathematics (Mr. Smith)</t>
  </si>
  <si>
    <t>Mathematics (Mrs. Lee)</t>
  </si>
  <si>
    <t>Mathematics (Mr. Brown)</t>
  </si>
  <si>
    <t>Break</t>
  </si>
  <si>
    <t>Mathematics (Mr. Wilson)</t>
  </si>
  <si>
    <t>Mathematics (Ms. Taylor)</t>
  </si>
  <si>
    <t>Mathematics (Mr. White)</t>
  </si>
  <si>
    <t>Science</t>
  </si>
  <si>
    <t>Science (Mr. Smith)</t>
  </si>
  <si>
    <t>Science (Mrs. Lee)</t>
  </si>
  <si>
    <t>Science (Mr. Brown)</t>
  </si>
  <si>
    <t>Science (Ms. Davis)</t>
  </si>
  <si>
    <t>Science (Ms. Taylor)</t>
  </si>
  <si>
    <t>Science (Mr. White)</t>
  </si>
  <si>
    <t>Science (Ms. Johnson)</t>
  </si>
  <si>
    <t>English</t>
  </si>
  <si>
    <t>English (Mrs. Lee)</t>
  </si>
  <si>
    <t>English (Mr. Brown)</t>
  </si>
  <si>
    <t>English (Ms. Davis)</t>
  </si>
  <si>
    <t>English (Mr. Wilson)</t>
  </si>
  <si>
    <t>English (Mr. White)</t>
  </si>
  <si>
    <t>English (Ms. Johnson)</t>
  </si>
  <si>
    <t>English (Mr. Smith)</t>
  </si>
  <si>
    <t>History</t>
  </si>
  <si>
    <t>History (Mr. Brown)</t>
  </si>
  <si>
    <t>History (Ms. Davis)</t>
  </si>
  <si>
    <t>History (Mr. Wilson)</t>
  </si>
  <si>
    <t>History (Ms. Taylor)</t>
  </si>
  <si>
    <t>History (Ms. Johnson)</t>
  </si>
  <si>
    <t>History (Mr. Smith)</t>
  </si>
  <si>
    <t>History (Mrs. Lee)</t>
  </si>
  <si>
    <t>Geography</t>
  </si>
  <si>
    <t>Geography (Ms. Davis)</t>
  </si>
  <si>
    <t>Geography (Mr. Wilson)</t>
  </si>
  <si>
    <t>Geography (Ms. Taylor)</t>
  </si>
  <si>
    <t>Geography (Mr. White)</t>
  </si>
  <si>
    <t>Geography (Mr. Smith)</t>
  </si>
  <si>
    <t>Geography (Mrs. Lee)</t>
  </si>
  <si>
    <t>Geography (Mr. Brown)</t>
  </si>
  <si>
    <t>Physical Education</t>
  </si>
  <si>
    <t>Physical Education (Mr. Wilson)</t>
  </si>
  <si>
    <t>Physical Education (Ms. Taylor)</t>
  </si>
  <si>
    <t>Physical Education (Mr. White)</t>
  </si>
  <si>
    <t>Physical Education (Ms. Johnson)</t>
  </si>
  <si>
    <t>Physical Education (Mrs. Lee)</t>
  </si>
  <si>
    <t>Physical Education (Mr. Brown)</t>
  </si>
  <si>
    <t>Physical Education (Ms. Davis)</t>
  </si>
  <si>
    <t>Art</t>
  </si>
  <si>
    <t>Art (Ms. Taylor)</t>
  </si>
  <si>
    <t>Art (Mr. White)</t>
  </si>
  <si>
    <t>Art (Ms. Johnson)</t>
  </si>
  <si>
    <t>Art (Mr. Smith)</t>
  </si>
  <si>
    <t>Art (Mr. Brown)</t>
  </si>
  <si>
    <t>Art (Ms. Davis)</t>
  </si>
  <si>
    <t>Art (Mr. Wilson)</t>
  </si>
  <si>
    <t>Computer Science</t>
  </si>
  <si>
    <t>Computer Science (Mr. White)</t>
  </si>
  <si>
    <t>Computer Science (Ms. Johnson)</t>
  </si>
  <si>
    <t>Computer Science (Mr. Smith)</t>
  </si>
  <si>
    <t>Computer Science (Mrs. Lee)</t>
  </si>
  <si>
    <t>Computer Science (Ms. Davis)</t>
  </si>
  <si>
    <t>Computer Science (Mr. Wilson)</t>
  </si>
  <si>
    <t>Computer Science (Ms. Taylor)</t>
  </si>
  <si>
    <t>INDEX(A1:J9,MATCH(B13,A1:A9,0),MATCH(C12,A1:J1,0))</t>
  </si>
  <si>
    <t>OrderID</t>
  </si>
  <si>
    <t>OrderDate</t>
  </si>
  <si>
    <t>CustomerName</t>
  </si>
  <si>
    <t>Category</t>
  </si>
  <si>
    <t>UnitPrice</t>
  </si>
  <si>
    <t>Discount</t>
  </si>
  <si>
    <t>Profit</t>
  </si>
  <si>
    <t>Customer_7</t>
  </si>
  <si>
    <t>Product_10</t>
  </si>
  <si>
    <t>Sports</t>
  </si>
  <si>
    <t>Customer_20</t>
  </si>
  <si>
    <t>Product_3</t>
  </si>
  <si>
    <t>Food</t>
  </si>
  <si>
    <t>Customer_15</t>
  </si>
  <si>
    <t>Customer_11</t>
  </si>
  <si>
    <t>Product_4</t>
  </si>
  <si>
    <t>Customer_8</t>
  </si>
  <si>
    <t>Product_7</t>
  </si>
  <si>
    <t>Customer_19</t>
  </si>
  <si>
    <t>Product_9</t>
  </si>
  <si>
    <t>Product_1</t>
  </si>
  <si>
    <t>Product_8</t>
  </si>
  <si>
    <t>Customer_4</t>
  </si>
  <si>
    <t>Product_2</t>
  </si>
  <si>
    <t>Customer_3</t>
  </si>
  <si>
    <t>Customer_2</t>
  </si>
  <si>
    <t>Customer_12</t>
  </si>
  <si>
    <t>Customer_6</t>
  </si>
  <si>
    <t>Customer_1</t>
  </si>
  <si>
    <t>Customer_17</t>
  </si>
  <si>
    <t>Customer_10</t>
  </si>
  <si>
    <t>Customer_16</t>
  </si>
  <si>
    <t>Product_5</t>
  </si>
  <si>
    <t>Customer_5</t>
  </si>
  <si>
    <t>Customer_9</t>
  </si>
  <si>
    <t>Customer_18</t>
  </si>
  <si>
    <t>Customer_14</t>
  </si>
  <si>
    <t>Product_6</t>
  </si>
  <si>
    <t>Customer_13</t>
  </si>
  <si>
    <t>VLOOKUP($I10,$A$1:$E$13,MATCH(J9,$A$1:$E$1,0),0)</t>
  </si>
  <si>
    <t>Q1 Sales</t>
  </si>
  <si>
    <t>Q2 Sales</t>
  </si>
  <si>
    <t>Q3 Sales</t>
  </si>
  <si>
    <t>Q4 Sales</t>
  </si>
  <si>
    <t>South Q2 sales</t>
  </si>
  <si>
    <t>employee_1</t>
  </si>
  <si>
    <t>IT</t>
  </si>
  <si>
    <t>Vikash Dhakad</t>
  </si>
  <si>
    <t>Raj Mohan</t>
  </si>
  <si>
    <t>Disha Sagar</t>
  </si>
  <si>
    <t>Rajnikant Rajput</t>
  </si>
  <si>
    <t>Suryavanshi mohit</t>
  </si>
  <si>
    <t>Employee_6</t>
  </si>
  <si>
    <t>Vikas</t>
  </si>
  <si>
    <t>Mohit</t>
  </si>
  <si>
    <t>Mohan</t>
  </si>
  <si>
    <t>Vijay</t>
  </si>
  <si>
    <t>Pintu</t>
  </si>
  <si>
    <t>Priyanka</t>
  </si>
  <si>
    <t>Lal Singh</t>
  </si>
  <si>
    <t>Mahendra</t>
  </si>
  <si>
    <t>Surendra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</si>
</sst>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 #,##0.00;[Red]&quot;₹&quot;\ \-#,##0.00"/>
    <numFmt numFmtId="164" formatCode="yyyy\-mm\-dd"/>
    <numFmt numFmtId="165" formatCode="_ &quot;₹&quot;\ * #,##0_ ;_ &quot;₹&quot;\ * \-#,##0_ ;_ &quot;₹&quot;\ * &quot;-&quot;??_ ;_ @_ "/>
    <numFmt numFmtId="166" formatCode="_ [$₹-4009]\ * #,##0.00_ ;_ [$₹-4009]\ * \-#,##0.00_ ;_ [$₹-4009]\ * &quot;-&quot;??_ ;_ @_ "/>
  </numFmts>
  <fonts count="14" x14ac:knownFonts="1">
    <font>
      <sz val="11"/>
      <color theme="1"/>
      <name val="Calibri"/>
      <family val="2"/>
      <scheme val="minor"/>
    </font>
    <font>
      <sz val="11"/>
      <color theme="1"/>
      <name val="Calibri"/>
      <family val="2"/>
      <scheme val="minor"/>
    </font>
    <font>
      <b/>
      <sz val="16"/>
      <color theme="1"/>
      <name val="Times New Roman"/>
      <family val="1"/>
    </font>
    <font>
      <b/>
      <sz val="11"/>
      <color theme="1"/>
      <name val="Calibri"/>
      <family val="2"/>
      <scheme val="minor"/>
    </font>
    <font>
      <sz val="8"/>
      <name val="Calibri"/>
      <family val="2"/>
      <scheme val="minor"/>
    </font>
    <font>
      <b/>
      <sz val="12"/>
      <color theme="1"/>
      <name val="Calibri"/>
      <family val="2"/>
      <scheme val="minor"/>
    </font>
    <font>
      <sz val="14"/>
      <color theme="1"/>
      <name val="Times New Roman"/>
      <family val="1"/>
    </font>
    <font>
      <sz val="12"/>
      <color theme="1"/>
      <name val="Times New Roman"/>
      <family val="1"/>
    </font>
    <font>
      <b/>
      <sz val="16"/>
      <color theme="7" tint="-0.249977111117893"/>
      <name val="Times New Roman"/>
      <family val="1"/>
    </font>
    <font>
      <sz val="12"/>
      <color theme="1"/>
      <name val="Calibri"/>
      <family val="2"/>
      <scheme val="minor"/>
    </font>
    <font>
      <b/>
      <sz val="11"/>
      <color theme="0"/>
      <name val="Calibri"/>
      <family val="2"/>
      <scheme val="minor"/>
    </font>
    <font>
      <sz val="11"/>
      <color theme="1"/>
      <name val="Cambria"/>
      <family val="1"/>
    </font>
    <font>
      <sz val="10"/>
      <color theme="1"/>
      <name val="Calibri"/>
      <family val="2"/>
    </font>
    <font>
      <sz val="10"/>
      <color theme="1"/>
      <name val="Courier New"/>
      <family val="3"/>
    </font>
  </fonts>
  <fills count="11">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7" tint="0.39997558519241921"/>
        <bgColor indexed="65"/>
      </patternFill>
    </fill>
    <fill>
      <patternFill patternType="solid">
        <fgColor theme="0"/>
        <bgColor indexed="64"/>
      </patternFill>
    </fill>
    <fill>
      <patternFill patternType="solid">
        <fgColor theme="4" tint="0.79998168889431442"/>
        <bgColor theme="4" tint="0.79998168889431442"/>
      </patternFill>
    </fill>
    <fill>
      <patternFill patternType="solid">
        <fgColor rgb="FFFF99CC"/>
        <bgColor indexed="64"/>
      </patternFill>
    </fill>
    <fill>
      <patternFill patternType="solid">
        <fgColor rgb="FF55EFC4"/>
        <bgColor indexed="64"/>
      </patternFill>
    </fill>
    <fill>
      <patternFill patternType="solid">
        <fgColor theme="4"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bottom style="thin">
        <color theme="4"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theme="4" tint="0.39997558519241921"/>
      </top>
      <bottom/>
      <diagonal/>
    </border>
    <border>
      <left style="thin">
        <color indexed="64"/>
      </left>
      <right style="thin">
        <color theme="4" tint="0.39997558519241921"/>
      </right>
      <top style="thin">
        <color theme="4" tint="0.39997558519241921"/>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5" borderId="0" applyNumberFormat="0" applyBorder="0" applyAlignment="0" applyProtection="0"/>
  </cellStyleXfs>
  <cellXfs count="90">
    <xf numFmtId="0" fontId="0" fillId="0" borderId="0" xfId="0"/>
    <xf numFmtId="0" fontId="0" fillId="0" borderId="1" xfId="0" applyBorder="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1" xfId="0" pivotButton="1" applyBorder="1"/>
    <xf numFmtId="0" fontId="0" fillId="0" borderId="1" xfId="0" applyBorder="1" applyAlignment="1">
      <alignment horizontal="left"/>
    </xf>
    <xf numFmtId="10" fontId="0" fillId="0" borderId="1" xfId="0" applyNumberFormat="1" applyBorder="1"/>
    <xf numFmtId="0" fontId="0" fillId="3" borderId="0" xfId="0" applyFill="1"/>
    <xf numFmtId="0" fontId="0" fillId="3" borderId="0" xfId="0" applyFill="1" applyAlignment="1">
      <alignment horizontal="left"/>
    </xf>
    <xf numFmtId="0" fontId="0" fillId="0" borderId="1" xfId="0" applyBorder="1" applyAlignment="1">
      <alignment horizontal="left" indent="1"/>
    </xf>
    <xf numFmtId="0" fontId="0" fillId="4" borderId="0" xfId="0" applyFill="1"/>
    <xf numFmtId="0" fontId="0" fillId="4" borderId="0" xfId="0" applyFill="1" applyAlignment="1">
      <alignment horizontal="left"/>
    </xf>
    <xf numFmtId="10" fontId="0" fillId="4" borderId="0" xfId="0" applyNumberFormat="1" applyFill="1"/>
    <xf numFmtId="14" fontId="2" fillId="2" borderId="3" xfId="0" applyNumberFormat="1" applyFont="1" applyFill="1" applyBorder="1" applyAlignment="1">
      <alignment horizontal="center" vertical="top"/>
    </xf>
    <xf numFmtId="0" fontId="2" fillId="2" borderId="3" xfId="0" applyFont="1" applyFill="1" applyBorder="1" applyAlignment="1">
      <alignment horizontal="center" vertical="top"/>
    </xf>
    <xf numFmtId="0" fontId="2" fillId="2" borderId="2" xfId="0" applyFont="1" applyFill="1" applyBorder="1" applyAlignment="1">
      <alignment horizontal="center" vertical="top"/>
    </xf>
    <xf numFmtId="14" fontId="0" fillId="0" borderId="0" xfId="0" applyNumberFormat="1"/>
    <xf numFmtId="0" fontId="1" fillId="6" borderId="0" xfId="1" applyFill="1"/>
    <xf numFmtId="0" fontId="3" fillId="0" borderId="1" xfId="0" applyFont="1" applyBorder="1" applyAlignment="1">
      <alignment horizontal="center" vertical="top"/>
    </xf>
    <xf numFmtId="164" fontId="0" fillId="0" borderId="0" xfId="0" applyNumberFormat="1"/>
    <xf numFmtId="0" fontId="3" fillId="0" borderId="4" xfId="0" applyFont="1" applyBorder="1" applyAlignment="1">
      <alignment horizontal="center" vertical="top"/>
    </xf>
    <xf numFmtId="0" fontId="5" fillId="0" borderId="0" xfId="0" applyFont="1"/>
    <xf numFmtId="1" fontId="0" fillId="0" borderId="0" xfId="0" applyNumberFormat="1"/>
    <xf numFmtId="0" fontId="3" fillId="7" borderId="5" xfId="0" applyFont="1" applyFill="1" applyBorder="1"/>
    <xf numFmtId="0" fontId="3" fillId="0" borderId="0" xfId="0" applyFont="1"/>
    <xf numFmtId="0" fontId="3" fillId="0" borderId="5" xfId="0" applyFont="1" applyBorder="1"/>
    <xf numFmtId="0" fontId="6" fillId="0" borderId="1" xfId="0" applyFont="1" applyBorder="1"/>
    <xf numFmtId="165" fontId="6" fillId="0" borderId="1" xfId="0" applyNumberFormat="1" applyFont="1" applyBorder="1"/>
    <xf numFmtId="0" fontId="6" fillId="8" borderId="1" xfId="0" applyFont="1" applyFill="1" applyBorder="1" applyAlignment="1">
      <alignment horizontal="center"/>
    </xf>
    <xf numFmtId="0" fontId="6" fillId="8" borderId="4" xfId="0" applyFont="1" applyFill="1" applyBorder="1" applyAlignment="1">
      <alignment horizontal="center"/>
    </xf>
    <xf numFmtId="14" fontId="7" fillId="0" borderId="0" xfId="0" applyNumberFormat="1" applyFont="1"/>
    <xf numFmtId="0" fontId="7" fillId="0" borderId="0" xfId="0" applyFont="1"/>
    <xf numFmtId="0" fontId="7" fillId="6" borderId="0" xfId="1" applyFont="1" applyFill="1"/>
    <xf numFmtId="14" fontId="8" fillId="9" borderId="3" xfId="0" applyNumberFormat="1" applyFont="1" applyFill="1" applyBorder="1" applyAlignment="1">
      <alignment horizontal="center" vertical="top"/>
    </xf>
    <xf numFmtId="0" fontId="8" fillId="9" borderId="3" xfId="0" applyFont="1" applyFill="1" applyBorder="1" applyAlignment="1">
      <alignment horizontal="center" vertical="top"/>
    </xf>
    <xf numFmtId="0" fontId="8" fillId="9" borderId="2" xfId="0" applyFont="1" applyFill="1" applyBorder="1" applyAlignment="1">
      <alignment horizontal="center" vertical="top"/>
    </xf>
    <xf numFmtId="0" fontId="0" fillId="0" borderId="1" xfId="0" applyBorder="1" applyAlignment="1">
      <alignment vertical="center" wrapText="1"/>
    </xf>
    <xf numFmtId="0" fontId="0" fillId="0" borderId="6" xfId="0" applyBorder="1" applyAlignment="1">
      <alignment vertical="center" wrapText="1"/>
    </xf>
    <xf numFmtId="14" fontId="0" fillId="0" borderId="7" xfId="0" applyNumberFormat="1" applyBorder="1" applyAlignment="1">
      <alignment vertical="center" wrapText="1"/>
    </xf>
    <xf numFmtId="0" fontId="3" fillId="8" borderId="8"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0" fillId="0" borderId="11" xfId="0" applyBorder="1" applyAlignment="1">
      <alignment vertical="center" wrapText="1"/>
    </xf>
    <xf numFmtId="0" fontId="0" fillId="0" borderId="2" xfId="0" applyBorder="1" applyAlignment="1">
      <alignment vertical="center" wrapText="1"/>
    </xf>
    <xf numFmtId="14" fontId="0" fillId="0" borderId="3" xfId="0" applyNumberFormat="1" applyBorder="1" applyAlignment="1">
      <alignment vertical="center" wrapText="1"/>
    </xf>
    <xf numFmtId="0" fontId="0" fillId="0" borderId="7" xfId="0" applyBorder="1" applyAlignment="1">
      <alignment vertical="center" wrapText="1"/>
    </xf>
    <xf numFmtId="0" fontId="0" fillId="0" borderId="3" xfId="0" applyBorder="1" applyAlignment="1">
      <alignment vertical="center" wrapText="1"/>
    </xf>
    <xf numFmtId="0" fontId="3" fillId="10" borderId="1" xfId="0" applyFont="1" applyFill="1" applyBorder="1" applyAlignment="1">
      <alignment horizontal="center" vertical="top"/>
    </xf>
    <xf numFmtId="0" fontId="3" fillId="10" borderId="4" xfId="0" applyFont="1" applyFill="1" applyBorder="1" applyAlignment="1">
      <alignment horizontal="center" vertical="top"/>
    </xf>
    <xf numFmtId="9" fontId="0" fillId="0" borderId="0" xfId="0" applyNumberFormat="1"/>
    <xf numFmtId="166" fontId="3" fillId="10" borderId="1" xfId="0" applyNumberFormat="1" applyFont="1" applyFill="1" applyBorder="1" applyAlignment="1">
      <alignment horizontal="center" vertical="top"/>
    </xf>
    <xf numFmtId="166" fontId="0" fillId="0" borderId="1" xfId="0" applyNumberFormat="1" applyBorder="1"/>
    <xf numFmtId="0" fontId="0" fillId="0" borderId="1" xfId="0" applyBorder="1" applyAlignment="1">
      <alignment horizontal="center" vertical="center"/>
    </xf>
    <xf numFmtId="0" fontId="0" fillId="0" borderId="6" xfId="0" applyBorder="1"/>
    <xf numFmtId="10" fontId="0" fillId="0" borderId="0" xfId="0" applyNumberFormat="1"/>
    <xf numFmtId="14" fontId="3" fillId="10" borderId="1" xfId="0" applyNumberFormat="1" applyFont="1" applyFill="1" applyBorder="1" applyAlignment="1">
      <alignment horizontal="center" vertical="top"/>
    </xf>
    <xf numFmtId="14" fontId="0" fillId="0" borderId="1" xfId="0" applyNumberFormat="1" applyBorder="1"/>
    <xf numFmtId="0" fontId="0" fillId="0" borderId="0" xfId="0" applyAlignment="1">
      <alignment horizontal="center"/>
    </xf>
    <xf numFmtId="0" fontId="9" fillId="0" borderId="0" xfId="0" applyFont="1" applyAlignment="1">
      <alignment horizontal="center" vertical="center"/>
    </xf>
    <xf numFmtId="0" fontId="5" fillId="0" borderId="1" xfId="0" applyFont="1" applyBorder="1" applyAlignment="1">
      <alignment horizontal="center" vertical="center"/>
    </xf>
    <xf numFmtId="0" fontId="5" fillId="0" borderId="0" xfId="0" applyFont="1" applyAlignment="1">
      <alignment vertical="center"/>
    </xf>
    <xf numFmtId="0" fontId="11" fillId="0" borderId="0" xfId="0" applyFont="1"/>
    <xf numFmtId="0" fontId="12" fillId="0" borderId="0" xfId="0" applyFont="1" applyAlignment="1">
      <alignment vertical="center"/>
    </xf>
    <xf numFmtId="0" fontId="11" fillId="0" borderId="0" xfId="0" applyFont="1" applyAlignment="1">
      <alignment vertical="center"/>
    </xf>
    <xf numFmtId="0" fontId="10" fillId="10" borderId="3" xfId="0" applyFont="1" applyFill="1" applyBorder="1" applyAlignment="1">
      <alignment horizontal="center" vertical="top"/>
    </xf>
    <xf numFmtId="166" fontId="10" fillId="10" borderId="3" xfId="0" applyNumberFormat="1" applyFont="1" applyFill="1" applyBorder="1" applyAlignment="1">
      <alignment horizontal="center" vertical="top"/>
    </xf>
    <xf numFmtId="14" fontId="10" fillId="10" borderId="3" xfId="0" applyNumberFormat="1" applyFont="1" applyFill="1" applyBorder="1" applyAlignment="1">
      <alignment horizontal="center" vertical="top"/>
    </xf>
    <xf numFmtId="0" fontId="10" fillId="10" borderId="12" xfId="0" applyFont="1" applyFill="1" applyBorder="1" applyAlignment="1">
      <alignment horizontal="center" vertical="top"/>
    </xf>
    <xf numFmtId="0" fontId="0" fillId="7" borderId="3" xfId="0" applyFill="1" applyBorder="1"/>
    <xf numFmtId="166" fontId="0" fillId="7" borderId="3" xfId="0" applyNumberFormat="1" applyFill="1" applyBorder="1"/>
    <xf numFmtId="14" fontId="0" fillId="7" borderId="3" xfId="0" applyNumberFormat="1" applyFill="1" applyBorder="1"/>
    <xf numFmtId="0" fontId="0" fillId="7" borderId="13" xfId="0" applyFill="1" applyBorder="1"/>
    <xf numFmtId="0" fontId="0" fillId="0" borderId="3" xfId="0" applyBorder="1"/>
    <xf numFmtId="166" fontId="0" fillId="0" borderId="3" xfId="0" applyNumberFormat="1" applyBorder="1"/>
    <xf numFmtId="14" fontId="0" fillId="0" borderId="3" xfId="0" applyNumberFormat="1" applyBorder="1"/>
    <xf numFmtId="0" fontId="0" fillId="0" borderId="7" xfId="0" applyBorder="1"/>
    <xf numFmtId="166" fontId="0" fillId="0" borderId="7" xfId="0" applyNumberFormat="1" applyBorder="1"/>
    <xf numFmtId="14" fontId="0" fillId="0" borderId="7" xfId="0" applyNumberFormat="1" applyBorder="1"/>
    <xf numFmtId="14" fontId="3" fillId="0" borderId="1" xfId="0" applyNumberFormat="1" applyFont="1" applyBorder="1" applyAlignment="1">
      <alignment horizontal="center" vertical="top"/>
    </xf>
    <xf numFmtId="8" fontId="0" fillId="0" borderId="0" xfId="0" applyNumberFormat="1"/>
    <xf numFmtId="8" fontId="13" fillId="0" borderId="0" xfId="0" applyNumberFormat="1" applyFont="1" applyAlignment="1">
      <alignment vertical="center"/>
    </xf>
    <xf numFmtId="0" fontId="0" fillId="0" borderId="0" xfId="0" applyAlignment="1">
      <alignment vertical="center" wrapText="1"/>
    </xf>
    <xf numFmtId="0" fontId="0" fillId="0" borderId="14" xfId="0" applyBorder="1"/>
    <xf numFmtId="0" fontId="0" fillId="0" borderId="15" xfId="0" applyBorder="1"/>
    <xf numFmtId="0" fontId="0" fillId="0" borderId="16" xfId="0" applyBorder="1"/>
    <xf numFmtId="0" fontId="3" fillId="10" borderId="0" xfId="0" applyFont="1" applyFill="1" applyAlignment="1">
      <alignment horizontal="center" vertical="top"/>
    </xf>
    <xf numFmtId="0" fontId="0" fillId="10" borderId="6" xfId="0" applyFill="1" applyBorder="1" applyAlignment="1">
      <alignment horizontal="center"/>
    </xf>
    <xf numFmtId="0" fontId="0" fillId="10" borderId="1" xfId="0" applyFill="1" applyBorder="1" applyAlignment="1">
      <alignment horizontal="center"/>
    </xf>
    <xf numFmtId="14" fontId="0" fillId="0" borderId="0" xfId="0" applyNumberFormat="1" applyAlignment="1">
      <alignment horizontal="center"/>
    </xf>
  </cellXfs>
  <cellStyles count="2">
    <cellStyle name="60% - Accent4" xfId="1" builtinId="44"/>
    <cellStyle name="Normal" xfId="0" builtinId="0"/>
  </cellStyles>
  <dxfs count="74">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99CC"/>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9" formatCode="dd/mm/yyyy"/>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99CC"/>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4" formatCode="0.00%"/>
    </dxf>
    <dxf>
      <numFmt numFmtId="1" formatCode="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1" xr9:uid="{F1C62C81-1BE4-456F-BC83-7345101D8C58}"/>
  </tableStyles>
  <colors>
    <mruColors>
      <color rgb="FFFF99CC"/>
      <color rgb="FF55EFC4"/>
      <color rgb="FFFFFFFF"/>
    </mruColors>
  </colors>
  <extLst>
    <ext xmlns:x14="http://schemas.microsoft.com/office/spreadsheetml/2009/9/main" uri="{46F421CA-312F-682f-3DD2-61675219B42D}">
      <x14:dxfs count="1">
        <dxf>
          <font>
            <b val="0"/>
            <i/>
            <color rgb="FF92D05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6.xml"/><Relationship Id="rId21" Type="http://schemas.openxmlformats.org/officeDocument/2006/relationships/worksheet" Target="worksheets/sheet21.xml"/><Relationship Id="rId34" Type="http://schemas.microsoft.com/office/2007/relationships/slicerCache" Target="slicerCaches/slicerCache1.xml"/><Relationship Id="rId42" Type="http://schemas.openxmlformats.org/officeDocument/2006/relationships/styles" Target="styles.xml"/><Relationship Id="rId47" Type="http://schemas.openxmlformats.org/officeDocument/2006/relationships/customXml" Target="../customXml/item1.xml"/><Relationship Id="rId50" Type="http://schemas.openxmlformats.org/officeDocument/2006/relationships/customXml" Target="../customXml/item4.xml"/><Relationship Id="rId55" Type="http://schemas.openxmlformats.org/officeDocument/2006/relationships/customXml" Target="../customXml/item9.xml"/><Relationship Id="rId63"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5.xml"/><Relationship Id="rId37" Type="http://schemas.microsoft.com/office/2007/relationships/slicerCache" Target="slicerCaches/slicerCache4.xml"/><Relationship Id="rId40" Type="http://schemas.openxmlformats.org/officeDocument/2006/relationships/theme" Target="theme/theme1.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microsoft.com/office/2007/relationships/slicerCache" Target="slicerCaches/slicerCache3.xml"/><Relationship Id="rId49" Type="http://schemas.openxmlformats.org/officeDocument/2006/relationships/customXml" Target="../customXml/item3.xml"/><Relationship Id="rId57" Type="http://schemas.openxmlformats.org/officeDocument/2006/relationships/customXml" Target="../customXml/item11.xml"/><Relationship Id="rId61"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4" Type="http://schemas.openxmlformats.org/officeDocument/2006/relationships/sheetMetadata" Target="metadata.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microsoft.com/office/2007/relationships/slicerCache" Target="slicerCaches/slicerCache2.xml"/><Relationship Id="rId43" Type="http://schemas.openxmlformats.org/officeDocument/2006/relationships/sharedStrings" Target="sharedString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6.xml"/><Relationship Id="rId38" Type="http://schemas.microsoft.com/office/2007/relationships/slicerCache" Target="slicerCaches/slicerCache5.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worksheet" Target="worksheets/sheet20.xml"/><Relationship Id="rId41" Type="http://schemas.openxmlformats.org/officeDocument/2006/relationships/connections" Target="connections.xml"/><Relationship Id="rId54" Type="http://schemas.openxmlformats.org/officeDocument/2006/relationships/customXml" Target="../customXml/item8.xml"/><Relationship Id="rId62"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1.xlsx]slicers!PivotTable9</c:name>
    <c:fmtId val="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044138232720911"/>
          <c:y val="0.25402559055118112"/>
          <c:w val="0.41147353455818025"/>
          <c:h val="0.68578922426363376"/>
        </c:manualLayout>
      </c:layout>
      <c:doughnutChart>
        <c:varyColors val="1"/>
        <c:ser>
          <c:idx val="0"/>
          <c:order val="0"/>
          <c:tx>
            <c:strRef>
              <c:f>slicers!$B$19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CE1-4145-A011-2071D6976E8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CE1-4145-A011-2071D6976E8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CE1-4145-A011-2071D6976E8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CE1-4145-A011-2071D6976E8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CE1-4145-A011-2071D6976E8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slicers!$A$20:$A$25</c:f>
              <c:strCache>
                <c:ptCount val="5"/>
                <c:pt idx="0">
                  <c:v>Clothing</c:v>
                </c:pt>
                <c:pt idx="1">
                  <c:v>Electronics</c:v>
                </c:pt>
                <c:pt idx="2">
                  <c:v>Furniture</c:v>
                </c:pt>
                <c:pt idx="3">
                  <c:v>Groceries</c:v>
                </c:pt>
                <c:pt idx="4">
                  <c:v>Stationery</c:v>
                </c:pt>
              </c:strCache>
            </c:strRef>
          </c:cat>
          <c:val>
            <c:numRef>
              <c:f>slicers!$B$20:$B$25</c:f>
              <c:numCache>
                <c:formatCode>General</c:formatCode>
                <c:ptCount val="5"/>
                <c:pt idx="0">
                  <c:v>107870.59</c:v>
                </c:pt>
                <c:pt idx="1">
                  <c:v>132686.72</c:v>
                </c:pt>
                <c:pt idx="2">
                  <c:v>52783.7</c:v>
                </c:pt>
                <c:pt idx="3">
                  <c:v>120154.29999999999</c:v>
                </c:pt>
                <c:pt idx="4">
                  <c:v>137217.75999999998</c:v>
                </c:pt>
              </c:numCache>
            </c:numRef>
          </c:val>
          <c:extLst>
            <c:ext xmlns:c16="http://schemas.microsoft.com/office/drawing/2014/chart" uri="{C3380CC4-5D6E-409C-BE32-E72D297353CC}">
              <c16:uniqueId val="{00000000-8628-482B-958F-45E8F0C5E0E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1.xlsx]Sheet2!PivotTable2</c:name>
    <c:fmtId val="2"/>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8.4285649264940157E-2"/>
          <c:y val="0.14249781277340332"/>
          <c:w val="0.55330981748668695"/>
          <c:h val="0.59547495132315309"/>
        </c:manualLayout>
      </c:layout>
      <c:doughnutChart>
        <c:varyColors val="1"/>
        <c:ser>
          <c:idx val="0"/>
          <c:order val="0"/>
          <c:tx>
            <c:strRef>
              <c:f>Sheet2!$B$3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976A-4115-B62C-8A0B51F0E1FF}"/>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976A-4115-B62C-8A0B51F0E1FF}"/>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976A-4115-B62C-8A0B51F0E1FF}"/>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976A-4115-B62C-8A0B51F0E1FF}"/>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976A-4115-B62C-8A0B51F0E1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Sheet2!$A$4:$A$9</c:f>
              <c:strCache>
                <c:ptCount val="5"/>
                <c:pt idx="0">
                  <c:v>Clothing</c:v>
                </c:pt>
                <c:pt idx="1">
                  <c:v>Electronics</c:v>
                </c:pt>
                <c:pt idx="2">
                  <c:v>Furniture</c:v>
                </c:pt>
                <c:pt idx="3">
                  <c:v>Groceries</c:v>
                </c:pt>
                <c:pt idx="4">
                  <c:v>Stationery</c:v>
                </c:pt>
              </c:strCache>
            </c:strRef>
          </c:cat>
          <c:val>
            <c:numRef>
              <c:f>Sheet2!$B$4:$B$9</c:f>
              <c:numCache>
                <c:formatCode>General</c:formatCode>
                <c:ptCount val="5"/>
                <c:pt idx="0">
                  <c:v>581</c:v>
                </c:pt>
                <c:pt idx="1">
                  <c:v>445</c:v>
                </c:pt>
                <c:pt idx="2">
                  <c:v>450</c:v>
                </c:pt>
                <c:pt idx="3">
                  <c:v>483</c:v>
                </c:pt>
                <c:pt idx="4">
                  <c:v>566</c:v>
                </c:pt>
              </c:numCache>
            </c:numRef>
          </c:val>
          <c:extLst>
            <c:ext xmlns:c16="http://schemas.microsoft.com/office/drawing/2014/chart" uri="{C3380CC4-5D6E-409C-BE32-E72D297353CC}">
              <c16:uniqueId val="{00000000-8A54-4A17-BC42-321349FB763A}"/>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practice 1.xlsx]Sheet2!PivotTable3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Sheet2!$A$17:$A$29</c:f>
              <c:strCache>
                <c:ptCount val="12"/>
                <c:pt idx="0">
                  <c:v>Dinesh</c:v>
                </c:pt>
                <c:pt idx="1">
                  <c:v>Jaykesh</c:v>
                </c:pt>
                <c:pt idx="2">
                  <c:v>Keshav</c:v>
                </c:pt>
                <c:pt idx="3">
                  <c:v>Kuldeep </c:v>
                </c:pt>
                <c:pt idx="4">
                  <c:v>Pankaj</c:v>
                </c:pt>
                <c:pt idx="5">
                  <c:v>Pinkesh</c:v>
                </c:pt>
                <c:pt idx="6">
                  <c:v>Priya</c:v>
                </c:pt>
                <c:pt idx="7">
                  <c:v>Raghav</c:v>
                </c:pt>
                <c:pt idx="8">
                  <c:v>Rajendra</c:v>
                </c:pt>
                <c:pt idx="9">
                  <c:v>Raju</c:v>
                </c:pt>
                <c:pt idx="10">
                  <c:v>Rustam</c:v>
                </c:pt>
                <c:pt idx="11">
                  <c:v>vishal </c:v>
                </c:pt>
              </c:strCache>
            </c:strRef>
          </c:cat>
          <c:val>
            <c:numRef>
              <c:f>Sheet2!$B$17:$B$29</c:f>
              <c:numCache>
                <c:formatCode>General</c:formatCode>
                <c:ptCount val="12"/>
                <c:pt idx="0">
                  <c:v>21</c:v>
                </c:pt>
                <c:pt idx="1">
                  <c:v>21</c:v>
                </c:pt>
                <c:pt idx="2">
                  <c:v>15</c:v>
                </c:pt>
                <c:pt idx="3">
                  <c:v>21</c:v>
                </c:pt>
                <c:pt idx="4">
                  <c:v>15</c:v>
                </c:pt>
                <c:pt idx="5">
                  <c:v>18</c:v>
                </c:pt>
                <c:pt idx="6">
                  <c:v>24</c:v>
                </c:pt>
                <c:pt idx="7">
                  <c:v>17</c:v>
                </c:pt>
                <c:pt idx="8">
                  <c:v>23</c:v>
                </c:pt>
                <c:pt idx="9">
                  <c:v>20</c:v>
                </c:pt>
                <c:pt idx="10">
                  <c:v>16</c:v>
                </c:pt>
                <c:pt idx="11">
                  <c:v>25</c:v>
                </c:pt>
              </c:numCache>
            </c:numRef>
          </c:val>
          <c:extLst>
            <c:ext xmlns:c16="http://schemas.microsoft.com/office/drawing/2014/chart" uri="{C3380CC4-5D6E-409C-BE32-E72D297353CC}">
              <c16:uniqueId val="{00000000-68F6-4FD3-BDFE-68B57F818D82}"/>
            </c:ext>
          </c:extLst>
        </c:ser>
        <c:dLbls>
          <c:dLblPos val="outEnd"/>
          <c:showLegendKey val="0"/>
          <c:showVal val="1"/>
          <c:showCatName val="0"/>
          <c:showSerName val="0"/>
          <c:showPercent val="0"/>
          <c:showBubbleSize val="0"/>
        </c:dLbls>
        <c:gapWidth val="182"/>
        <c:axId val="622501656"/>
        <c:axId val="622505256"/>
      </c:barChart>
      <c:catAx>
        <c:axId val="622501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505256"/>
        <c:crosses val="autoZero"/>
        <c:auto val="1"/>
        <c:lblAlgn val="ctr"/>
        <c:lblOffset val="100"/>
        <c:noMultiLvlLbl val="0"/>
      </c:catAx>
      <c:valAx>
        <c:axId val="62250525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22501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City</a:t>
            </a:r>
            <a:r>
              <a:rPr lang="en-US" baseline="0"/>
              <a:t> wise Qutntity Sold Report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Lit>
              <c:ptCount val="12"/>
              <c:pt idx="0">
                <c:v>Dinesh</c:v>
              </c:pt>
              <c:pt idx="1">
                <c:v>Jaykesh</c:v>
              </c:pt>
              <c:pt idx="2">
                <c:v>Keshav</c:v>
              </c:pt>
              <c:pt idx="3">
                <c:v>Kuldeep </c:v>
              </c:pt>
              <c:pt idx="4">
                <c:v>Pankaj</c:v>
              </c:pt>
              <c:pt idx="5">
                <c:v>Pinkesh</c:v>
              </c:pt>
              <c:pt idx="6">
                <c:v>Priya</c:v>
              </c:pt>
              <c:pt idx="7">
                <c:v>Raghav</c:v>
              </c:pt>
              <c:pt idx="8">
                <c:v>Rajendra</c:v>
              </c:pt>
              <c:pt idx="9">
                <c:v>Raju</c:v>
              </c:pt>
              <c:pt idx="10">
                <c:v>Rustam</c:v>
              </c:pt>
              <c:pt idx="11">
                <c:v>vishal </c:v>
              </c:pt>
            </c:strLit>
          </c:cat>
          <c:val>
            <c:numLit>
              <c:formatCode>General</c:formatCode>
              <c:ptCount val="12"/>
              <c:pt idx="0">
                <c:v>2295603.6899999985</c:v>
              </c:pt>
              <c:pt idx="1">
                <c:v>2014362.6899999995</c:v>
              </c:pt>
              <c:pt idx="2">
                <c:v>2164493.16</c:v>
              </c:pt>
              <c:pt idx="3">
                <c:v>2217838.37</c:v>
              </c:pt>
              <c:pt idx="4">
                <c:v>2475698.2200000011</c:v>
              </c:pt>
              <c:pt idx="5">
                <c:v>2133042.4700000002</c:v>
              </c:pt>
              <c:pt idx="6">
                <c:v>1974405.26</c:v>
              </c:pt>
              <c:pt idx="7">
                <c:v>1932354.4500000004</c:v>
              </c:pt>
              <c:pt idx="8">
                <c:v>2393966.9099999997</c:v>
              </c:pt>
              <c:pt idx="9">
                <c:v>2310951.9500000007</c:v>
              </c:pt>
              <c:pt idx="10">
                <c:v>2205429.9099999992</c:v>
              </c:pt>
              <c:pt idx="11">
                <c:v>2478246.6100000003</c:v>
              </c:pt>
            </c:numLit>
          </c:val>
          <c:smooth val="0"/>
          <c:extLst>
            <c:ext xmlns:c16="http://schemas.microsoft.com/office/drawing/2014/chart" uri="{C3380CC4-5D6E-409C-BE32-E72D297353CC}">
              <c16:uniqueId val="{00000001-E45C-4560-91B6-49A5BC1C4C14}"/>
            </c:ext>
          </c:extLst>
        </c:ser>
        <c:dLbls>
          <c:dLblPos val="ctr"/>
          <c:showLegendKey val="0"/>
          <c:showVal val="1"/>
          <c:showCatName val="0"/>
          <c:showSerName val="0"/>
          <c:showPercent val="0"/>
          <c:showBubbleSize val="0"/>
        </c:dLbls>
        <c:marker val="1"/>
        <c:smooth val="0"/>
        <c:axId val="587065728"/>
        <c:axId val="587064288"/>
      </c:lineChart>
      <c:catAx>
        <c:axId val="58706572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87064288"/>
        <c:crosses val="autoZero"/>
        <c:auto val="1"/>
        <c:lblAlgn val="ctr"/>
        <c:lblOffset val="100"/>
        <c:noMultiLvlLbl val="0"/>
      </c:catAx>
      <c:valAx>
        <c:axId val="58706428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8706572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Product and Region wise Sale</cx:v>
        </cx:txData>
      </cx:tx>
      <cx:txPr>
        <a:bodyPr spcFirstLastPara="1" vertOverflow="ellipsis" horzOverflow="overflow" wrap="square" lIns="0" tIns="0" rIns="0" bIns="0" anchor="ctr" anchorCtr="1"/>
        <a:lstStyle/>
        <a:p>
          <a:pPr algn="ctr" rtl="0">
            <a:defRPr/>
          </a:pPr>
          <a:r>
            <a:rPr lang="en-US" sz="1600" b="1" i="0" u="none" strike="noStrike" cap="all" baseline="0">
              <a:solidFill>
                <a:sysClr val="windowText" lastClr="000000">
                  <a:lumMod val="65000"/>
                  <a:lumOff val="35000"/>
                </a:sysClr>
              </a:solidFill>
              <a:latin typeface="Calibri" panose="020F0502020204030204"/>
            </a:rPr>
            <a:t>Product and Region wise Sale</a:t>
          </a:r>
        </a:p>
      </cx:txPr>
    </cx:title>
    <cx:plotArea>
      <cx:plotAreaRegion>
        <cx:series layoutId="treemap" uniqueId="{DB13C4BE-DF62-4DB1-96EF-76DC406F3A20}">
          <cx:tx>
            <cx:txData>
              <cx:f>_xlchart.v1.1</cx:f>
              <cx:v>Sum of Sales Amount</cx:v>
            </cx:txData>
          </cx:tx>
          <cx:dataLabels>
            <cx:numFmt formatCode="General" sourceLinked="0"/>
            <cx:txPr>
              <a:bodyPr spcFirstLastPara="1" vertOverflow="ellipsis" horzOverflow="overflow" wrap="square" lIns="0" tIns="0" rIns="0" bIns="0" anchor="ctr" anchorCtr="1"/>
              <a:lstStyle/>
              <a:p>
                <a:pPr algn="ctr" rtl="0">
                  <a:defRPr sz="800"/>
                </a:pPr>
                <a:endParaRPr lang="en-US" sz="8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waterfall" uniqueId="{6FF14D8B-C525-42C4-BCC5-91259B5D10AD}">
          <cx:tx>
            <cx:txData>
              <cx:f>_xlchart.v1.4</cx:f>
              <cx:v>Sum of Sales Amount</cx:v>
            </cx:txData>
          </cx:tx>
          <cx:dataLabels pos="outEnd">
            <cx:txPr>
              <a:bodyPr spcFirstLastPara="1" vertOverflow="ellipsis" horzOverflow="overflow" wrap="square" lIns="0" tIns="0" rIns="0" bIns="0" anchor="ctr" anchorCtr="1"/>
              <a:lstStyle/>
              <a:p>
                <a:pPr algn="ctr" rtl="0">
                  <a:defRPr sz="600" b="1">
                    <a:latin typeface="Times New Roman" panose="02020603050405020304" pitchFamily="18" charset="0"/>
                    <a:ea typeface="Times New Roman" panose="02020603050405020304" pitchFamily="18" charset="0"/>
                    <a:cs typeface="Times New Roman" panose="02020603050405020304" pitchFamily="18" charset="0"/>
                  </a:defRPr>
                </a:pPr>
                <a:endParaRPr lang="en-US" sz="6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visibility seriesName="0" categoryName="0" value="1"/>
            <cx:separator>, </cx:separator>
          </cx:dataLabels>
          <cx:dataId val="0"/>
          <cx:layoutPr>
            <cx:subtotals>
              <cx:idx val="0"/>
              <cx:idx val="15"/>
            </cx:subtotals>
          </cx:layoutPr>
        </cx:series>
      </cx:plotAreaRegion>
      <cx:axis id="0">
        <cx:catScaling gapWidth="0.5"/>
        <cx:tickLabels/>
        <cx:txPr>
          <a:bodyPr spcFirstLastPara="1" vertOverflow="ellipsis" horzOverflow="overflow" wrap="square" lIns="0" tIns="0" rIns="0" bIns="0" anchor="ctr" anchorCtr="1"/>
          <a:lstStyle/>
          <a:p>
            <a:pPr algn="ctr" rtl="0">
              <a:defRPr b="1">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7.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4.xml"/><Relationship Id="rId5" Type="http://schemas.openxmlformats.org/officeDocument/2006/relationships/image" Target="../media/image2.png"/><Relationship Id="rId4" Type="http://schemas.openxmlformats.org/officeDocument/2006/relationships/customXml" Target="../ink/ink3.xml"/></Relationships>
</file>

<file path=xl/drawings/drawing1.xml><?xml version="1.0" encoding="utf-8"?>
<xdr:wsDr xmlns:xdr="http://schemas.openxmlformats.org/drawingml/2006/spreadsheetDrawing" xmlns:a="http://schemas.openxmlformats.org/drawingml/2006/main">
  <xdr:twoCellAnchor editAs="oneCell">
    <xdr:from>
      <xdr:col>3</xdr:col>
      <xdr:colOff>469900</xdr:colOff>
      <xdr:row>2</xdr:row>
      <xdr:rowOff>120650</xdr:rowOff>
    </xdr:from>
    <xdr:to>
      <xdr:col>5</xdr:col>
      <xdr:colOff>431800</xdr:colOff>
      <xdr:row>23</xdr:row>
      <xdr:rowOff>88900</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3729B7D7-56C6-52CB-8A6E-E4AC3C85280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289300" y="488950"/>
              <a:ext cx="1244600" cy="383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0</xdr:row>
      <xdr:rowOff>38100</xdr:rowOff>
    </xdr:from>
    <xdr:to>
      <xdr:col>16</xdr:col>
      <xdr:colOff>488950</xdr:colOff>
      <xdr:row>2</xdr:row>
      <xdr:rowOff>88900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5FA77971-2A04-CEA5-C601-8089C490A27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238500" y="38100"/>
              <a:ext cx="8223250"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50800</xdr:colOff>
      <xdr:row>2</xdr:row>
      <xdr:rowOff>139700</xdr:rowOff>
    </xdr:from>
    <xdr:to>
      <xdr:col>9</xdr:col>
      <xdr:colOff>825500</xdr:colOff>
      <xdr:row>13</xdr:row>
      <xdr:rowOff>95250</xdr:rowOff>
    </xdr:to>
    <xdr:graphicFrame macro="">
      <xdr:nvGraphicFramePr>
        <xdr:cNvPr id="7" name="Chart 6">
          <a:extLst>
            <a:ext uri="{FF2B5EF4-FFF2-40B4-BE49-F238E27FC236}">
              <a16:creationId xmlns:a16="http://schemas.microsoft.com/office/drawing/2014/main" id="{41CA83D6-78F1-345F-5459-737BFB554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241300</xdr:colOff>
      <xdr:row>2</xdr:row>
      <xdr:rowOff>127000</xdr:rowOff>
    </xdr:from>
    <xdr:to>
      <xdr:col>16</xdr:col>
      <xdr:colOff>558800</xdr:colOff>
      <xdr:row>11</xdr:row>
      <xdr:rowOff>101599</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615AEAE4-D638-DA6B-E2AC-352D6230831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585450" y="495300"/>
              <a:ext cx="946150" cy="1631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139700</xdr:colOff>
      <xdr:row>0</xdr:row>
      <xdr:rowOff>25400</xdr:rowOff>
    </xdr:from>
    <xdr:to>
      <xdr:col>6</xdr:col>
      <xdr:colOff>698500</xdr:colOff>
      <xdr:row>19</xdr:row>
      <xdr:rowOff>120650</xdr:rowOff>
    </xdr:to>
    <mc:AlternateContent xmlns:mc="http://schemas.openxmlformats.org/markup-compatibility/2006" xmlns:a14="http://schemas.microsoft.com/office/drawing/2010/main">
      <mc:Choice Requires="a14">
        <xdr:graphicFrame macro="">
          <xdr:nvGraphicFramePr>
            <xdr:cNvPr id="2" name="City 1">
              <a:extLst>
                <a:ext uri="{FF2B5EF4-FFF2-40B4-BE49-F238E27FC236}">
                  <a16:creationId xmlns:a16="http://schemas.microsoft.com/office/drawing/2014/main" id="{720A1A3D-F7F7-79D3-E19C-0A7ADA130E0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308350" y="25400"/>
              <a:ext cx="1828800" cy="359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736600</xdr:colOff>
      <xdr:row>0</xdr:row>
      <xdr:rowOff>12701</xdr:rowOff>
    </xdr:from>
    <xdr:to>
      <xdr:col>12</xdr:col>
      <xdr:colOff>742950</xdr:colOff>
      <xdr:row>2</xdr:row>
      <xdr:rowOff>63500</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234DE8C9-D865-C9A4-C305-C397F3F7866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175250" y="12701"/>
              <a:ext cx="6089650" cy="419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69850</xdr:colOff>
      <xdr:row>2</xdr:row>
      <xdr:rowOff>79375</xdr:rowOff>
    </xdr:from>
    <xdr:to>
      <xdr:col>9</xdr:col>
      <xdr:colOff>133350</xdr:colOff>
      <xdr:row>18</xdr:row>
      <xdr:rowOff>25400</xdr:rowOff>
    </xdr:to>
    <xdr:graphicFrame macro="">
      <xdr:nvGraphicFramePr>
        <xdr:cNvPr id="5" name="Chart 4">
          <a:extLst>
            <a:ext uri="{FF2B5EF4-FFF2-40B4-BE49-F238E27FC236}">
              <a16:creationId xmlns:a16="http://schemas.microsoft.com/office/drawing/2014/main" id="{3FD1C856-F42F-EEEC-B6CA-722B16895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244475</xdr:colOff>
      <xdr:row>2</xdr:row>
      <xdr:rowOff>104775</xdr:rowOff>
    </xdr:from>
    <xdr:to>
      <xdr:col>12</xdr:col>
      <xdr:colOff>615950</xdr:colOff>
      <xdr:row>18</xdr:row>
      <xdr:rowOff>38100</xdr:rowOff>
    </xdr:to>
    <xdr:graphicFrame macro="">
      <xdr:nvGraphicFramePr>
        <xdr:cNvPr id="6" name="Chart 5">
          <a:extLst>
            <a:ext uri="{FF2B5EF4-FFF2-40B4-BE49-F238E27FC236}">
              <a16:creationId xmlns:a16="http://schemas.microsoft.com/office/drawing/2014/main" id="{13470BC9-DC27-1EFB-9538-B82BCE397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320675</xdr:colOff>
      <xdr:row>1</xdr:row>
      <xdr:rowOff>158750</xdr:rowOff>
    </xdr:from>
    <xdr:to>
      <xdr:col>18</xdr:col>
      <xdr:colOff>520700</xdr:colOff>
      <xdr:row>16</xdr:row>
      <xdr:rowOff>107950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0995862-ACD7-4F3C-3582-1CBDE5500D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05825" y="342900"/>
              <a:ext cx="5076825" cy="2711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1082674</xdr:colOff>
      <xdr:row>1</xdr:row>
      <xdr:rowOff>25401</xdr:rowOff>
    </xdr:from>
    <xdr:to>
      <xdr:col>12</xdr:col>
      <xdr:colOff>44450</xdr:colOff>
      <xdr:row>4</xdr:row>
      <xdr:rowOff>158751</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4B8E7393-7521-F52D-F237-A34D34A9EFB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555874" y="209551"/>
              <a:ext cx="5857876"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425450</xdr:colOff>
      <xdr:row>4</xdr:row>
      <xdr:rowOff>146050</xdr:rowOff>
    </xdr:from>
    <xdr:to>
      <xdr:col>2</xdr:col>
      <xdr:colOff>127000</xdr:colOff>
      <xdr:row>6</xdr:row>
      <xdr:rowOff>44450</xdr:rowOff>
    </xdr:to>
    <xdr:sp macro="[0]!Macro1" textlink="">
      <xdr:nvSpPr>
        <xdr:cNvPr id="10" name="Rectangle 9">
          <a:extLst>
            <a:ext uri="{FF2B5EF4-FFF2-40B4-BE49-F238E27FC236}">
              <a16:creationId xmlns:a16="http://schemas.microsoft.com/office/drawing/2014/main" id="{E9D41972-7594-3930-0169-58AB85A22613}"/>
            </a:ext>
          </a:extLst>
        </xdr:cNvPr>
        <xdr:cNvSpPr/>
      </xdr:nvSpPr>
      <xdr:spPr>
        <a:xfrm>
          <a:off x="425450" y="882650"/>
          <a:ext cx="1174750" cy="26670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City</a:t>
          </a:r>
          <a:r>
            <a:rPr lang="en-IN" sz="1100" baseline="0"/>
            <a:t> wise resport</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xdr:colOff>
      <xdr:row>0</xdr:row>
      <xdr:rowOff>0</xdr:rowOff>
    </xdr:from>
    <xdr:to>
      <xdr:col>15</xdr:col>
      <xdr:colOff>292100</xdr:colOff>
      <xdr:row>22</xdr:row>
      <xdr:rowOff>114300</xdr:rowOff>
    </xdr:to>
    <xdr:graphicFrame macro="">
      <xdr:nvGraphicFramePr>
        <xdr:cNvPr id="2" name="Chart 1">
          <a:extLst>
            <a:ext uri="{FF2B5EF4-FFF2-40B4-BE49-F238E27FC236}">
              <a16:creationId xmlns:a16="http://schemas.microsoft.com/office/drawing/2014/main" id="{BF78652D-AC43-BBD6-66B1-B88CAE38D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295274</xdr:colOff>
      <xdr:row>1</xdr:row>
      <xdr:rowOff>63500</xdr:rowOff>
    </xdr:from>
    <xdr:to>
      <xdr:col>16</xdr:col>
      <xdr:colOff>361950</xdr:colOff>
      <xdr:row>22</xdr:row>
      <xdr:rowOff>50800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23E1E4E-51B8-8437-4369-E63188591B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74974" y="247650"/>
              <a:ext cx="7991476" cy="3854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533160</xdr:colOff>
      <xdr:row>1</xdr:row>
      <xdr:rowOff>120410</xdr:rowOff>
    </xdr:from>
    <xdr:to>
      <xdr:col>0</xdr:col>
      <xdr:colOff>533520</xdr:colOff>
      <xdr:row>1</xdr:row>
      <xdr:rowOff>120770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2" name="Ink 11">
              <a:extLst>
                <a:ext uri="{FF2B5EF4-FFF2-40B4-BE49-F238E27FC236}">
                  <a16:creationId xmlns:a16="http://schemas.microsoft.com/office/drawing/2014/main" id="{49022780-2737-E866-1D36-ED6B557824CB}"/>
                </a:ext>
              </a:extLst>
            </xdr14:cNvPr>
            <xdr14:cNvContentPartPr/>
          </xdr14:nvContentPartPr>
          <xdr14:nvPr macro=""/>
          <xdr14:xfrm>
            <a:off x="533160" y="304560"/>
            <a:ext cx="360" cy="360"/>
          </xdr14:xfrm>
        </xdr:contentPart>
      </mc:Choice>
      <mc:Fallback xmlns="">
        <xdr:pic>
          <xdr:nvPicPr>
            <xdr:cNvPr id="12" name="Ink 11">
              <a:extLst>
                <a:ext uri="{FF2B5EF4-FFF2-40B4-BE49-F238E27FC236}">
                  <a16:creationId xmlns:a16="http://schemas.microsoft.com/office/drawing/2014/main" id="{49022780-2737-E866-1D36-ED6B557824CB}"/>
                </a:ext>
              </a:extLst>
            </xdr:cNvPr>
            <xdr:cNvPicPr/>
          </xdr:nvPicPr>
          <xdr:blipFill>
            <a:blip xmlns:r="http://schemas.openxmlformats.org/officeDocument/2006/relationships" r:embed="rId2"/>
            <a:stretch>
              <a:fillRect/>
            </a:stretch>
          </xdr:blipFill>
          <xdr:spPr>
            <a:xfrm>
              <a:off x="528840" y="300240"/>
              <a:ext cx="9000" cy="9000"/>
            </a:xfrm>
            <a:prstGeom prst="rect">
              <a:avLst/>
            </a:prstGeom>
          </xdr:spPr>
        </xdr:pic>
      </mc:Fallback>
    </mc:AlternateContent>
    <xdr:clientData/>
  </xdr:twoCellAnchor>
  <xdr:twoCellAnchor editAs="oneCell">
    <xdr:from>
      <xdr:col>0</xdr:col>
      <xdr:colOff>571320</xdr:colOff>
      <xdr:row>6</xdr:row>
      <xdr:rowOff>12540</xdr:rowOff>
    </xdr:from>
    <xdr:to>
      <xdr:col>0</xdr:col>
      <xdr:colOff>571680</xdr:colOff>
      <xdr:row>6</xdr:row>
      <xdr:rowOff>12900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3" name="Ink 12">
              <a:extLst>
                <a:ext uri="{FF2B5EF4-FFF2-40B4-BE49-F238E27FC236}">
                  <a16:creationId xmlns:a16="http://schemas.microsoft.com/office/drawing/2014/main" id="{65748CBF-3F69-672E-103C-F01584BD04E0}"/>
                </a:ext>
              </a:extLst>
            </xdr14:cNvPr>
            <xdr14:cNvContentPartPr/>
          </xdr14:nvContentPartPr>
          <xdr14:nvPr macro=""/>
          <xdr14:xfrm>
            <a:off x="571320" y="1117440"/>
            <a:ext cx="360" cy="360"/>
          </xdr14:xfrm>
        </xdr:contentPart>
      </mc:Choice>
      <mc:Fallback xmlns="">
        <xdr:pic>
          <xdr:nvPicPr>
            <xdr:cNvPr id="13" name="Ink 12">
              <a:extLst>
                <a:ext uri="{FF2B5EF4-FFF2-40B4-BE49-F238E27FC236}">
                  <a16:creationId xmlns:a16="http://schemas.microsoft.com/office/drawing/2014/main" id="{65748CBF-3F69-672E-103C-F01584BD04E0}"/>
                </a:ext>
              </a:extLst>
            </xdr:cNvPr>
            <xdr:cNvPicPr/>
          </xdr:nvPicPr>
          <xdr:blipFill>
            <a:blip xmlns:r="http://schemas.openxmlformats.org/officeDocument/2006/relationships" r:embed="rId2"/>
            <a:stretch>
              <a:fillRect/>
            </a:stretch>
          </xdr:blipFill>
          <xdr:spPr>
            <a:xfrm>
              <a:off x="567000" y="1113120"/>
              <a:ext cx="9000" cy="9000"/>
            </a:xfrm>
            <a:prstGeom prst="rect">
              <a:avLst/>
            </a:prstGeom>
          </xdr:spPr>
        </xdr:pic>
      </mc:Fallback>
    </mc:AlternateContent>
    <xdr:clientData/>
  </xdr:twoCellAnchor>
  <xdr:twoCellAnchor editAs="oneCell">
    <xdr:from>
      <xdr:col>0</xdr:col>
      <xdr:colOff>412560</xdr:colOff>
      <xdr:row>6</xdr:row>
      <xdr:rowOff>94980</xdr:rowOff>
    </xdr:from>
    <xdr:to>
      <xdr:col>0</xdr:col>
      <xdr:colOff>759240</xdr:colOff>
      <xdr:row>6</xdr:row>
      <xdr:rowOff>95340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5" name="Ink 14">
              <a:extLst>
                <a:ext uri="{FF2B5EF4-FFF2-40B4-BE49-F238E27FC236}">
                  <a16:creationId xmlns:a16="http://schemas.microsoft.com/office/drawing/2014/main" id="{AC6EAE83-28DE-8433-5680-3589703E2F96}"/>
                </a:ext>
              </a:extLst>
            </xdr14:cNvPr>
            <xdr14:cNvContentPartPr/>
          </xdr14:nvContentPartPr>
          <xdr14:nvPr macro=""/>
          <xdr14:xfrm>
            <a:off x="412560" y="1199880"/>
            <a:ext cx="346680" cy="360"/>
          </xdr14:xfrm>
        </xdr:contentPart>
      </mc:Choice>
      <mc:Fallback xmlns="">
        <xdr:pic>
          <xdr:nvPicPr>
            <xdr:cNvPr id="15" name="Ink 14">
              <a:extLst>
                <a:ext uri="{FF2B5EF4-FFF2-40B4-BE49-F238E27FC236}">
                  <a16:creationId xmlns:a16="http://schemas.microsoft.com/office/drawing/2014/main" id="{AC6EAE83-28DE-8433-5680-3589703E2F96}"/>
                </a:ext>
              </a:extLst>
            </xdr:cNvPr>
            <xdr:cNvPicPr/>
          </xdr:nvPicPr>
          <xdr:blipFill>
            <a:blip xmlns:r="http://schemas.openxmlformats.org/officeDocument/2006/relationships" r:embed="rId5"/>
            <a:stretch>
              <a:fillRect/>
            </a:stretch>
          </xdr:blipFill>
          <xdr:spPr>
            <a:xfrm>
              <a:off x="408240" y="1195560"/>
              <a:ext cx="355320" cy="9000"/>
            </a:xfrm>
            <a:prstGeom prst="rect">
              <a:avLst/>
            </a:prstGeom>
          </xdr:spPr>
        </xdr:pic>
      </mc:Fallback>
    </mc:AlternateContent>
    <xdr:clientData/>
  </xdr:twoCellAnchor>
  <xdr:twoCellAnchor editAs="oneCell">
    <xdr:from>
      <xdr:col>0</xdr:col>
      <xdr:colOff>419040</xdr:colOff>
      <xdr:row>48</xdr:row>
      <xdr:rowOff>101250</xdr:rowOff>
    </xdr:from>
    <xdr:to>
      <xdr:col>0</xdr:col>
      <xdr:colOff>419400</xdr:colOff>
      <xdr:row>48</xdr:row>
      <xdr:rowOff>101610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20" name="Ink 19">
              <a:extLst>
                <a:ext uri="{FF2B5EF4-FFF2-40B4-BE49-F238E27FC236}">
                  <a16:creationId xmlns:a16="http://schemas.microsoft.com/office/drawing/2014/main" id="{7E9105B8-A1FE-40A8-8FDA-D8C7231E8E4B}"/>
                </a:ext>
              </a:extLst>
            </xdr14:cNvPr>
            <xdr14:cNvContentPartPr/>
          </xdr14:nvContentPartPr>
          <xdr14:nvPr macro=""/>
          <xdr14:xfrm>
            <a:off x="419040" y="8940450"/>
            <a:ext cx="360" cy="360"/>
          </xdr14:xfrm>
        </xdr:contentPart>
      </mc:Choice>
      <mc:Fallback xmlns="">
        <xdr:pic>
          <xdr:nvPicPr>
            <xdr:cNvPr id="20" name="Ink 19">
              <a:extLst>
                <a:ext uri="{FF2B5EF4-FFF2-40B4-BE49-F238E27FC236}">
                  <a16:creationId xmlns:a16="http://schemas.microsoft.com/office/drawing/2014/main" id="{7E9105B8-A1FE-40A8-8FDA-D8C7231E8E4B}"/>
                </a:ext>
              </a:extLst>
            </xdr:cNvPr>
            <xdr:cNvPicPr/>
          </xdr:nvPicPr>
          <xdr:blipFill>
            <a:blip xmlns:r="http://schemas.openxmlformats.org/officeDocument/2006/relationships" r:embed="rId2"/>
            <a:stretch>
              <a:fillRect/>
            </a:stretch>
          </xdr:blipFill>
          <xdr:spPr>
            <a:xfrm>
              <a:off x="414720" y="8936130"/>
              <a:ext cx="9000" cy="9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7T05:51:18.741"/>
    </inkml:context>
    <inkml:brush xml:id="br0">
      <inkml:brushProperty name="width" value="0.025" units="cm"/>
      <inkml:brushProperty name="height" value="0.025" units="cm"/>
      <inkml:brushProperty name="color" value="#E71224"/>
    </inkml:brush>
  </inkml:definitions>
  <inkml:trace contextRef="#ctx0" brushRef="#br0">0 0 24575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7T05:51:28.474"/>
    </inkml:context>
    <inkml:brush xml:id="br0">
      <inkml:brushProperty name="width" value="0.025" units="cm"/>
      <inkml:brushProperty name="height" value="0.025" units="cm"/>
      <inkml:brushProperty name="color" value="#E71224"/>
    </inkml:brush>
  </inkml:definitions>
  <inkml:trace contextRef="#ctx0" brushRef="#br0">0 0 24575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7T05:51:35.304"/>
    </inkml:context>
    <inkml:brush xml:id="br0">
      <inkml:brushProperty name="width" value="0.025" units="cm"/>
      <inkml:brushProperty name="height" value="0.025" units="cm"/>
      <inkml:brushProperty name="color" value="#E71224"/>
    </inkml:brush>
  </inkml:definitions>
  <inkml:trace contextRef="#ctx0" brushRef="#br0">0 0 24575,'950'0'-1365,"-938"0"-5461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17T05:52:55.871"/>
    </inkml:context>
    <inkml:brush xml:id="br0">
      <inkml:brushProperty name="width" value="0.025" units="cm"/>
      <inkml:brushProperty name="height" value="0.025" units="cm"/>
      <inkml:brushProperty name="color" value="#E71224"/>
    </inkml:brush>
  </inkml:definitions>
  <inkml:trace contextRef="#ctx0" brushRef="#br0">0 0 24575</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5880.285028472223" createdVersion="8" refreshedVersion="8" minRefreshableVersion="3" recordCount="72" xr:uid="{DF54DDE3-4E16-41A0-B955-01946FBE59B1}">
  <cacheSource type="worksheet">
    <worksheetSource ref="A1:E73" sheet="Sheet4"/>
  </cacheSource>
  <cacheFields count="5">
    <cacheField name="Month" numFmtId="0">
      <sharedItems/>
    </cacheField>
    <cacheField name="Platform" numFmtId="0">
      <sharedItems/>
    </cacheField>
    <cacheField name="Status" numFmtId="0">
      <sharedItems count="3">
        <s v="Sold"/>
        <s v="Cancel"/>
        <s v="Cancelation %" f="1"/>
      </sharedItems>
    </cacheField>
    <cacheField name="Product Name" numFmtId="0">
      <sharedItems count="6">
        <s v="Keyboard"/>
        <s v="Mouse"/>
        <s v="MSOffice"/>
        <s v="QuickHeal"/>
        <s v="Hardware" f="1"/>
        <s v="Software" f="1"/>
      </sharedItems>
    </cacheField>
    <cacheField name="Amount" numFmtId="0">
      <sharedItems containsSemiMixedTypes="0" containsString="0" containsNumber="1" containsInteger="1" minValue="1200" maxValue="6400"/>
    </cacheField>
  </cacheFields>
  <calculatedItems count="3">
    <calculatedItem formula="'Product Name'[MSOffice]+'Product Name'[QuickHeal]">
      <pivotArea cacheIndex="1" outline="0" fieldPosition="0">
        <references count="1">
          <reference field="3" count="1">
            <x v="5"/>
          </reference>
        </references>
      </pivotArea>
    </calculatedItem>
    <calculatedItem formula="'Product Name'[Keyboard]+'Product Name'[Mouse]">
      <pivotArea cacheIndex="1" outline="0" fieldPosition="0">
        <references count="1">
          <reference field="3" count="1">
            <x v="4"/>
          </reference>
        </references>
      </pivotArea>
    </calculatedItem>
    <calculatedItem formula="Status[Cancel]/(Status[Cancel]+Status[Sold])">
      <pivotArea cacheIndex="1" outline="0" fieldPosition="0">
        <references count="1">
          <reference field="2" count="1">
            <x v="2"/>
          </reference>
        </references>
      </pivotArea>
    </calculatedItem>
  </calculatedItem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5880.285028935185" createdVersion="8" refreshedVersion="8" minRefreshableVersion="3" recordCount="11" xr:uid="{82238FAF-739E-491A-B790-368B3263638F}">
  <cacheSource type="worksheet">
    <worksheetSource ref="A1:D12" sheet="Sheet3"/>
  </cacheSource>
  <cacheFields count="4">
    <cacheField name="Month" numFmtId="0">
      <sharedItems count="3">
        <s v="January"/>
        <s v="February"/>
        <s v="March"/>
      </sharedItems>
    </cacheField>
    <cacheField name="Type" numFmtId="0">
      <sharedItems/>
    </cacheField>
    <cacheField name="Credit/Debit" numFmtId="0">
      <sharedItems/>
    </cacheField>
    <cacheField name="Amount" numFmtId="0">
      <sharedItems containsSemiMixedTypes="0" containsString="0" containsNumber="1" containsInteger="1" minValue="2515" maxValue="526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5880.285029166669" createdVersion="8" refreshedVersion="8" minRefreshableVersion="3" recordCount="1043" xr:uid="{515EE3F6-3320-4C48-ACE3-C166DC6FAFE9}">
  <cacheSource type="worksheet">
    <worksheetSource ref="A1:J1044" sheet="Sheet1"/>
  </cacheSource>
  <cacheFields count="10">
    <cacheField name="Sale Date" numFmtId="14">
      <sharedItems containsSemiMixedTypes="0" containsNonDate="0" containsDate="1" containsString="0" minDate="2023-01-01T00:00:00" maxDate="2024-12-24T00:00:00"/>
    </cacheField>
    <cacheField name="Region" numFmtId="0">
      <sharedItems count="3">
        <s v="West"/>
        <s v="South"/>
        <s v="North"/>
      </sharedItems>
    </cacheField>
    <cacheField name="State" numFmtId="0">
      <sharedItems count="5">
        <s v="Maharashtra"/>
        <s v="Karnataka"/>
        <s v="Tamil Nadu"/>
        <s v="Delhi"/>
        <s v="Gujarat"/>
      </sharedItems>
    </cacheField>
    <cacheField name="City" numFmtId="0">
      <sharedItems count="15">
        <s v="Mumbai"/>
        <s v="Mysuru"/>
        <s v="Chennai"/>
        <s v="Madurai"/>
        <s v="New Delhi"/>
        <s v="Nagpur"/>
        <s v="Coimbatore"/>
        <s v="Hubli"/>
        <s v="Ahmedabad"/>
        <s v="Vadodara"/>
        <s v="Pune"/>
        <s v="Surat"/>
        <s v="Bengaluru"/>
        <s v="Karol Bagh"/>
        <s v="Dwarka"/>
      </sharedItems>
    </cacheField>
    <cacheField name="Product" numFmtId="0">
      <sharedItems count="5">
        <s v="Stationery"/>
        <s v="Clothing"/>
        <s v="Groceries"/>
        <s v="Furniture"/>
        <s v="Electronics"/>
      </sharedItems>
    </cacheField>
    <cacheField name="Quantity" numFmtId="0">
      <sharedItems containsSemiMixedTypes="0" containsString="0" containsNumber="1" containsInteger="1" minValue="1" maxValue="20"/>
    </cacheField>
    <cacheField name="Salesman " numFmtId="0">
      <sharedItems count="16">
        <s v="Rajendra"/>
        <s v="Kuldeep "/>
        <s v="vishal "/>
        <s v="Raju"/>
        <s v="Pankaj"/>
        <s v="Priya"/>
        <s v="Keshav"/>
        <s v="Dinesh"/>
        <s v="Raghav"/>
        <s v="Rustam"/>
        <s v="Pinkesh"/>
        <s v="Jaykesh"/>
        <s v="Golu"/>
        <s v="bittu"/>
        <s v="Bablu"/>
        <s v="Kalu"/>
      </sharedItems>
    </cacheField>
    <cacheField name="AGE" numFmtId="0">
      <sharedItems containsSemiMixedTypes="0" containsString="0" containsNumber="1" containsInteger="1" minValue="16" maxValue="55" count="40">
        <n v="43"/>
        <n v="47"/>
        <n v="21"/>
        <n v="41"/>
        <n v="31"/>
        <n v="40"/>
        <n v="28"/>
        <n v="23"/>
        <n v="25"/>
        <n v="16"/>
        <n v="44"/>
        <n v="22"/>
        <n v="42"/>
        <n v="30"/>
        <n v="50"/>
        <n v="39"/>
        <n v="36"/>
        <n v="55"/>
        <n v="24"/>
        <n v="45"/>
        <n v="54"/>
        <n v="26"/>
        <n v="17"/>
        <n v="33"/>
        <n v="18"/>
        <n v="32"/>
        <n v="37"/>
        <n v="19"/>
        <n v="52"/>
        <n v="20"/>
        <n v="35"/>
        <n v="46"/>
        <n v="53"/>
        <n v="51"/>
        <n v="29"/>
        <n v="38"/>
        <n v="27"/>
        <n v="34"/>
        <n v="48"/>
        <n v="49"/>
      </sharedItems>
      <fieldGroup base="7">
        <rangePr startNum="16" endNum="55" groupInterval="10"/>
        <groupItems count="6">
          <s v="&lt;16"/>
          <s v="16-25"/>
          <s v="26-35"/>
          <s v="36-45"/>
          <s v="46-55"/>
          <s v="&gt;56"/>
        </groupItems>
      </fieldGroup>
    </cacheField>
    <cacheField name="Price per Unit" numFmtId="0">
      <sharedItems containsSemiMixedTypes="0" containsString="0" containsNumber="1" minValue="116.58" maxValue="4999.8999999999996"/>
    </cacheField>
    <cacheField name="Sales Amount" numFmtId="0">
      <sharedItems containsSemiMixedTypes="0" containsString="0" containsNumber="1" minValue="267.32" maxValue="98880.2" count="1000">
        <n v="12632.31"/>
        <n v="54602.77"/>
        <n v="267.32"/>
        <n v="12407.85"/>
        <n v="10449.18"/>
        <n v="18664.099999999999"/>
        <n v="3845.52"/>
        <n v="62400.94"/>
        <n v="14782.08"/>
        <n v="54944.11"/>
        <n v="31374.42"/>
        <n v="8119.22"/>
        <n v="25553.19"/>
        <n v="4080.92"/>
        <n v="34860.480000000003"/>
        <n v="12689.52"/>
        <n v="2808.3"/>
        <n v="4557.0600000000004"/>
        <n v="8435"/>
        <n v="24938.5"/>
        <n v="19303.650000000001"/>
        <n v="65093.42"/>
        <n v="433.17"/>
        <n v="66036.45"/>
        <n v="11690.48"/>
        <n v="29862.9"/>
        <n v="32187.74"/>
        <n v="12396.51"/>
        <n v="10029.959999999999"/>
        <n v="16528.919999999998"/>
        <n v="3967.86"/>
        <n v="36974"/>
        <n v="18736.16"/>
        <n v="4403.43"/>
        <n v="7333.8"/>
        <n v="6732.25"/>
        <n v="22673.07"/>
        <n v="4574.18"/>
        <n v="28609.200000000001"/>
        <n v="6075.1"/>
        <n v="22143.59"/>
        <n v="64815.66"/>
        <n v="2287.52"/>
        <n v="20962.7"/>
        <n v="26207.4"/>
        <n v="9481.36"/>
        <n v="24605.88"/>
        <n v="41915.68"/>
        <n v="15515.6"/>
        <n v="58412.08"/>
        <n v="66620.800000000003"/>
        <n v="33692.959999999999"/>
        <n v="24777.360000000001"/>
        <n v="40808.519999999997"/>
        <n v="9525.42"/>
        <n v="38699.82"/>
        <n v="34646.949999999997"/>
        <n v="23157.75"/>
        <n v="10099.98"/>
        <n v="34388.1"/>
        <n v="12423.18"/>
        <n v="3459.33"/>
        <n v="56412.98"/>
        <n v="4584.8999999999996"/>
        <n v="73864.98"/>
        <n v="39003.300000000003"/>
        <n v="34959.300000000003"/>
        <n v="3698.2"/>
        <n v="57389.919999999998"/>
        <n v="5739.88"/>
        <n v="75034.62"/>
        <n v="18944.310000000001"/>
        <n v="24252.959999999999"/>
        <n v="44963.9"/>
        <n v="41747.129999999997"/>
        <n v="7904.8"/>
        <n v="12737.88"/>
        <n v="12722.72"/>
        <n v="10802.54"/>
        <n v="59238.879999999997"/>
        <n v="5824.76"/>
        <n v="39320.120000000003"/>
        <n v="6562.16"/>
        <n v="58641.3"/>
        <n v="76802.259999999995"/>
        <n v="20994.85"/>
        <n v="67747.539999999994"/>
        <n v="72407.88"/>
        <n v="19783.939999999999"/>
        <n v="32055.7"/>
        <n v="24939.200000000001"/>
        <n v="21100.66"/>
        <n v="59342.239999999998"/>
        <n v="18931.400000000001"/>
        <n v="41962.400000000001"/>
        <n v="5972.16"/>
        <n v="40041.120000000003"/>
        <n v="10425.299999999999"/>
        <n v="24883.35"/>
        <n v="1482.66"/>
        <n v="11872.14"/>
        <n v="49997.7"/>
        <n v="38802"/>
        <n v="56383.86"/>
        <n v="22499.4"/>
        <n v="56641.26"/>
        <n v="7280.37"/>
        <n v="20409.48"/>
        <n v="29106.48"/>
        <n v="12586.98"/>
        <n v="9050.1"/>
        <n v="10517.68"/>
        <n v="15786.98"/>
        <n v="46072.07"/>
        <n v="4859.6499999999996"/>
        <n v="70441.56"/>
        <n v="35218.879999999997"/>
        <n v="37337.279999999999"/>
        <n v="27748.93"/>
        <n v="47367.57"/>
        <n v="62322.879999999997"/>
        <n v="3654.56"/>
        <n v="22795.24"/>
        <n v="15542.24"/>
        <n v="5196.75"/>
        <n v="2239.44"/>
        <n v="1727"/>
        <n v="83819.83"/>
        <n v="7350.08"/>
        <n v="22982.18"/>
        <n v="60459.62"/>
        <n v="14629.53"/>
        <n v="69664.479999999996"/>
        <n v="42916.800000000003"/>
        <n v="5258.4"/>
        <n v="15580.5"/>
        <n v="62558.13"/>
        <n v="696.38"/>
        <n v="46165.73"/>
        <n v="4718.16"/>
        <n v="62361.120000000003"/>
        <n v="3042.8"/>
        <n v="81334.8"/>
        <n v="44728.2"/>
        <n v="26571.31"/>
        <n v="43663.29"/>
        <n v="33044.410000000003"/>
        <n v="3658.84"/>
        <n v="4681.07"/>
        <n v="44980.76"/>
        <n v="39900.639999999999"/>
        <n v="5543.8"/>
        <n v="24785.040000000001"/>
        <n v="12062.04"/>
        <n v="44580.6"/>
        <n v="12104.68"/>
        <n v="8016.3"/>
        <n v="52540.92"/>
        <n v="62911.199999999997"/>
        <n v="75020.2"/>
        <n v="51600.4"/>
        <n v="1406.1"/>
        <n v="18751.86"/>
        <n v="31197.62"/>
        <n v="7880.18"/>
        <n v="69509.09"/>
        <n v="20303.61"/>
        <n v="17018.68"/>
        <n v="23095.8"/>
        <n v="19667.7"/>
        <n v="46261.05"/>
        <n v="4004.4"/>
        <n v="12090.88"/>
        <n v="4343.58"/>
        <n v="15003.54"/>
        <n v="11915.82"/>
        <n v="40599.9"/>
        <n v="44695.68"/>
        <n v="42668.480000000003"/>
        <n v="11233.17"/>
        <n v="69345.25"/>
        <n v="47180.3"/>
        <n v="21931"/>
        <n v="8899.2000000000007"/>
        <n v="36893.4"/>
        <n v="31225.9"/>
        <n v="39640.5"/>
        <n v="64099.08"/>
        <n v="4832.84"/>
        <n v="31968.18"/>
        <n v="31642.38"/>
        <n v="17904.39"/>
        <n v="5828.28"/>
        <n v="32717.16"/>
        <n v="39500.6"/>
        <n v="14999.07"/>
        <n v="69867.3"/>
        <n v="9994.4599999999991"/>
        <n v="68689.350000000006"/>
        <n v="18097.900000000001"/>
        <n v="15285.49"/>
        <n v="11722.05"/>
        <n v="7436.8"/>
        <n v="7228.6"/>
        <n v="34111.300000000003"/>
        <n v="61398.400000000001"/>
        <n v="4148.1000000000004"/>
        <n v="1830.42"/>
        <n v="20744.580000000002"/>
        <n v="40109.85"/>
        <n v="4966.68"/>
        <n v="55844.46"/>
        <n v="24099.3"/>
        <n v="18212.099999999999"/>
        <n v="30555.18"/>
        <n v="47189.760000000002"/>
        <n v="6770.86"/>
        <n v="21490.63"/>
        <n v="14038.08"/>
        <n v="16005.72"/>
        <n v="3964.37"/>
        <n v="5760.56"/>
        <n v="68575.28"/>
        <n v="58004.480000000003"/>
        <n v="6963.39"/>
        <n v="12542.94"/>
        <n v="19066.580000000002"/>
        <n v="15423.04"/>
        <n v="23365.68"/>
        <n v="632.39"/>
        <n v="40920.5"/>
        <n v="15657.9"/>
        <n v="25317.66"/>
        <n v="18734.32"/>
        <n v="6038.12"/>
        <n v="73697.2"/>
        <n v="30570.67"/>
        <n v="11283.68"/>
        <n v="8064.1"/>
        <n v="5208.32"/>
        <n v="75272.429999999993"/>
        <n v="2909.7"/>
        <n v="6023.2"/>
        <n v="28383.84"/>
        <n v="41480.400000000001"/>
        <n v="30519.58"/>
        <n v="63433.98"/>
        <n v="7994.97"/>
        <n v="11876.48"/>
        <n v="14903.12"/>
        <n v="84985.919999999998"/>
        <n v="66396.600000000006"/>
        <n v="1219.0999999999999"/>
        <n v="21026.48"/>
        <n v="50120.82"/>
        <n v="30527.200000000001"/>
        <n v="25680.75"/>
        <n v="32518.65"/>
        <n v="2056.41"/>
        <n v="27858.15"/>
        <n v="3573.4"/>
        <n v="68178.899999999994"/>
        <n v="42670.6"/>
        <n v="12914.59"/>
        <n v="31219.05"/>
        <n v="34589.519999999997"/>
        <n v="33359.199999999997"/>
        <n v="26188.02"/>
        <n v="49720.24"/>
        <n v="34320.32"/>
        <n v="63392.74"/>
        <n v="74569.2"/>
        <n v="31850.400000000001"/>
        <n v="48317.2"/>
        <n v="32806.44"/>
        <n v="87969.4"/>
        <n v="9224.7000000000007"/>
        <n v="5454.9"/>
        <n v="1239.25"/>
        <n v="4844.3"/>
        <n v="23072.28"/>
        <n v="2645.16"/>
        <n v="12603.27"/>
        <n v="8173.04"/>
        <n v="14786"/>
        <n v="8152.2"/>
        <n v="322.38"/>
        <n v="10758.8"/>
        <n v="8372.7999999999993"/>
        <n v="2653.5"/>
        <n v="48415.51"/>
        <n v="33109.74"/>
        <n v="2814.99"/>
        <n v="45298.54"/>
        <n v="20175.349999999999"/>
        <n v="12117.2"/>
        <n v="6246"/>
        <n v="26982.880000000001"/>
        <n v="4774.8"/>
        <n v="19504.5"/>
        <n v="16706.400000000001"/>
        <n v="31122"/>
        <n v="23906.05"/>
        <n v="43809.3"/>
        <n v="22007.599999999999"/>
        <n v="2559"/>
        <n v="19314"/>
        <n v="29484.36"/>
        <n v="3734.74"/>
        <n v="19631.3"/>
        <n v="14339.36"/>
        <n v="14477.98"/>
        <n v="20279.7"/>
        <n v="42817.77"/>
        <n v="5025.3599999999997"/>
        <n v="11722.04"/>
        <n v="14418.45"/>
        <n v="4476.92"/>
        <n v="26152.799999999999"/>
        <n v="22223.08"/>
        <n v="840.65"/>
        <n v="72333.899999999994"/>
        <n v="3781.47"/>
        <n v="18306.599999999999"/>
        <n v="6424.9"/>
        <n v="35196"/>
        <n v="30286"/>
        <n v="69838.399999999994"/>
        <n v="3391.2"/>
        <n v="35439.660000000003"/>
        <n v="30216.14"/>
        <n v="29733.86"/>
        <n v="8441.23"/>
        <n v="31715.67"/>
        <n v="46395.18"/>
        <n v="23492.400000000001"/>
        <n v="16412.8"/>
        <n v="13826.67"/>
        <n v="13406.7"/>
        <n v="12406.1"/>
        <n v="63850.41"/>
        <n v="17348.36"/>
        <n v="17268.8"/>
        <n v="35010.17"/>
        <n v="18505.849999999999"/>
        <n v="585.58000000000004"/>
        <n v="75523.679999999993"/>
        <n v="37724.25"/>
        <n v="7722.1"/>
        <n v="4915.68"/>
        <n v="7327.16"/>
        <n v="46750.559999999998"/>
        <n v="26501.88"/>
        <n v="349.74"/>
        <n v="12515.73"/>
        <n v="33613.519999999997"/>
        <n v="2716.98"/>
        <n v="3847.65"/>
        <n v="1632.24"/>
        <n v="15657.72"/>
        <n v="6644.58"/>
        <n v="15317.96"/>
        <n v="18788.28"/>
        <n v="5706.6"/>
        <n v="14664.42"/>
        <n v="52129.73"/>
        <n v="8885.8799999999992"/>
        <n v="46122.400000000001"/>
        <n v="13335.98"/>
        <n v="4561.6499999999996"/>
        <n v="35694.75"/>
        <n v="2225.5"/>
        <n v="9373.0499999999993"/>
        <n v="7651"/>
        <n v="14231.7"/>
        <n v="3616.86"/>
        <n v="7666.83"/>
        <n v="12944.19"/>
        <n v="4239.0200000000004"/>
        <n v="421.27"/>
        <n v="38447.78"/>
        <n v="64847.7"/>
        <n v="51491.44"/>
        <n v="5526.84"/>
        <n v="30734.6"/>
        <n v="25084.15"/>
        <n v="54974.94"/>
        <n v="69400.460000000006"/>
        <n v="43803.6"/>
        <n v="9583.2000000000007"/>
        <n v="27522.11"/>
        <n v="24932.43"/>
        <n v="21370.93"/>
        <n v="4185.8599999999997"/>
        <n v="8129.8"/>
        <n v="24080"/>
        <n v="2316.63"/>
        <n v="78753.399999999994"/>
        <n v="16296.5"/>
        <n v="1769.25"/>
        <n v="30933.279999999999"/>
        <n v="27251.52"/>
        <n v="85401.600000000006"/>
        <n v="9022.35"/>
        <n v="2520"/>
        <n v="21422.31"/>
        <n v="1319.66"/>
        <n v="79998.399999999994"/>
        <n v="9807.2000000000007"/>
        <n v="52311.56"/>
        <n v="31792.81"/>
        <n v="6480.64"/>
        <n v="65062.8"/>
        <n v="7854.66"/>
        <n v="30488.31"/>
        <n v="12889.23"/>
        <n v="87527.34"/>
        <n v="9725"/>
        <n v="10599.9"/>
        <n v="11763.29"/>
        <n v="30973.08"/>
        <n v="13362.48"/>
        <n v="17923.5"/>
        <n v="1956.8"/>
        <n v="53096.160000000003"/>
        <n v="23691.200000000001"/>
        <n v="11874"/>
        <n v="15899.76"/>
        <n v="16233.92"/>
        <n v="1969.03"/>
        <n v="11915.48"/>
        <n v="4805.1400000000003"/>
        <n v="20076.12"/>
        <n v="34539.75"/>
        <n v="70011.3"/>
        <n v="44909.1"/>
        <n v="69897"/>
        <n v="16247.88"/>
        <n v="49836.160000000003"/>
        <n v="48042.239999999998"/>
        <n v="3059.01"/>
        <n v="4815.0600000000004"/>
        <n v="3418.77"/>
        <n v="7153.56"/>
        <n v="63937.95"/>
        <n v="73076.759999999995"/>
        <n v="1391.55"/>
        <n v="12119.15"/>
        <n v="15329.12"/>
        <n v="22385.02"/>
        <n v="69481"/>
        <n v="23511.42"/>
        <n v="2710.27"/>
        <n v="13562.2"/>
        <n v="6097.62"/>
        <n v="27981.49"/>
        <n v="25696.19"/>
        <n v="24458.400000000001"/>
        <n v="4424.76"/>
        <n v="12919.05"/>
        <n v="16442.900000000001"/>
        <n v="10335.24"/>
        <n v="38066.699999999997"/>
        <n v="12747.04"/>
        <n v="2489.17"/>
        <n v="10206.24"/>
        <n v="718.9"/>
        <n v="25205"/>
        <n v="54725.04"/>
        <n v="14244.48"/>
        <n v="70653.210000000006"/>
        <n v="48142.2"/>
        <n v="59055.62"/>
        <n v="45725.4"/>
        <n v="1465.32"/>
        <n v="28240.83"/>
        <n v="2710.56"/>
        <n v="10130.450000000001"/>
        <n v="47869.440000000002"/>
        <n v="59166.9"/>
        <n v="20983.200000000001"/>
        <n v="1592.7"/>
        <n v="94255"/>
        <n v="33854.400000000001"/>
        <n v="77825.600000000006"/>
        <n v="57589.120000000003"/>
        <n v="12677.4"/>
        <n v="983.24"/>
        <n v="21850.92"/>
        <n v="41607.68"/>
        <n v="1967.8"/>
        <n v="40857.879999999997"/>
        <n v="96436.4"/>
        <n v="10159.49"/>
        <n v="1410.8"/>
        <n v="13999.84"/>
        <n v="20827.05"/>
        <n v="6144.96"/>
        <n v="8727.9500000000007"/>
        <n v="6121.14"/>
        <n v="4320.6400000000003"/>
        <n v="52631.6"/>
        <n v="20957.22"/>
        <n v="1064.04"/>
        <n v="30150.400000000001"/>
        <n v="9385.7000000000007"/>
        <n v="20811.060000000001"/>
        <n v="17546.16"/>
        <n v="19052.64"/>
        <n v="11905.92"/>
        <n v="32220.15"/>
        <n v="27409.8"/>
        <n v="18105.78"/>
        <n v="23056.25"/>
        <n v="5751.68"/>
        <n v="11583.27"/>
        <n v="3458.19"/>
        <n v="3165.3"/>
        <n v="6466.92"/>
        <n v="93930.11"/>
        <n v="2664.84"/>
        <n v="4388.1000000000004"/>
        <n v="12179.28"/>
        <n v="63813.120000000003"/>
        <n v="16380.48"/>
        <n v="4109.28"/>
        <n v="2750.3"/>
        <n v="11135.11"/>
        <n v="24964.799999999999"/>
        <n v="4432.05"/>
        <n v="4443.22"/>
        <n v="3197.92"/>
        <n v="3389.49"/>
        <n v="8041.44"/>
        <n v="20697.16"/>
        <n v="28038.06"/>
        <n v="80358.98"/>
        <n v="57292.639999999999"/>
        <n v="15907.4"/>
        <n v="5274.88"/>
        <n v="34771.629999999997"/>
        <n v="4979.45"/>
        <n v="37876.28"/>
        <n v="10807.72"/>
        <n v="1364.33"/>
        <n v="38274"/>
        <n v="11299.84"/>
        <n v="37341.360000000001"/>
        <n v="56130.62"/>
        <n v="9329.82"/>
        <n v="29918.47"/>
        <n v="40366.89"/>
        <n v="7155.8"/>
        <n v="13751.25"/>
        <n v="30261.53"/>
        <n v="47269.120000000003"/>
        <n v="69094.759999999995"/>
        <n v="2126.6999999999998"/>
        <n v="6019.09"/>
        <n v="44135"/>
        <n v="29264.16"/>
        <n v="1071.25"/>
        <n v="28745.1"/>
        <n v="71784.149999999994"/>
        <n v="20850.88"/>
        <n v="35757.360000000001"/>
        <n v="16982.68"/>
        <n v="3971.8"/>
        <n v="7506.74"/>
        <n v="7830.2"/>
        <n v="70197.78"/>
        <n v="6204.45"/>
        <n v="39074.9"/>
        <n v="45634.96"/>
        <n v="2551.56"/>
        <n v="42463"/>
        <n v="90658.5"/>
        <n v="44439.72"/>
        <n v="18155.05"/>
        <n v="80712.2"/>
        <n v="6594.96"/>
        <n v="4103.82"/>
        <n v="26880.82"/>
        <n v="4935.21"/>
        <n v="2755.28"/>
        <n v="46895.199999999997"/>
        <n v="93488.36"/>
        <n v="28888.47"/>
        <n v="38330.400000000001"/>
        <n v="10960.56"/>
        <n v="15635.06"/>
        <n v="3688.41"/>
        <n v="13271.04"/>
        <n v="3476.5"/>
        <n v="54168"/>
        <n v="4742.5600000000004"/>
        <n v="568.54999999999995"/>
        <n v="6597.3"/>
        <n v="1558.27"/>
        <n v="4117.97"/>
        <n v="1793.18"/>
        <n v="28324.38"/>
        <n v="79266.42"/>
        <n v="5414.08"/>
        <n v="26789.88"/>
        <n v="65617.399999999994"/>
        <n v="4469.1000000000004"/>
        <n v="51847.38"/>
        <n v="25595.16"/>
        <n v="26850.45"/>
        <n v="13256.88"/>
        <n v="13272.7"/>
        <n v="10501.24"/>
        <n v="45423.48"/>
        <n v="45345.21"/>
        <n v="68765"/>
        <n v="79599.78"/>
        <n v="2097.7600000000002"/>
        <n v="19676.7"/>
        <n v="9195.92"/>
        <n v="32616.75"/>
        <n v="47611.9"/>
        <n v="27607.86"/>
        <n v="9324.4"/>
        <n v="41322.480000000003"/>
        <n v="28379.040000000001"/>
        <n v="12999.3"/>
        <n v="11526.66"/>
        <n v="47752.13"/>
        <n v="33205.9"/>
        <n v="21950.91"/>
        <n v="57842.080000000002"/>
        <n v="8641.2000000000007"/>
        <n v="4174.28"/>
        <n v="23724.26"/>
        <n v="20910.349999999999"/>
        <n v="92764"/>
        <n v="1999.98"/>
        <n v="55044.36"/>
        <n v="19494.400000000001"/>
        <n v="78546.19"/>
        <n v="2571.59"/>
        <n v="1286.1099999999999"/>
        <n v="6863.9"/>
        <n v="3346.2"/>
        <n v="11034.8"/>
        <n v="1210.5"/>
        <n v="26912.1"/>
        <n v="2977.76"/>
        <n v="88213.96"/>
        <n v="57202.2"/>
        <n v="39890.480000000003"/>
        <n v="14664.09"/>
        <n v="33129.03"/>
        <n v="49325.440000000002"/>
        <n v="29453.88"/>
        <n v="24228.959999999999"/>
        <n v="80104.14"/>
        <n v="70178.55"/>
        <n v="21200.400000000001"/>
        <n v="70317.27"/>
        <n v="15784.5"/>
        <n v="5927.25"/>
        <n v="10641.54"/>
        <n v="25396.799999999999"/>
        <n v="9212.91"/>
        <n v="9958.2000000000007"/>
        <n v="54873.48"/>
        <n v="4986.12"/>
        <n v="49062.15"/>
        <n v="32076.080000000002"/>
        <n v="302.02"/>
        <n v="49957.4"/>
        <n v="43728.75"/>
        <n v="3942"/>
        <n v="56559.12"/>
        <n v="24969.35"/>
        <n v="3067.08"/>
        <n v="12862.3"/>
        <n v="7122.24"/>
        <n v="11982.67"/>
        <n v="59349.24"/>
        <n v="76540.63"/>
        <n v="794.94"/>
        <n v="52343.06"/>
        <n v="2517.3200000000002"/>
        <n v="35706.720000000001"/>
        <n v="94217"/>
        <n v="44503.68"/>
        <n v="44235.24"/>
        <n v="4503.84"/>
        <n v="39499.79"/>
        <n v="57183.96"/>
        <n v="16436.34"/>
        <n v="8958.24"/>
        <n v="5215.5200000000004"/>
        <n v="37156.35"/>
        <n v="52283.92"/>
        <n v="28581.7"/>
        <n v="44259.33"/>
        <n v="55105.89"/>
        <n v="2633.58"/>
        <n v="23581.9"/>
        <n v="19844.04"/>
        <n v="10506.09"/>
        <n v="4399.1000000000004"/>
        <n v="4801.1000000000004"/>
        <n v="65937.22"/>
        <n v="18696.72"/>
        <n v="43957.760000000002"/>
        <n v="67518.899999999994"/>
        <n v="12217.68"/>
        <n v="87984.36"/>
        <n v="35825.120000000003"/>
        <n v="4725.5600000000004"/>
        <n v="3374.31"/>
        <n v="11582.97"/>
        <n v="38927.129999999997"/>
        <n v="50486.879999999997"/>
        <n v="5182.1400000000003"/>
        <n v="4515.5600000000004"/>
        <n v="33581.120000000003"/>
        <n v="39175.4"/>
        <n v="61377.599999999999"/>
        <n v="70988.759999999995"/>
        <n v="45076.2"/>
        <n v="56822.33"/>
        <n v="2341.46"/>
        <n v="11233.08"/>
        <n v="61992"/>
        <n v="43582.05"/>
        <n v="58813.72"/>
        <n v="74618.13"/>
        <n v="60613.760000000002"/>
        <n v="9054.26"/>
        <n v="75063"/>
        <n v="20182.62"/>
        <n v="23677.68"/>
        <n v="5690.08"/>
        <n v="29707.65"/>
        <n v="48843"/>
        <n v="53000.22"/>
        <n v="64120.43"/>
        <n v="14112.21"/>
        <n v="6501.6"/>
        <n v="2458.9"/>
        <n v="40777.230000000003"/>
        <n v="38017.56"/>
        <n v="18798.89"/>
        <n v="1898.15"/>
        <n v="648.88"/>
        <n v="36134.559999999998"/>
        <n v="7717.36"/>
        <n v="11322.4"/>
        <n v="4643.7299999999996"/>
        <n v="16152.32"/>
        <n v="1889.5"/>
        <n v="6479.88"/>
        <n v="26691.279999999999"/>
        <n v="3130.17"/>
        <n v="20103.060000000001"/>
        <n v="14061.52"/>
        <n v="27070.799999999999"/>
        <n v="24770.19"/>
        <n v="68527.759999999995"/>
        <n v="37210.400000000001"/>
        <n v="1520.22"/>
        <n v="3754.28"/>
        <n v="16110.9"/>
        <n v="13245.84"/>
        <n v="33174.559999999998"/>
        <n v="17833.759999999998"/>
        <n v="19512.64"/>
        <n v="33798.49"/>
        <n v="6598.08"/>
        <n v="23817.360000000001"/>
        <n v="979.17"/>
        <n v="48069.7"/>
        <n v="8785.0499999999993"/>
        <n v="77732.960000000006"/>
        <n v="10929.44"/>
        <n v="9702.08"/>
        <n v="84012.11"/>
        <n v="70873.649999999994"/>
        <n v="53338.2"/>
        <n v="30690.84"/>
        <n v="9988.7999999999993"/>
        <n v="6339.51"/>
        <n v="48926.2"/>
        <n v="28538.799999999999"/>
        <n v="16474.650000000001"/>
        <n v="10649.87"/>
        <n v="3735.4"/>
        <n v="7754.4"/>
        <n v="32789.339999999997"/>
        <n v="64112.27"/>
        <n v="2800.28"/>
        <n v="29447.33"/>
        <n v="15869.88"/>
        <n v="4640.17"/>
        <n v="19297.32"/>
        <n v="28920.48"/>
        <n v="29666.49"/>
        <n v="63708.160000000003"/>
        <n v="22031.040000000001"/>
        <n v="3138.18"/>
        <n v="12766.08"/>
        <n v="38932.639999999999"/>
        <n v="8353.98"/>
        <n v="77761.119999999995"/>
        <n v="1109.8"/>
        <n v="13401.7"/>
        <n v="41173.279999999999"/>
        <n v="20427.84"/>
        <n v="10428.34"/>
        <n v="5686"/>
        <n v="12612.18"/>
        <n v="12586.34"/>
        <n v="20638.98"/>
        <n v="59154.45"/>
        <n v="15605.37"/>
        <n v="47618.720000000001"/>
        <n v="11937.08"/>
        <n v="3776.94"/>
        <n v="11721.96"/>
        <n v="9327.5400000000009"/>
        <n v="6462.06"/>
        <n v="2466.0100000000002"/>
        <n v="74243.64"/>
        <n v="12319.75"/>
        <n v="2871.96"/>
        <n v="11278.08"/>
        <n v="1558.7"/>
        <n v="4974.3"/>
        <n v="59578.44"/>
        <n v="19793.2"/>
        <n v="6849.22"/>
        <n v="1591.88"/>
        <n v="52846.2"/>
        <n v="11848.32"/>
        <n v="14442.6"/>
        <n v="16635.060000000001"/>
        <n v="7975.88"/>
        <n v="10059.52"/>
        <n v="30090.6"/>
        <n v="76492.320000000007"/>
        <n v="20284.78"/>
        <n v="13089.9"/>
        <n v="6888.84"/>
        <n v="63211.29"/>
        <n v="9261.89"/>
        <n v="10206"/>
        <n v="16712.400000000001"/>
        <n v="21503.5"/>
        <n v="87503.58"/>
        <n v="37678.46"/>
        <n v="8071.56"/>
        <n v="84538.6"/>
        <n v="25214.240000000002"/>
        <n v="15748.64"/>
        <n v="13509.08"/>
        <n v="593.05999999999995"/>
        <n v="8996.16"/>
        <n v="39424.660000000003"/>
        <n v="43037.1"/>
        <n v="69704.59"/>
        <n v="8270.49"/>
        <n v="36783.11"/>
        <n v="22796.66"/>
        <n v="4296.8999999999996"/>
        <n v="84707.77"/>
        <n v="78611.360000000001"/>
        <n v="4588.24"/>
        <n v="29591.25"/>
        <n v="19078.080000000002"/>
        <n v="12729.65"/>
        <n v="57219.199999999997"/>
        <n v="38854.620000000003"/>
        <n v="49285.2"/>
        <n v="20376.72"/>
        <n v="7232.16"/>
        <n v="98880.2"/>
        <n v="2949.43"/>
        <n v="7904.82"/>
        <n v="7060.4"/>
        <n v="8038.8"/>
        <n v="36912.36"/>
        <n v="467.5"/>
        <n v="21385.08"/>
        <n v="12069.8"/>
        <n v="64039.8"/>
        <n v="4118.28"/>
        <n v="34009.22"/>
        <n v="18852.3"/>
        <n v="10810.4"/>
        <n v="8201.8799999999992"/>
        <n v="21444.71"/>
        <n v="9840.9599999999991"/>
        <n v="47776.08"/>
        <n v="55005.599999999999"/>
        <n v="36520.769999999997"/>
        <n v="20819.68"/>
        <n v="23029.38"/>
        <n v="8879"/>
        <n v="63052.21"/>
        <n v="11168.92"/>
        <n v="84201.68"/>
        <n v="58700.04"/>
        <n v="54130.239999999998"/>
        <n v="16234.68"/>
        <n v="3704.4"/>
        <n v="39373.53"/>
        <n v="10970.24"/>
        <n v="42983.199999999997"/>
        <n v="12087.8"/>
        <n v="48278.85"/>
        <n v="23947.11"/>
        <n v="1671.45"/>
        <n v="28616.2"/>
        <n v="19130.96"/>
        <n v="43793.48"/>
        <n v="1355.14"/>
        <n v="69977.759999999995"/>
        <n v="21405.75"/>
        <n v="4733.7"/>
        <n v="53483.86"/>
        <n v="6664.97"/>
        <n v="29634.54"/>
        <n v="29909.52"/>
        <n v="9012.33"/>
        <n v="76758.570000000007"/>
        <n v="48122.82"/>
        <n v="83138.5"/>
        <n v="3229.71"/>
        <n v="35406"/>
        <n v="28124.2"/>
        <n v="39540"/>
        <n v="1057.24"/>
        <n v="20783.91"/>
        <n v="58460.85"/>
        <n v="64460.94"/>
        <n v="20466.900000000001"/>
        <n v="5964.1"/>
        <n v="40305.360000000001"/>
        <n v="4511.88"/>
        <n v="38828.699999999997"/>
        <n v="16082.6"/>
        <n v="1723.64"/>
        <n v="31557.96"/>
        <n v="2193.4499999999998"/>
        <n v="34393.5"/>
        <n v="41019.040000000001"/>
        <n v="4876.95"/>
        <n v="16691.57"/>
        <n v="69404.600000000006"/>
        <n v="3964.08"/>
        <n v="15589.49"/>
        <n v="7304.2"/>
        <n v="11892.66"/>
        <n v="14355.6"/>
        <n v="5337.09"/>
        <n v="5409.96"/>
        <n v="1981.82"/>
        <n v="15481.4"/>
        <n v="1611.17"/>
        <n v="3406.32"/>
        <n v="36615.760000000002"/>
        <n v="17473.84"/>
        <n v="82029.08"/>
        <n v="71692.02"/>
        <n v="8678.44"/>
        <n v="28831.32"/>
        <n v="34675.279999999999"/>
        <n v="66876.639999999999"/>
        <n v="20800.2"/>
        <n v="12250.77"/>
        <n v="27611.08"/>
        <n v="2888.2"/>
        <n v="33625.339999999997"/>
        <n v="1094.8800000000001"/>
        <n v="42241.279999999999"/>
        <n v="18887.400000000001"/>
        <n v="49753"/>
        <n v="14035.14"/>
        <n v="2469.44"/>
        <n v="82625.87"/>
        <n v="6068.64"/>
        <n v="11152.18"/>
        <n v="73824.160000000003"/>
        <n v="23217.46"/>
        <n v="36346.559999999998"/>
        <n v="10507.42"/>
        <n v="17024.349999999999"/>
        <n v="16901.28"/>
        <n v="1520.97"/>
        <n v="864.95"/>
        <n v="43035.48"/>
        <n v="29366.46"/>
        <n v="22785.56"/>
        <n v="5085.12"/>
      </sharedItems>
      <fieldGroup base="9">
        <rangePr startNum="267.32" endNum="98880.2" groupInterval="10000"/>
        <groupItems count="12">
          <s v="&lt;267.32"/>
          <s v="267.32-10267.32"/>
          <s v="10267.32-20267.32"/>
          <s v="20267.32-30267.32"/>
          <s v="30267.32-40267.32"/>
          <s v="40267.32-50267.32"/>
          <s v="50267.32-60267.32"/>
          <s v="60267.32-70267.32"/>
          <s v="70267.32-80267.32"/>
          <s v="80267.32-90267.32"/>
          <s v="90267.32-100267.32"/>
          <s v="&gt;100267.32"/>
        </groupItems>
      </fieldGroup>
    </cacheField>
  </cacheFields>
  <extLst>
    <ext xmlns:x14="http://schemas.microsoft.com/office/spreadsheetml/2009/9/main" uri="{725AE2AE-9491-48be-B2B4-4EB974FC3084}">
      <x14:pivotCacheDefinition pivotCacheId="133430126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5880.285029861108" createdVersion="8" refreshedVersion="8" minRefreshableVersion="3" recordCount="1000" xr:uid="{B5682BC3-CD9F-4557-BDEA-728FEDEAE5FD}">
  <cacheSource type="worksheet">
    <worksheetSource ref="A1:J1001" sheet="Sheet1"/>
  </cacheSource>
  <cacheFields count="10">
    <cacheField name="Sale Date" numFmtId="14">
      <sharedItems containsSemiMixedTypes="0" containsNonDate="0" containsDate="1" containsString="0" minDate="2023-01-01T00:00:00" maxDate="2024-01-01T00:00:00" count="344">
        <d v="2023-11-11T00:00:00"/>
        <d v="2023-06-24T00:00:00"/>
        <d v="2023-01-23T00:00:00"/>
        <d v="2023-11-30T00:00:00"/>
        <d v="2023-12-29T00:00:00"/>
        <d v="2023-03-11T00:00:00"/>
        <d v="2023-11-20T00:00:00"/>
        <d v="2023-10-14T00:00:00"/>
        <d v="2023-02-05T00:00:00"/>
        <d v="2023-11-06T00:00:00"/>
        <d v="2023-05-12T00:00:00"/>
        <d v="2023-02-16T00:00:00"/>
        <d v="2023-05-19T00:00:00"/>
        <d v="2023-05-24T00:00:00"/>
        <d v="2023-10-26T00:00:00"/>
        <d v="2023-03-10T00:00:00"/>
        <d v="2023-10-27T00:00:00"/>
        <d v="2023-12-01T00:00:00"/>
        <d v="2023-02-15T00:00:00"/>
        <d v="2023-03-13T00:00:00"/>
        <d v="2023-06-18T00:00:00"/>
        <d v="2023-07-18T00:00:00"/>
        <d v="2023-12-07T00:00:00"/>
        <d v="2023-12-30T00:00:00"/>
        <d v="2023-08-08T00:00:00"/>
        <d v="2023-02-20T00:00:00"/>
        <d v="2023-08-12T00:00:00"/>
        <d v="2023-03-01T00:00:00"/>
        <d v="2023-10-13T00:00:00"/>
        <d v="2023-06-12T00:00:00"/>
        <d v="2023-09-14T00:00:00"/>
        <d v="2023-08-31T00:00:00"/>
        <d v="2023-07-04T00:00:00"/>
        <d v="2023-10-20T00:00:00"/>
        <d v="2023-07-25T00:00:00"/>
        <d v="2023-11-27T00:00:00"/>
        <d v="2023-10-31T00:00:00"/>
        <d v="2023-04-01T00:00:00"/>
        <d v="2023-01-15T00:00:00"/>
        <d v="2023-09-20T00:00:00"/>
        <d v="2023-12-04T00:00:00"/>
        <d v="2023-02-13T00:00:00"/>
        <d v="2023-04-05T00:00:00"/>
        <d v="2023-07-27T00:00:00"/>
        <d v="2023-10-11T00:00:00"/>
        <d v="2023-10-30T00:00:00"/>
        <d v="2023-08-28T00:00:00"/>
        <d v="2023-07-24T00:00:00"/>
        <d v="2023-09-08T00:00:00"/>
        <d v="2023-08-18T00:00:00"/>
        <d v="2023-05-23T00:00:00"/>
        <d v="2023-11-19T00:00:00"/>
        <d v="2023-02-21T00:00:00"/>
        <d v="2023-11-08T00:00:00"/>
        <d v="2023-08-05T00:00:00"/>
        <d v="2023-11-17T00:00:00"/>
        <d v="2023-03-17T00:00:00"/>
        <d v="2023-02-08T00:00:00"/>
        <d v="2023-06-09T00:00:00"/>
        <d v="2023-05-16T00:00:00"/>
        <d v="2023-06-30T00:00:00"/>
        <d v="2023-05-02T00:00:00"/>
        <d v="2023-03-26T00:00:00"/>
        <d v="2023-01-09T00:00:00"/>
        <d v="2023-09-18T00:00:00"/>
        <d v="2023-04-11T00:00:00"/>
        <d v="2023-09-30T00:00:00"/>
        <d v="2023-12-18T00:00:00"/>
        <d v="2023-01-06T00:00:00"/>
        <d v="2023-06-27T00:00:00"/>
        <d v="2023-01-08T00:00:00"/>
        <d v="2023-07-05T00:00:00"/>
        <d v="2023-10-09T00:00:00"/>
        <d v="2023-11-09T00:00:00"/>
        <d v="2023-08-17T00:00:00"/>
        <d v="2023-12-06T00:00:00"/>
        <d v="2023-04-26T00:00:00"/>
        <d v="2023-07-30T00:00:00"/>
        <d v="2023-09-06T00:00:00"/>
        <d v="2023-01-20T00:00:00"/>
        <d v="2023-04-10T00:00:00"/>
        <d v="2023-02-17T00:00:00"/>
        <d v="2023-10-25T00:00:00"/>
        <d v="2023-05-06T00:00:00"/>
        <d v="2023-08-11T00:00:00"/>
        <d v="2023-07-23T00:00:00"/>
        <d v="2023-01-13T00:00:00"/>
        <d v="2023-06-01T00:00:00"/>
        <d v="2023-09-15T00:00:00"/>
        <d v="2023-09-26T00:00:00"/>
        <d v="2023-11-14T00:00:00"/>
        <d v="2023-10-07T00:00:00"/>
        <d v="2023-04-30T00:00:00"/>
        <d v="2023-01-27T00:00:00"/>
        <d v="2023-03-24T00:00:00"/>
        <d v="2023-12-14T00:00:00"/>
        <d v="2023-05-22T00:00:00"/>
        <d v="2023-04-13T00:00:00"/>
        <d v="2023-06-15T00:00:00"/>
        <d v="2023-08-16T00:00:00"/>
        <d v="2023-09-19T00:00:00"/>
        <d v="2023-12-08T00:00:00"/>
        <d v="2023-01-26T00:00:00"/>
        <d v="2023-07-17T00:00:00"/>
        <d v="2023-10-15T00:00:00"/>
        <d v="2023-03-25T00:00:00"/>
        <d v="2023-01-17T00:00:00"/>
        <d v="2023-06-19T00:00:00"/>
        <d v="2023-08-29T00:00:00"/>
        <d v="2023-08-04T00:00:00"/>
        <d v="2023-10-01T00:00:00"/>
        <d v="2023-11-21T00:00:00"/>
        <d v="2023-07-09T00:00:00"/>
        <d v="2023-06-03T00:00:00"/>
        <d v="2023-11-01T00:00:00"/>
        <d v="2023-04-17T00:00:00"/>
        <d v="2023-11-28T00:00:00"/>
        <d v="2023-03-14T00:00:00"/>
        <d v="2023-07-01T00:00:00"/>
        <d v="2023-06-06T00:00:00"/>
        <d v="2023-11-16T00:00:00"/>
        <d v="2023-12-15T00:00:00"/>
        <d v="2023-03-07T00:00:00"/>
        <d v="2023-02-22T00:00:00"/>
        <d v="2023-03-19T00:00:00"/>
        <d v="2023-11-25T00:00:00"/>
        <d v="2023-09-17T00:00:00"/>
        <d v="2023-02-24T00:00:00"/>
        <d v="2023-12-26T00:00:00"/>
        <d v="2023-03-23T00:00:00"/>
        <d v="2023-10-24T00:00:00"/>
        <d v="2023-05-31T00:00:00"/>
        <d v="2023-10-04T00:00:00"/>
        <d v="2023-09-11T00:00:00"/>
        <d v="2023-10-03T00:00:00"/>
        <d v="2023-12-23T00:00:00"/>
        <d v="2023-01-03T00:00:00"/>
        <d v="2023-10-10T00:00:00"/>
        <d v="2023-12-25T00:00:00"/>
        <d v="2023-03-27T00:00:00"/>
        <d v="2023-01-24T00:00:00"/>
        <d v="2023-09-24T00:00:00"/>
        <d v="2023-08-24T00:00:00"/>
        <d v="2023-11-15T00:00:00"/>
        <d v="2023-02-19T00:00:00"/>
        <d v="2023-03-28T00:00:00"/>
        <d v="2023-08-22T00:00:00"/>
        <d v="2023-07-03T00:00:00"/>
        <d v="2023-11-13T00:00:00"/>
        <d v="2023-07-11T00:00:00"/>
        <d v="2023-01-16T00:00:00"/>
        <d v="2023-12-10T00:00:00"/>
        <d v="2023-11-22T00:00:00"/>
        <d v="2023-12-09T00:00:00"/>
        <d v="2023-07-21T00:00:00"/>
        <d v="2023-12-19T00:00:00"/>
        <d v="2023-12-24T00:00:00"/>
        <d v="2023-03-08T00:00:00"/>
        <d v="2023-03-12T00:00:00"/>
        <d v="2023-02-28T00:00:00"/>
        <d v="2023-02-18T00:00:00"/>
        <d v="2023-04-21T00:00:00"/>
        <d v="2023-07-06T00:00:00"/>
        <d v="2023-08-23T00:00:00"/>
        <d v="2023-08-20T00:00:00"/>
        <d v="2023-02-09T00:00:00"/>
        <d v="2023-05-09T00:00:00"/>
        <d v="2023-04-15T00:00:00"/>
        <d v="2023-05-13T00:00:00"/>
        <d v="2023-06-04T00:00:00"/>
        <d v="2023-01-02T00:00:00"/>
        <d v="2023-09-04T00:00:00"/>
        <d v="2023-05-15T00:00:00"/>
        <d v="2023-05-01T00:00:00"/>
        <d v="2023-12-05T00:00:00"/>
        <d v="2023-03-30T00:00:00"/>
        <d v="2023-09-02T00:00:00"/>
        <d v="2023-08-14T00:00:00"/>
        <d v="2023-12-12T00:00:00"/>
        <d v="2023-01-19T00:00:00"/>
        <d v="2023-11-02T00:00:00"/>
        <d v="2023-01-29T00:00:00"/>
        <d v="2023-11-24T00:00:00"/>
        <d v="2023-03-15T00:00:00"/>
        <d v="2023-03-02T00:00:00"/>
        <d v="2023-02-04T00:00:00"/>
        <d v="2023-08-01T00:00:00"/>
        <d v="2023-07-10T00:00:00"/>
        <d v="2023-02-14T00:00:00"/>
        <d v="2023-10-29T00:00:00"/>
        <d v="2023-12-13T00:00:00"/>
        <d v="2023-10-12T00:00:00"/>
        <d v="2023-05-04T00:00:00"/>
        <d v="2023-02-03T00:00:00"/>
        <d v="2023-04-20T00:00:00"/>
        <d v="2023-11-03T00:00:00"/>
        <d v="2023-09-05T00:00:00"/>
        <d v="2023-10-16T00:00:00"/>
        <d v="2023-04-23T00:00:00"/>
        <d v="2023-07-14T00:00:00"/>
        <d v="2023-04-02T00:00:00"/>
        <d v="2023-09-16T00:00:00"/>
        <d v="2023-11-23T00:00:00"/>
        <d v="2023-10-18T00:00:00"/>
        <d v="2023-02-25T00:00:00"/>
        <d v="2023-10-21T00:00:00"/>
        <d v="2023-03-31T00:00:00"/>
        <d v="2023-07-12T00:00:00"/>
        <d v="2023-03-16T00:00:00"/>
        <d v="2023-09-22T00:00:00"/>
        <d v="2023-03-09T00:00:00"/>
        <d v="2023-05-25T00:00:00"/>
        <d v="2023-06-20T00:00:00"/>
        <d v="2023-03-04T00:00:00"/>
        <d v="2023-02-01T00:00:00"/>
        <d v="2023-06-28T00:00:00"/>
        <d v="2023-10-02T00:00:00"/>
        <d v="2023-04-06T00:00:00"/>
        <d v="2023-05-05T00:00:00"/>
        <d v="2023-08-26T00:00:00"/>
        <d v="2023-03-18T00:00:00"/>
        <d v="2023-04-19T00:00:00"/>
        <d v="2023-02-07T00:00:00"/>
        <d v="2023-10-06T00:00:00"/>
        <d v="2023-06-13T00:00:00"/>
        <d v="2023-06-08T00:00:00"/>
        <d v="2023-01-05T00:00:00"/>
        <d v="2023-01-07T00:00:00"/>
        <d v="2023-04-08T00:00:00"/>
        <d v="2023-08-06T00:00:00"/>
        <d v="2023-08-27T00:00:00"/>
        <d v="2023-03-06T00:00:00"/>
        <d v="2023-07-26T00:00:00"/>
        <d v="2023-04-24T00:00:00"/>
        <d v="2023-02-11T00:00:00"/>
        <d v="2023-08-03T00:00:00"/>
        <d v="2023-05-14T00:00:00"/>
        <d v="2023-04-07T00:00:00"/>
        <d v="2023-05-30T00:00:00"/>
        <d v="2023-08-21T00:00:00"/>
        <d v="2023-06-29T00:00:00"/>
        <d v="2023-11-05T00:00:00"/>
        <d v="2023-10-19T00:00:00"/>
        <d v="2023-12-16T00:00:00"/>
        <d v="2023-04-28T00:00:00"/>
        <d v="2023-04-03T00:00:00"/>
        <d v="2023-12-31T00:00:00"/>
        <d v="2023-01-14T00:00:00"/>
        <d v="2023-07-20T00:00:00"/>
        <d v="2023-01-30T00:00:00"/>
        <d v="2023-09-29T00:00:00"/>
        <d v="2023-11-18T00:00:00"/>
        <d v="2023-09-23T00:00:00"/>
        <d v="2023-05-18T00:00:00"/>
        <d v="2023-09-09T00:00:00"/>
        <d v="2023-04-18T00:00:00"/>
        <d v="2023-03-05T00:00:00"/>
        <d v="2023-04-29T00:00:00"/>
        <d v="2023-04-12T00:00:00"/>
        <d v="2023-04-22T00:00:00"/>
        <d v="2023-08-10T00:00:00"/>
        <d v="2023-07-13T00:00:00"/>
        <d v="2023-12-02T00:00:00"/>
        <d v="2023-02-12T00:00:00"/>
        <d v="2023-11-26T00:00:00"/>
        <d v="2023-06-17T00:00:00"/>
        <d v="2023-10-28T00:00:00"/>
        <d v="2023-08-30T00:00:00"/>
        <d v="2023-07-07T00:00:00"/>
        <d v="2023-12-27T00:00:00"/>
        <d v="2023-09-03T00:00:00"/>
        <d v="2023-07-22T00:00:00"/>
        <d v="2023-05-27T00:00:00"/>
        <d v="2023-04-27T00:00:00"/>
        <d v="2023-01-10T00:00:00"/>
        <d v="2023-02-27T00:00:00"/>
        <d v="2023-05-08T00:00:00"/>
        <d v="2023-10-08T00:00:00"/>
        <d v="2023-12-22T00:00:00"/>
        <d v="2023-05-28T00:00:00"/>
        <d v="2023-01-04T00:00:00"/>
        <d v="2023-09-25T00:00:00"/>
        <d v="2023-03-21T00:00:00"/>
        <d v="2023-08-25T00:00:00"/>
        <d v="2023-05-10T00:00:00"/>
        <d v="2023-04-25T00:00:00"/>
        <d v="2023-05-17T00:00:00"/>
        <d v="2023-06-21T00:00:00"/>
        <d v="2023-02-23T00:00:00"/>
        <d v="2023-01-12T00:00:00"/>
        <d v="2023-04-04T00:00:00"/>
        <d v="2023-07-31T00:00:00"/>
        <d v="2023-01-25T00:00:00"/>
        <d v="2023-09-13T00:00:00"/>
        <d v="2023-02-10T00:00:00"/>
        <d v="2023-03-22T00:00:00"/>
        <d v="2023-04-09T00:00:00"/>
        <d v="2023-05-03T00:00:00"/>
        <d v="2023-07-08T00:00:00"/>
        <d v="2023-01-22T00:00:00"/>
        <d v="2023-01-31T00:00:00"/>
        <d v="2023-01-01T00:00:00"/>
        <d v="2023-06-23T00:00:00"/>
        <d v="2023-03-29T00:00:00"/>
        <d v="2023-12-20T00:00:00"/>
        <d v="2023-04-14T00:00:00"/>
        <d v="2023-05-26T00:00:00"/>
        <d v="2023-05-20T00:00:00"/>
        <d v="2023-07-15T00:00:00"/>
        <d v="2023-10-23T00:00:00"/>
        <d v="2023-06-11T00:00:00"/>
        <d v="2023-01-21T00:00:00"/>
        <d v="2023-07-28T00:00:00"/>
        <d v="2023-05-11T00:00:00"/>
        <d v="2023-06-14T00:00:00"/>
        <d v="2023-10-05T00:00:00"/>
        <d v="2023-02-02T00:00:00"/>
        <d v="2023-12-28T00:00:00"/>
        <d v="2023-09-12T00:00:00"/>
        <d v="2023-05-21T00:00:00"/>
        <d v="2023-08-02T00:00:00"/>
        <d v="2023-06-22T00:00:00"/>
        <d v="2023-07-19T00:00:00"/>
        <d v="2023-07-02T00:00:00"/>
        <d v="2023-11-04T00:00:00"/>
        <d v="2023-06-05T00:00:00"/>
        <d v="2023-02-06T00:00:00"/>
        <d v="2023-05-29T00:00:00"/>
        <d v="2023-11-12T00:00:00"/>
        <d v="2023-09-01T00:00:00"/>
        <d v="2023-03-03T00:00:00"/>
        <d v="2023-04-16T00:00:00"/>
        <d v="2023-09-07T00:00:00"/>
        <d v="2023-07-16T00:00:00"/>
        <d v="2023-08-07T00:00:00"/>
        <d v="2023-08-13T00:00:00"/>
        <d v="2023-09-10T00:00:00"/>
        <d v="2023-09-28T00:00:00"/>
        <d v="2023-07-29T00:00:00"/>
        <d v="2023-01-28T00:00:00"/>
        <d v="2023-12-21T00:00:00"/>
        <d v="2023-06-07T00:00:00"/>
        <d v="2023-01-18T00:00:00"/>
        <d v="2023-11-10T00:00:00"/>
      </sharedItems>
    </cacheField>
    <cacheField name="Region" numFmtId="0">
      <sharedItems count="3">
        <s v="West"/>
        <s v="South"/>
        <s v="North"/>
      </sharedItems>
    </cacheField>
    <cacheField name="State" numFmtId="0">
      <sharedItems count="5">
        <s v="Maharashtra"/>
        <s v="Karnataka"/>
        <s v="Tamil Nadu"/>
        <s v="Delhi"/>
        <s v="Gujarat"/>
      </sharedItems>
    </cacheField>
    <cacheField name="City" numFmtId="0">
      <sharedItems count="15">
        <s v="Mumbai"/>
        <s v="Mysuru"/>
        <s v="Chennai"/>
        <s v="Madurai"/>
        <s v="New Delhi"/>
        <s v="Nagpur"/>
        <s v="Coimbatore"/>
        <s v="Hubli"/>
        <s v="Ahmedabad"/>
        <s v="Vadodara"/>
        <s v="Pune"/>
        <s v="Surat"/>
        <s v="Bengaluru"/>
        <s v="Karol Bagh"/>
        <s v="Dwarka"/>
      </sharedItems>
    </cacheField>
    <cacheField name="Product" numFmtId="0">
      <sharedItems count="5">
        <s v="Stationery"/>
        <s v="Clothing"/>
        <s v="Groceries"/>
        <s v="Furniture"/>
        <s v="Electronics"/>
      </sharedItems>
    </cacheField>
    <cacheField name="Quantity" numFmtId="0">
      <sharedItems containsSemiMixedTypes="0" containsString="0" containsNumber="1" containsInteger="1" minValue="1" maxValue="20"/>
    </cacheField>
    <cacheField name="Salesman " numFmtId="0">
      <sharedItems count="12">
        <s v="Rajendra"/>
        <s v="Kuldeep "/>
        <s v="vishal "/>
        <s v="Raju"/>
        <s v="Pankaj"/>
        <s v="Priya"/>
        <s v="Keshav"/>
        <s v="Dinesh"/>
        <s v="Raghav"/>
        <s v="Rustam"/>
        <s v="Pinkesh"/>
        <s v="Jaykesh"/>
      </sharedItems>
    </cacheField>
    <cacheField name="AGE" numFmtId="0">
      <sharedItems containsSemiMixedTypes="0" containsString="0" containsNumber="1" containsInteger="1" minValue="16" maxValue="55" count="40">
        <n v="43"/>
        <n v="47"/>
        <n v="21"/>
        <n v="41"/>
        <n v="31"/>
        <n v="40"/>
        <n v="28"/>
        <n v="23"/>
        <n v="25"/>
        <n v="16"/>
        <n v="44"/>
        <n v="22"/>
        <n v="42"/>
        <n v="30"/>
        <n v="50"/>
        <n v="39"/>
        <n v="36"/>
        <n v="55"/>
        <n v="24"/>
        <n v="45"/>
        <n v="54"/>
        <n v="26"/>
        <n v="17"/>
        <n v="33"/>
        <n v="18"/>
        <n v="32"/>
        <n v="37"/>
        <n v="19"/>
        <n v="52"/>
        <n v="20"/>
        <n v="35"/>
        <n v="46"/>
        <n v="53"/>
        <n v="51"/>
        <n v="29"/>
        <n v="38"/>
        <n v="27"/>
        <n v="34"/>
        <n v="48"/>
        <n v="49"/>
      </sharedItems>
      <fieldGroup base="7">
        <rangePr startNum="16" endNum="55" groupInterval="10"/>
        <groupItems count="6">
          <s v="&lt;16"/>
          <s v="16-25"/>
          <s v="26-35"/>
          <s v="36-45"/>
          <s v="46-55"/>
          <s v="&gt;56"/>
        </groupItems>
      </fieldGroup>
    </cacheField>
    <cacheField name="Price per Unit" numFmtId="0">
      <sharedItems containsSemiMixedTypes="0" containsString="0" containsNumber="1" minValue="116.58" maxValue="4999.8999999999996"/>
    </cacheField>
    <cacheField name="Sales Amount" numFmtId="0">
      <sharedItems containsSemiMixedTypes="0" containsString="0" containsNumber="1" minValue="267.32" maxValue="98880.2" count="1000">
        <n v="12632.31"/>
        <n v="54602.77"/>
        <n v="267.32"/>
        <n v="12407.85"/>
        <n v="10449.18"/>
        <n v="18664.099999999999"/>
        <n v="3845.52"/>
        <n v="62400.94"/>
        <n v="14782.08"/>
        <n v="54944.11"/>
        <n v="31374.42"/>
        <n v="8119.22"/>
        <n v="25553.19"/>
        <n v="4080.92"/>
        <n v="34860.480000000003"/>
        <n v="12689.52"/>
        <n v="2808.3"/>
        <n v="4557.0600000000004"/>
        <n v="8435"/>
        <n v="24938.5"/>
        <n v="19303.650000000001"/>
        <n v="65093.42"/>
        <n v="433.17"/>
        <n v="66036.45"/>
        <n v="11690.48"/>
        <n v="29862.9"/>
        <n v="32187.74"/>
        <n v="12396.51"/>
        <n v="10029.959999999999"/>
        <n v="16528.919999999998"/>
        <n v="3967.86"/>
        <n v="36974"/>
        <n v="18736.16"/>
        <n v="4403.43"/>
        <n v="7333.8"/>
        <n v="6732.25"/>
        <n v="22673.07"/>
        <n v="4574.18"/>
        <n v="28609.200000000001"/>
        <n v="6075.1"/>
        <n v="22143.59"/>
        <n v="64815.66"/>
        <n v="2287.52"/>
        <n v="20962.7"/>
        <n v="26207.4"/>
        <n v="9481.36"/>
        <n v="24605.88"/>
        <n v="41915.68"/>
        <n v="15515.6"/>
        <n v="58412.08"/>
        <n v="66620.800000000003"/>
        <n v="33692.959999999999"/>
        <n v="24777.360000000001"/>
        <n v="40808.519999999997"/>
        <n v="9525.42"/>
        <n v="38699.82"/>
        <n v="34646.949999999997"/>
        <n v="23157.75"/>
        <n v="10099.98"/>
        <n v="34388.1"/>
        <n v="12423.18"/>
        <n v="3459.33"/>
        <n v="56412.98"/>
        <n v="4584.8999999999996"/>
        <n v="73864.98"/>
        <n v="39003.300000000003"/>
        <n v="34959.300000000003"/>
        <n v="3698.2"/>
        <n v="57389.919999999998"/>
        <n v="5739.88"/>
        <n v="75034.62"/>
        <n v="18944.310000000001"/>
        <n v="24252.959999999999"/>
        <n v="44963.9"/>
        <n v="41747.129999999997"/>
        <n v="7904.8"/>
        <n v="12737.88"/>
        <n v="12722.72"/>
        <n v="10802.54"/>
        <n v="59238.879999999997"/>
        <n v="5824.76"/>
        <n v="39320.120000000003"/>
        <n v="6562.16"/>
        <n v="58641.3"/>
        <n v="76802.259999999995"/>
        <n v="20994.85"/>
        <n v="67747.539999999994"/>
        <n v="72407.88"/>
        <n v="19783.939999999999"/>
        <n v="32055.7"/>
        <n v="24939.200000000001"/>
        <n v="21100.66"/>
        <n v="59342.239999999998"/>
        <n v="18931.400000000001"/>
        <n v="41962.400000000001"/>
        <n v="5972.16"/>
        <n v="40041.120000000003"/>
        <n v="10425.299999999999"/>
        <n v="24883.35"/>
        <n v="1482.66"/>
        <n v="11872.14"/>
        <n v="49997.7"/>
        <n v="38802"/>
        <n v="56383.86"/>
        <n v="22499.4"/>
        <n v="56641.26"/>
        <n v="7280.37"/>
        <n v="20409.48"/>
        <n v="29106.48"/>
        <n v="12586.98"/>
        <n v="9050.1"/>
        <n v="10517.68"/>
        <n v="15786.98"/>
        <n v="46072.07"/>
        <n v="4859.6499999999996"/>
        <n v="70441.56"/>
        <n v="35218.879999999997"/>
        <n v="37337.279999999999"/>
        <n v="27748.93"/>
        <n v="47367.57"/>
        <n v="62322.879999999997"/>
        <n v="3654.56"/>
        <n v="22795.24"/>
        <n v="15542.24"/>
        <n v="5196.75"/>
        <n v="2239.44"/>
        <n v="1727"/>
        <n v="83819.83"/>
        <n v="7350.08"/>
        <n v="22982.18"/>
        <n v="60459.62"/>
        <n v="14629.53"/>
        <n v="69664.479999999996"/>
        <n v="42916.800000000003"/>
        <n v="5258.4"/>
        <n v="15580.5"/>
        <n v="62558.13"/>
        <n v="696.38"/>
        <n v="46165.73"/>
        <n v="4718.16"/>
        <n v="62361.120000000003"/>
        <n v="3042.8"/>
        <n v="81334.8"/>
        <n v="44728.2"/>
        <n v="26571.31"/>
        <n v="43663.29"/>
        <n v="33044.410000000003"/>
        <n v="3658.84"/>
        <n v="4681.07"/>
        <n v="44980.76"/>
        <n v="39900.639999999999"/>
        <n v="5543.8"/>
        <n v="24785.040000000001"/>
        <n v="12062.04"/>
        <n v="44580.6"/>
        <n v="12104.68"/>
        <n v="8016.3"/>
        <n v="52540.92"/>
        <n v="62911.199999999997"/>
        <n v="75020.2"/>
        <n v="51600.4"/>
        <n v="1406.1"/>
        <n v="18751.86"/>
        <n v="31197.62"/>
        <n v="7880.18"/>
        <n v="69509.09"/>
        <n v="20303.61"/>
        <n v="17018.68"/>
        <n v="23095.8"/>
        <n v="19667.7"/>
        <n v="46261.05"/>
        <n v="4004.4"/>
        <n v="12090.88"/>
        <n v="4343.58"/>
        <n v="15003.54"/>
        <n v="11915.82"/>
        <n v="40599.9"/>
        <n v="44695.68"/>
        <n v="42668.480000000003"/>
        <n v="11233.17"/>
        <n v="69345.25"/>
        <n v="47180.3"/>
        <n v="21931"/>
        <n v="8899.2000000000007"/>
        <n v="36893.4"/>
        <n v="31225.9"/>
        <n v="39640.5"/>
        <n v="64099.08"/>
        <n v="4832.84"/>
        <n v="31968.18"/>
        <n v="31642.38"/>
        <n v="17904.39"/>
        <n v="5828.28"/>
        <n v="32717.16"/>
        <n v="39500.6"/>
        <n v="14999.07"/>
        <n v="69867.3"/>
        <n v="9994.4599999999991"/>
        <n v="68689.350000000006"/>
        <n v="18097.900000000001"/>
        <n v="15285.49"/>
        <n v="11722.05"/>
        <n v="7436.8"/>
        <n v="7228.6"/>
        <n v="34111.300000000003"/>
        <n v="61398.400000000001"/>
        <n v="4148.1000000000004"/>
        <n v="1830.42"/>
        <n v="20744.580000000002"/>
        <n v="40109.85"/>
        <n v="4966.68"/>
        <n v="55844.46"/>
        <n v="24099.3"/>
        <n v="18212.099999999999"/>
        <n v="30555.18"/>
        <n v="47189.760000000002"/>
        <n v="6770.86"/>
        <n v="21490.63"/>
        <n v="14038.08"/>
        <n v="16005.72"/>
        <n v="3964.37"/>
        <n v="5760.56"/>
        <n v="68575.28"/>
        <n v="58004.480000000003"/>
        <n v="6963.39"/>
        <n v="12542.94"/>
        <n v="19066.580000000002"/>
        <n v="15423.04"/>
        <n v="23365.68"/>
        <n v="632.39"/>
        <n v="40920.5"/>
        <n v="15657.9"/>
        <n v="25317.66"/>
        <n v="18734.32"/>
        <n v="6038.12"/>
        <n v="73697.2"/>
        <n v="30570.67"/>
        <n v="11283.68"/>
        <n v="8064.1"/>
        <n v="5208.32"/>
        <n v="75272.429999999993"/>
        <n v="2909.7"/>
        <n v="6023.2"/>
        <n v="28383.84"/>
        <n v="41480.400000000001"/>
        <n v="30519.58"/>
        <n v="63433.98"/>
        <n v="7994.97"/>
        <n v="11876.48"/>
        <n v="14903.12"/>
        <n v="84985.919999999998"/>
        <n v="66396.600000000006"/>
        <n v="1219.0999999999999"/>
        <n v="21026.48"/>
        <n v="50120.82"/>
        <n v="30527.200000000001"/>
        <n v="25680.75"/>
        <n v="32518.65"/>
        <n v="2056.41"/>
        <n v="27858.15"/>
        <n v="3573.4"/>
        <n v="68178.899999999994"/>
        <n v="42670.6"/>
        <n v="12914.59"/>
        <n v="31219.05"/>
        <n v="34589.519999999997"/>
        <n v="33359.199999999997"/>
        <n v="26188.02"/>
        <n v="49720.24"/>
        <n v="34320.32"/>
        <n v="63392.74"/>
        <n v="74569.2"/>
        <n v="31850.400000000001"/>
        <n v="48317.2"/>
        <n v="32806.44"/>
        <n v="87969.4"/>
        <n v="9224.7000000000007"/>
        <n v="5454.9"/>
        <n v="1239.25"/>
        <n v="4844.3"/>
        <n v="23072.28"/>
        <n v="2645.16"/>
        <n v="12603.27"/>
        <n v="8173.04"/>
        <n v="14786"/>
        <n v="8152.2"/>
        <n v="322.38"/>
        <n v="10758.8"/>
        <n v="8372.7999999999993"/>
        <n v="2653.5"/>
        <n v="48415.51"/>
        <n v="33109.74"/>
        <n v="2814.99"/>
        <n v="45298.54"/>
        <n v="20175.349999999999"/>
        <n v="12117.2"/>
        <n v="6246"/>
        <n v="26982.880000000001"/>
        <n v="4774.8"/>
        <n v="19504.5"/>
        <n v="16706.400000000001"/>
        <n v="31122"/>
        <n v="23906.05"/>
        <n v="43809.3"/>
        <n v="22007.599999999999"/>
        <n v="2559"/>
        <n v="19314"/>
        <n v="29484.36"/>
        <n v="3734.74"/>
        <n v="19631.3"/>
        <n v="14339.36"/>
        <n v="14477.98"/>
        <n v="20279.7"/>
        <n v="42817.77"/>
        <n v="5025.3599999999997"/>
        <n v="11722.04"/>
        <n v="14418.45"/>
        <n v="4476.92"/>
        <n v="26152.799999999999"/>
        <n v="22223.08"/>
        <n v="840.65"/>
        <n v="72333.899999999994"/>
        <n v="3781.47"/>
        <n v="18306.599999999999"/>
        <n v="6424.9"/>
        <n v="35196"/>
        <n v="30286"/>
        <n v="69838.399999999994"/>
        <n v="3391.2"/>
        <n v="35439.660000000003"/>
        <n v="30216.14"/>
        <n v="29733.86"/>
        <n v="8441.23"/>
        <n v="31715.67"/>
        <n v="46395.18"/>
        <n v="23492.400000000001"/>
        <n v="16412.8"/>
        <n v="13826.67"/>
        <n v="13406.7"/>
        <n v="12406.1"/>
        <n v="63850.41"/>
        <n v="17348.36"/>
        <n v="17268.8"/>
        <n v="35010.17"/>
        <n v="18505.849999999999"/>
        <n v="585.58000000000004"/>
        <n v="75523.679999999993"/>
        <n v="37724.25"/>
        <n v="7722.1"/>
        <n v="4915.68"/>
        <n v="7327.16"/>
        <n v="46750.559999999998"/>
        <n v="26501.88"/>
        <n v="349.74"/>
        <n v="12515.73"/>
        <n v="33613.519999999997"/>
        <n v="2716.98"/>
        <n v="3847.65"/>
        <n v="1632.24"/>
        <n v="15657.72"/>
        <n v="6644.58"/>
        <n v="15317.96"/>
        <n v="18788.28"/>
        <n v="5706.6"/>
        <n v="14664.42"/>
        <n v="52129.73"/>
        <n v="8885.8799999999992"/>
        <n v="46122.400000000001"/>
        <n v="13335.98"/>
        <n v="4561.6499999999996"/>
        <n v="35694.75"/>
        <n v="2225.5"/>
        <n v="9373.0499999999993"/>
        <n v="7651"/>
        <n v="14231.7"/>
        <n v="3616.86"/>
        <n v="7666.83"/>
        <n v="12944.19"/>
        <n v="4239.0200000000004"/>
        <n v="421.27"/>
        <n v="38447.78"/>
        <n v="64847.7"/>
        <n v="51491.44"/>
        <n v="5526.84"/>
        <n v="30734.6"/>
        <n v="25084.15"/>
        <n v="54974.94"/>
        <n v="69400.460000000006"/>
        <n v="43803.6"/>
        <n v="9583.2000000000007"/>
        <n v="27522.11"/>
        <n v="24932.43"/>
        <n v="21370.93"/>
        <n v="4185.8599999999997"/>
        <n v="8129.8"/>
        <n v="24080"/>
        <n v="2316.63"/>
        <n v="78753.399999999994"/>
        <n v="16296.5"/>
        <n v="1769.25"/>
        <n v="30933.279999999999"/>
        <n v="27251.52"/>
        <n v="85401.600000000006"/>
        <n v="9022.35"/>
        <n v="2520"/>
        <n v="21422.31"/>
        <n v="1319.66"/>
        <n v="79998.399999999994"/>
        <n v="9807.2000000000007"/>
        <n v="52311.56"/>
        <n v="31792.81"/>
        <n v="6480.64"/>
        <n v="65062.8"/>
        <n v="7854.66"/>
        <n v="30488.31"/>
        <n v="12889.23"/>
        <n v="87527.34"/>
        <n v="9725"/>
        <n v="10599.9"/>
        <n v="11763.29"/>
        <n v="30973.08"/>
        <n v="13362.48"/>
        <n v="17923.5"/>
        <n v="1956.8"/>
        <n v="53096.160000000003"/>
        <n v="23691.200000000001"/>
        <n v="11874"/>
        <n v="15899.76"/>
        <n v="16233.92"/>
        <n v="1969.03"/>
        <n v="11915.48"/>
        <n v="4805.1400000000003"/>
        <n v="20076.12"/>
        <n v="34539.75"/>
        <n v="70011.3"/>
        <n v="44909.1"/>
        <n v="69897"/>
        <n v="16247.88"/>
        <n v="49836.160000000003"/>
        <n v="48042.239999999998"/>
        <n v="3059.01"/>
        <n v="4815.0600000000004"/>
        <n v="3418.77"/>
        <n v="7153.56"/>
        <n v="63937.95"/>
        <n v="73076.759999999995"/>
        <n v="1391.55"/>
        <n v="12119.15"/>
        <n v="15329.12"/>
        <n v="22385.02"/>
        <n v="69481"/>
        <n v="23511.42"/>
        <n v="2710.27"/>
        <n v="13562.2"/>
        <n v="6097.62"/>
        <n v="27981.49"/>
        <n v="25696.19"/>
        <n v="24458.400000000001"/>
        <n v="4424.76"/>
        <n v="12919.05"/>
        <n v="16442.900000000001"/>
        <n v="10335.24"/>
        <n v="38066.699999999997"/>
        <n v="12747.04"/>
        <n v="2489.17"/>
        <n v="10206.24"/>
        <n v="718.9"/>
        <n v="25205"/>
        <n v="54725.04"/>
        <n v="14244.48"/>
        <n v="70653.210000000006"/>
        <n v="48142.2"/>
        <n v="59055.62"/>
        <n v="45725.4"/>
        <n v="1465.32"/>
        <n v="28240.83"/>
        <n v="2710.56"/>
        <n v="10130.450000000001"/>
        <n v="47869.440000000002"/>
        <n v="59166.9"/>
        <n v="20983.200000000001"/>
        <n v="1592.7"/>
        <n v="94255"/>
        <n v="33854.400000000001"/>
        <n v="77825.600000000006"/>
        <n v="57589.120000000003"/>
        <n v="12677.4"/>
        <n v="983.24"/>
        <n v="21850.92"/>
        <n v="41607.68"/>
        <n v="1967.8"/>
        <n v="40857.879999999997"/>
        <n v="96436.4"/>
        <n v="10159.49"/>
        <n v="1410.8"/>
        <n v="13999.84"/>
        <n v="20827.05"/>
        <n v="6144.96"/>
        <n v="8727.9500000000007"/>
        <n v="6121.14"/>
        <n v="4320.6400000000003"/>
        <n v="52631.6"/>
        <n v="20957.22"/>
        <n v="1064.04"/>
        <n v="30150.400000000001"/>
        <n v="9385.7000000000007"/>
        <n v="20811.060000000001"/>
        <n v="17546.16"/>
        <n v="19052.64"/>
        <n v="11905.92"/>
        <n v="32220.15"/>
        <n v="27409.8"/>
        <n v="18105.78"/>
        <n v="23056.25"/>
        <n v="5751.68"/>
        <n v="11583.27"/>
        <n v="3458.19"/>
        <n v="3165.3"/>
        <n v="6466.92"/>
        <n v="93930.11"/>
        <n v="2664.84"/>
        <n v="4388.1000000000004"/>
        <n v="12179.28"/>
        <n v="63813.120000000003"/>
        <n v="16380.48"/>
        <n v="4109.28"/>
        <n v="2750.3"/>
        <n v="11135.11"/>
        <n v="24964.799999999999"/>
        <n v="4432.05"/>
        <n v="4443.22"/>
        <n v="3197.92"/>
        <n v="3389.49"/>
        <n v="8041.44"/>
        <n v="20697.16"/>
        <n v="28038.06"/>
        <n v="80358.98"/>
        <n v="57292.639999999999"/>
        <n v="15907.4"/>
        <n v="5274.88"/>
        <n v="34771.629999999997"/>
        <n v="4979.45"/>
        <n v="37876.28"/>
        <n v="10807.72"/>
        <n v="1364.33"/>
        <n v="38274"/>
        <n v="11299.84"/>
        <n v="37341.360000000001"/>
        <n v="56130.62"/>
        <n v="9329.82"/>
        <n v="29918.47"/>
        <n v="40366.89"/>
        <n v="7155.8"/>
        <n v="13751.25"/>
        <n v="30261.53"/>
        <n v="47269.120000000003"/>
        <n v="69094.759999999995"/>
        <n v="2126.6999999999998"/>
        <n v="6019.09"/>
        <n v="44135"/>
        <n v="29264.16"/>
        <n v="1071.25"/>
        <n v="28745.1"/>
        <n v="71784.149999999994"/>
        <n v="20850.88"/>
        <n v="35757.360000000001"/>
        <n v="16982.68"/>
        <n v="3971.8"/>
        <n v="7506.74"/>
        <n v="7830.2"/>
        <n v="70197.78"/>
        <n v="6204.45"/>
        <n v="39074.9"/>
        <n v="45634.96"/>
        <n v="2551.56"/>
        <n v="42463"/>
        <n v="90658.5"/>
        <n v="44439.72"/>
        <n v="18155.05"/>
        <n v="80712.2"/>
        <n v="6594.96"/>
        <n v="4103.82"/>
        <n v="26880.82"/>
        <n v="4935.21"/>
        <n v="2755.28"/>
        <n v="46895.199999999997"/>
        <n v="93488.36"/>
        <n v="28888.47"/>
        <n v="38330.400000000001"/>
        <n v="10960.56"/>
        <n v="15635.06"/>
        <n v="3688.41"/>
        <n v="13271.04"/>
        <n v="3476.5"/>
        <n v="54168"/>
        <n v="4742.5600000000004"/>
        <n v="568.54999999999995"/>
        <n v="6597.3"/>
        <n v="1558.27"/>
        <n v="4117.97"/>
        <n v="1793.18"/>
        <n v="28324.38"/>
        <n v="79266.42"/>
        <n v="5414.08"/>
        <n v="26789.88"/>
        <n v="65617.399999999994"/>
        <n v="4469.1000000000004"/>
        <n v="51847.38"/>
        <n v="25595.16"/>
        <n v="26850.45"/>
        <n v="13256.88"/>
        <n v="13272.7"/>
        <n v="10501.24"/>
        <n v="45423.48"/>
        <n v="45345.21"/>
        <n v="68765"/>
        <n v="79599.78"/>
        <n v="2097.7600000000002"/>
        <n v="19676.7"/>
        <n v="9195.92"/>
        <n v="32616.75"/>
        <n v="47611.9"/>
        <n v="27607.86"/>
        <n v="9324.4"/>
        <n v="41322.480000000003"/>
        <n v="28379.040000000001"/>
        <n v="12999.3"/>
        <n v="11526.66"/>
        <n v="47752.13"/>
        <n v="33205.9"/>
        <n v="21950.91"/>
        <n v="57842.080000000002"/>
        <n v="8641.2000000000007"/>
        <n v="4174.28"/>
        <n v="23724.26"/>
        <n v="20910.349999999999"/>
        <n v="92764"/>
        <n v="1999.98"/>
        <n v="55044.36"/>
        <n v="19494.400000000001"/>
        <n v="78546.19"/>
        <n v="2571.59"/>
        <n v="1286.1099999999999"/>
        <n v="6863.9"/>
        <n v="3346.2"/>
        <n v="11034.8"/>
        <n v="1210.5"/>
        <n v="26912.1"/>
        <n v="2977.76"/>
        <n v="88213.96"/>
        <n v="57202.2"/>
        <n v="39890.480000000003"/>
        <n v="14664.09"/>
        <n v="33129.03"/>
        <n v="49325.440000000002"/>
        <n v="29453.88"/>
        <n v="24228.959999999999"/>
        <n v="80104.14"/>
        <n v="70178.55"/>
        <n v="21200.400000000001"/>
        <n v="70317.27"/>
        <n v="15784.5"/>
        <n v="5927.25"/>
        <n v="10641.54"/>
        <n v="25396.799999999999"/>
        <n v="9212.91"/>
        <n v="9958.2000000000007"/>
        <n v="54873.48"/>
        <n v="4986.12"/>
        <n v="49062.15"/>
        <n v="32076.080000000002"/>
        <n v="302.02"/>
        <n v="49957.4"/>
        <n v="43728.75"/>
        <n v="3942"/>
        <n v="56559.12"/>
        <n v="24969.35"/>
        <n v="3067.08"/>
        <n v="12862.3"/>
        <n v="7122.24"/>
        <n v="11982.67"/>
        <n v="59349.24"/>
        <n v="76540.63"/>
        <n v="794.94"/>
        <n v="52343.06"/>
        <n v="2517.3200000000002"/>
        <n v="35706.720000000001"/>
        <n v="94217"/>
        <n v="44503.68"/>
        <n v="44235.24"/>
        <n v="4503.84"/>
        <n v="39499.79"/>
        <n v="57183.96"/>
        <n v="16436.34"/>
        <n v="8958.24"/>
        <n v="5215.5200000000004"/>
        <n v="37156.35"/>
        <n v="52283.92"/>
        <n v="28581.7"/>
        <n v="44259.33"/>
        <n v="55105.89"/>
        <n v="2633.58"/>
        <n v="23581.9"/>
        <n v="19844.04"/>
        <n v="10506.09"/>
        <n v="4399.1000000000004"/>
        <n v="4801.1000000000004"/>
        <n v="65937.22"/>
        <n v="18696.72"/>
        <n v="43957.760000000002"/>
        <n v="67518.899999999994"/>
        <n v="12217.68"/>
        <n v="87984.36"/>
        <n v="35825.120000000003"/>
        <n v="4725.5600000000004"/>
        <n v="3374.31"/>
        <n v="11582.97"/>
        <n v="38927.129999999997"/>
        <n v="50486.879999999997"/>
        <n v="5182.1400000000003"/>
        <n v="4515.5600000000004"/>
        <n v="33581.120000000003"/>
        <n v="39175.4"/>
        <n v="61377.599999999999"/>
        <n v="70988.759999999995"/>
        <n v="45076.2"/>
        <n v="56822.33"/>
        <n v="2341.46"/>
        <n v="11233.08"/>
        <n v="61992"/>
        <n v="43582.05"/>
        <n v="58813.72"/>
        <n v="74618.13"/>
        <n v="60613.760000000002"/>
        <n v="9054.26"/>
        <n v="75063"/>
        <n v="20182.62"/>
        <n v="23677.68"/>
        <n v="5690.08"/>
        <n v="29707.65"/>
        <n v="48843"/>
        <n v="53000.22"/>
        <n v="64120.43"/>
        <n v="14112.21"/>
        <n v="6501.6"/>
        <n v="2458.9"/>
        <n v="40777.230000000003"/>
        <n v="38017.56"/>
        <n v="18798.89"/>
        <n v="1898.15"/>
        <n v="648.88"/>
        <n v="36134.559999999998"/>
        <n v="7717.36"/>
        <n v="11322.4"/>
        <n v="4643.7299999999996"/>
        <n v="16152.32"/>
        <n v="1889.5"/>
        <n v="6479.88"/>
        <n v="26691.279999999999"/>
        <n v="3130.17"/>
        <n v="20103.060000000001"/>
        <n v="14061.52"/>
        <n v="27070.799999999999"/>
        <n v="24770.19"/>
        <n v="68527.759999999995"/>
        <n v="37210.400000000001"/>
        <n v="1520.22"/>
        <n v="3754.28"/>
        <n v="16110.9"/>
        <n v="13245.84"/>
        <n v="33174.559999999998"/>
        <n v="17833.759999999998"/>
        <n v="19512.64"/>
        <n v="33798.49"/>
        <n v="6598.08"/>
        <n v="23817.360000000001"/>
        <n v="979.17"/>
        <n v="48069.7"/>
        <n v="8785.0499999999993"/>
        <n v="77732.960000000006"/>
        <n v="10929.44"/>
        <n v="9702.08"/>
        <n v="84012.11"/>
        <n v="70873.649999999994"/>
        <n v="53338.2"/>
        <n v="30690.84"/>
        <n v="9988.7999999999993"/>
        <n v="6339.51"/>
        <n v="48926.2"/>
        <n v="28538.799999999999"/>
        <n v="16474.650000000001"/>
        <n v="10649.87"/>
        <n v="3735.4"/>
        <n v="7754.4"/>
        <n v="32789.339999999997"/>
        <n v="64112.27"/>
        <n v="2800.28"/>
        <n v="29447.33"/>
        <n v="15869.88"/>
        <n v="4640.17"/>
        <n v="19297.32"/>
        <n v="28920.48"/>
        <n v="29666.49"/>
        <n v="63708.160000000003"/>
        <n v="22031.040000000001"/>
        <n v="3138.18"/>
        <n v="12766.08"/>
        <n v="38932.639999999999"/>
        <n v="8353.98"/>
        <n v="77761.119999999995"/>
        <n v="1109.8"/>
        <n v="13401.7"/>
        <n v="41173.279999999999"/>
        <n v="20427.84"/>
        <n v="10428.34"/>
        <n v="5686"/>
        <n v="12612.18"/>
        <n v="12586.34"/>
        <n v="20638.98"/>
        <n v="59154.45"/>
        <n v="15605.37"/>
        <n v="47618.720000000001"/>
        <n v="11937.08"/>
        <n v="3776.94"/>
        <n v="11721.96"/>
        <n v="9327.5400000000009"/>
        <n v="6462.06"/>
        <n v="2466.0100000000002"/>
        <n v="74243.64"/>
        <n v="12319.75"/>
        <n v="2871.96"/>
        <n v="11278.08"/>
        <n v="1558.7"/>
        <n v="4974.3"/>
        <n v="59578.44"/>
        <n v="19793.2"/>
        <n v="6849.22"/>
        <n v="1591.88"/>
        <n v="52846.2"/>
        <n v="11848.32"/>
        <n v="14442.6"/>
        <n v="16635.060000000001"/>
        <n v="7975.88"/>
        <n v="10059.52"/>
        <n v="30090.6"/>
        <n v="76492.320000000007"/>
        <n v="20284.78"/>
        <n v="13089.9"/>
        <n v="6888.84"/>
        <n v="63211.29"/>
        <n v="9261.89"/>
        <n v="10206"/>
        <n v="16712.400000000001"/>
        <n v="21503.5"/>
        <n v="87503.58"/>
        <n v="37678.46"/>
        <n v="8071.56"/>
        <n v="84538.6"/>
        <n v="25214.240000000002"/>
        <n v="15748.64"/>
        <n v="13509.08"/>
        <n v="593.05999999999995"/>
        <n v="8996.16"/>
        <n v="39424.660000000003"/>
        <n v="43037.1"/>
        <n v="69704.59"/>
        <n v="8270.49"/>
        <n v="36783.11"/>
        <n v="22796.66"/>
        <n v="4296.8999999999996"/>
        <n v="84707.77"/>
        <n v="78611.360000000001"/>
        <n v="4588.24"/>
        <n v="29591.25"/>
        <n v="19078.080000000002"/>
        <n v="12729.65"/>
        <n v="57219.199999999997"/>
        <n v="38854.620000000003"/>
        <n v="49285.2"/>
        <n v="20376.72"/>
        <n v="7232.16"/>
        <n v="98880.2"/>
        <n v="2949.43"/>
        <n v="7904.82"/>
        <n v="7060.4"/>
        <n v="8038.8"/>
        <n v="36912.36"/>
        <n v="467.5"/>
        <n v="21385.08"/>
        <n v="12069.8"/>
        <n v="64039.8"/>
        <n v="4118.28"/>
        <n v="34009.22"/>
        <n v="18852.3"/>
        <n v="10810.4"/>
        <n v="8201.8799999999992"/>
        <n v="21444.71"/>
        <n v="9840.9599999999991"/>
        <n v="47776.08"/>
        <n v="55005.599999999999"/>
        <n v="36520.769999999997"/>
        <n v="20819.68"/>
        <n v="23029.38"/>
        <n v="8879"/>
        <n v="63052.21"/>
        <n v="11168.92"/>
        <n v="84201.68"/>
        <n v="58700.04"/>
        <n v="54130.239999999998"/>
        <n v="16234.68"/>
        <n v="3704.4"/>
        <n v="39373.53"/>
        <n v="10970.24"/>
        <n v="42983.199999999997"/>
        <n v="12087.8"/>
        <n v="48278.85"/>
        <n v="23947.11"/>
        <n v="1671.45"/>
        <n v="28616.2"/>
        <n v="19130.96"/>
        <n v="43793.48"/>
        <n v="1355.14"/>
        <n v="69977.759999999995"/>
        <n v="21405.75"/>
        <n v="4733.7"/>
        <n v="53483.86"/>
        <n v="6664.97"/>
        <n v="29634.54"/>
        <n v="29909.52"/>
        <n v="9012.33"/>
        <n v="76758.570000000007"/>
        <n v="48122.82"/>
        <n v="83138.5"/>
        <n v="3229.71"/>
        <n v="35406"/>
        <n v="28124.2"/>
        <n v="39540"/>
        <n v="1057.24"/>
        <n v="20783.91"/>
        <n v="58460.85"/>
        <n v="64460.94"/>
        <n v="20466.900000000001"/>
        <n v="5964.1"/>
        <n v="40305.360000000001"/>
        <n v="4511.88"/>
        <n v="38828.699999999997"/>
        <n v="16082.6"/>
        <n v="1723.64"/>
        <n v="31557.96"/>
        <n v="2193.4499999999998"/>
        <n v="34393.5"/>
        <n v="41019.040000000001"/>
        <n v="4876.95"/>
        <n v="16691.57"/>
        <n v="69404.600000000006"/>
        <n v="3964.08"/>
        <n v="15589.49"/>
        <n v="7304.2"/>
        <n v="11892.66"/>
        <n v="14355.6"/>
        <n v="5337.09"/>
        <n v="5409.96"/>
        <n v="1981.82"/>
        <n v="15481.4"/>
        <n v="1611.17"/>
        <n v="3406.32"/>
        <n v="36615.760000000002"/>
        <n v="17473.84"/>
        <n v="82029.08"/>
        <n v="71692.02"/>
        <n v="8678.44"/>
        <n v="28831.32"/>
        <n v="34675.279999999999"/>
        <n v="66876.639999999999"/>
        <n v="20800.2"/>
        <n v="12250.77"/>
        <n v="27611.08"/>
        <n v="2888.2"/>
        <n v="33625.339999999997"/>
        <n v="1094.8800000000001"/>
        <n v="42241.279999999999"/>
        <n v="18887.400000000001"/>
        <n v="49753"/>
        <n v="14035.14"/>
        <n v="2469.44"/>
        <n v="82625.87"/>
        <n v="6068.64"/>
        <n v="11152.18"/>
        <n v="73824.160000000003"/>
        <n v="23217.46"/>
        <n v="36346.559999999998"/>
        <n v="10507.42"/>
        <n v="17024.349999999999"/>
        <n v="16901.28"/>
        <n v="1520.97"/>
        <n v="864.95"/>
        <n v="43035.48"/>
        <n v="29366.46"/>
        <n v="22785.56"/>
        <n v="5085.12"/>
      </sharedItems>
      <fieldGroup base="9">
        <rangePr startNum="267.32" endNum="98880.2" groupInterval="10000"/>
        <groupItems count="12">
          <s v="&lt;267.32"/>
          <s v="267.32-10267.32"/>
          <s v="10267.32-20267.32"/>
          <s v="20267.32-30267.32"/>
          <s v="30267.32-40267.32"/>
          <s v="40267.32-50267.32"/>
          <s v="50267.32-60267.32"/>
          <s v="60267.32-70267.32"/>
          <s v="70267.32-80267.32"/>
          <s v="80267.32-90267.32"/>
          <s v="90267.32-100267.32"/>
          <s v="&gt;100267.32"/>
        </groupItems>
      </fieldGroup>
    </cacheField>
  </cacheFields>
  <extLst>
    <ext xmlns:x14="http://schemas.microsoft.com/office/spreadsheetml/2009/9/main" uri="{725AE2AE-9491-48be-B2B4-4EB974FC3084}">
      <x14:pivotCacheDefinition pivotCacheId="91160067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5880.285032060186" createdVersion="8" refreshedVersion="8" minRefreshableVersion="3" recordCount="1001" xr:uid="{77167256-2D74-4C22-8B7D-A45DB38D9895}">
  <cacheSource type="worksheet">
    <worksheetSource ref="A1:J1002" sheet="Sheet1"/>
  </cacheSource>
  <cacheFields count="12">
    <cacheField name="Sale Date" numFmtId="14">
      <sharedItems containsSemiMixedTypes="0" containsNonDate="0" containsDate="1" containsString="0" minDate="2023-01-01T00:00:00" maxDate="2024-11-12T00:00:00"/>
    </cacheField>
    <cacheField name="Region" numFmtId="0">
      <sharedItems/>
    </cacheField>
    <cacheField name="State" numFmtId="0">
      <sharedItems/>
    </cacheField>
    <cacheField name="City" numFmtId="0">
      <sharedItems/>
    </cacheField>
    <cacheField name="Product" numFmtId="0">
      <sharedItems/>
    </cacheField>
    <cacheField name="Quantity" numFmtId="0">
      <sharedItems containsSemiMixedTypes="0" containsString="0" containsNumber="1" containsInteger="1" minValue="1" maxValue="20"/>
    </cacheField>
    <cacheField name="Salesman " numFmtId="0">
      <sharedItems containsBlank="1" count="13">
        <s v="Rajendra"/>
        <s v="Kuldeep "/>
        <s v="vishal "/>
        <s v="Raju"/>
        <s v="Pankaj"/>
        <s v="Priya"/>
        <s v="Keshav"/>
        <s v="Dinesh"/>
        <s v="Raghav"/>
        <s v="Rustam"/>
        <s v="Pinkesh"/>
        <s v="Jaykesh"/>
        <m u="1"/>
      </sharedItems>
    </cacheField>
    <cacheField name="AGE" numFmtId="0">
      <sharedItems containsSemiMixedTypes="0" containsString="0" containsNumber="1" containsInteger="1" minValue="16" maxValue="55"/>
    </cacheField>
    <cacheField name="Price per Unit" numFmtId="0">
      <sharedItems containsSemiMixedTypes="0" containsString="0" containsNumber="1" minValue="116.58" maxValue="4999.8999999999996"/>
    </cacheField>
    <cacheField name="Sales Amount" numFmtId="0">
      <sharedItems containsSemiMixedTypes="0" containsString="0" containsNumber="1" minValue="267.32" maxValue="98880.2"/>
    </cacheField>
    <cacheField name="Incentive" numFmtId="0" formula="'Sales Amount'*1/100" databaseField="0"/>
    <cacheField name="Incentive2" numFmtId="0" formula=" IF('Sales Amount'&gt;=500000,'Sales Amount'*5/100,'Sales Amount'*3/100)" databaseField="0"/>
  </cacheFields>
  <extLst>
    <ext xmlns:x14="http://schemas.microsoft.com/office/spreadsheetml/2009/9/main" uri="{725AE2AE-9491-48be-B2B4-4EB974FC3084}">
      <x14:pivotCacheDefinition pivotCacheId="519124590"/>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5899.698405787036" createdVersion="8" refreshedVersion="8" minRefreshableVersion="3" recordCount="200" xr:uid="{16772A5C-AFC6-44C9-BD00-EBF4AB7C9D81}">
  <cacheSource type="worksheet">
    <worksheetSource ref="A1:K201" sheet="Chart's Data"/>
  </cacheSource>
  <cacheFields count="11">
    <cacheField name="OrderID" numFmtId="0">
      <sharedItems containsSemiMixedTypes="0" containsString="0" containsNumber="1" containsInteger="1" minValue="1001" maxValue="1200"/>
    </cacheField>
    <cacheField name="OrderDate" numFmtId="14">
      <sharedItems containsSemiMixedTypes="0" containsNonDate="0" containsDate="1" containsString="0" minDate="2022-01-01T00:00:00" maxDate="2022-07-20T00:00:00"/>
    </cacheField>
    <cacheField name="CustomerName" numFmtId="0">
      <sharedItems/>
    </cacheField>
    <cacheField name="Product" numFmtId="0">
      <sharedItems/>
    </cacheField>
    <cacheField name="Category" numFmtId="0">
      <sharedItems/>
    </cacheField>
    <cacheField name="Region" numFmtId="0">
      <sharedItems/>
    </cacheField>
    <cacheField name="Quantity" numFmtId="0">
      <sharedItems containsSemiMixedTypes="0" containsString="0" containsNumber="1" containsInteger="1" minValue="1" maxValue="9"/>
    </cacheField>
    <cacheField name="UnitPrice" numFmtId="0">
      <sharedItems containsSemiMixedTypes="0" containsString="0" containsNumber="1" containsInteger="1" minValue="50" maxValue="499"/>
    </cacheField>
    <cacheField name="Sales" numFmtId="0">
      <sharedItems containsSemiMixedTypes="0" containsString="0" containsNumber="1" containsInteger="1" minValue="57" maxValue="4383"/>
    </cacheField>
    <cacheField name="Discount" numFmtId="0">
      <sharedItems containsSemiMixedTypes="0" containsString="0" containsNumber="1" minValue="0" maxValue="0.3"/>
    </cacheField>
    <cacheField name="Profit" numFmtId="0">
      <sharedItems containsSemiMixedTypes="0" containsString="0" containsNumber="1" minValue="14.28" maxValue="1160.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s v="January"/>
    <s v="Amazon"/>
    <x v="0"/>
    <x v="0"/>
    <n v="4000"/>
  </r>
  <r>
    <s v="January"/>
    <s v="Flipkart"/>
    <x v="1"/>
    <x v="1"/>
    <n v="1600"/>
  </r>
  <r>
    <s v="January"/>
    <s v="eBay"/>
    <x v="0"/>
    <x v="2"/>
    <n v="6400"/>
  </r>
  <r>
    <s v="January"/>
    <s v="Amazon"/>
    <x v="1"/>
    <x v="3"/>
    <n v="2400"/>
  </r>
  <r>
    <s v="January"/>
    <s v="Flipkart"/>
    <x v="0"/>
    <x v="0"/>
    <n v="3200"/>
  </r>
  <r>
    <s v="January"/>
    <s v="eBay"/>
    <x v="0"/>
    <x v="1"/>
    <n v="2000"/>
  </r>
  <r>
    <s v="February"/>
    <s v="Amazon"/>
    <x v="1"/>
    <x v="2"/>
    <n v="4800"/>
  </r>
  <r>
    <s v="February"/>
    <s v="Flipkart"/>
    <x v="0"/>
    <x v="3"/>
    <n v="2800"/>
  </r>
  <r>
    <s v="February"/>
    <s v="eBay"/>
    <x v="0"/>
    <x v="0"/>
    <n v="3600"/>
  </r>
  <r>
    <s v="February"/>
    <s v="Amazon"/>
    <x v="0"/>
    <x v="1"/>
    <n v="1800"/>
  </r>
  <r>
    <s v="February"/>
    <s v="Flipkart"/>
    <x v="1"/>
    <x v="2"/>
    <n v="4800"/>
  </r>
  <r>
    <s v="February"/>
    <s v="eBay"/>
    <x v="0"/>
    <x v="3"/>
    <n v="2200"/>
  </r>
  <r>
    <s v="March"/>
    <s v="Amazon"/>
    <x v="0"/>
    <x v="0"/>
    <n v="4400"/>
  </r>
  <r>
    <s v="March"/>
    <s v="Flipkart"/>
    <x v="0"/>
    <x v="1"/>
    <n v="1440"/>
  </r>
  <r>
    <s v="March"/>
    <s v="eBay"/>
    <x v="1"/>
    <x v="2"/>
    <n v="5200"/>
  </r>
  <r>
    <s v="March"/>
    <s v="Amazon"/>
    <x v="0"/>
    <x v="3"/>
    <n v="2880"/>
  </r>
  <r>
    <s v="March"/>
    <s v="Flipkart"/>
    <x v="0"/>
    <x v="0"/>
    <n v="3840"/>
  </r>
  <r>
    <s v="March"/>
    <s v="eBay"/>
    <x v="0"/>
    <x v="1"/>
    <n v="2560"/>
  </r>
  <r>
    <s v="April"/>
    <s v="Amazon"/>
    <x v="1"/>
    <x v="2"/>
    <n v="4400"/>
  </r>
  <r>
    <s v="April"/>
    <s v="Flipkart"/>
    <x v="1"/>
    <x v="3"/>
    <n v="3200"/>
  </r>
  <r>
    <s v="April"/>
    <s v="eBay"/>
    <x v="0"/>
    <x v="0"/>
    <n v="4320"/>
  </r>
  <r>
    <s v="April"/>
    <s v="Amazon"/>
    <x v="0"/>
    <x v="1"/>
    <n v="2160"/>
  </r>
  <r>
    <s v="April"/>
    <s v="Flipkart"/>
    <x v="0"/>
    <x v="2"/>
    <n v="5600"/>
  </r>
  <r>
    <s v="April"/>
    <s v="eBay"/>
    <x v="1"/>
    <x v="3"/>
    <n v="2400"/>
  </r>
  <r>
    <s v="May"/>
    <s v="Amazon"/>
    <x v="1"/>
    <x v="0"/>
    <n v="4800"/>
  </r>
  <r>
    <s v="May"/>
    <s v="Flipkart"/>
    <x v="0"/>
    <x v="1"/>
    <n v="1200"/>
  </r>
  <r>
    <s v="May"/>
    <s v="eBay"/>
    <x v="0"/>
    <x v="2"/>
    <n v="5100"/>
  </r>
  <r>
    <s v="May"/>
    <s v="Amazon"/>
    <x v="1"/>
    <x v="3"/>
    <n v="2280"/>
  </r>
  <r>
    <s v="May"/>
    <s v="Flipkart"/>
    <x v="0"/>
    <x v="0"/>
    <n v="3840"/>
  </r>
  <r>
    <s v="May"/>
    <s v="eBay"/>
    <x v="0"/>
    <x v="1"/>
    <n v="1600"/>
  </r>
  <r>
    <s v="June"/>
    <s v="Amazon"/>
    <x v="0"/>
    <x v="2"/>
    <n v="4800"/>
  </r>
  <r>
    <s v="June"/>
    <s v="Flipkart"/>
    <x v="1"/>
    <x v="3"/>
    <n v="3360"/>
  </r>
  <r>
    <s v="June"/>
    <s v="eBay"/>
    <x v="0"/>
    <x v="0"/>
    <n v="4800"/>
  </r>
  <r>
    <s v="June"/>
    <s v="Amazon"/>
    <x v="0"/>
    <x v="1"/>
    <n v="2160"/>
  </r>
  <r>
    <s v="June"/>
    <s v="Flipkart"/>
    <x v="0"/>
    <x v="2"/>
    <n v="5440"/>
  </r>
  <r>
    <s v="June"/>
    <s v="eBay"/>
    <x v="0"/>
    <x v="3"/>
    <n v="2080"/>
  </r>
  <r>
    <s v="July"/>
    <s v="Amazon"/>
    <x v="0"/>
    <x v="0"/>
    <n v="4640"/>
  </r>
  <r>
    <s v="July"/>
    <s v="Flipkart"/>
    <x v="1"/>
    <x v="1"/>
    <n v="1360"/>
  </r>
  <r>
    <s v="July"/>
    <s v="eBay"/>
    <x v="0"/>
    <x v="2"/>
    <n v="6240"/>
  </r>
  <r>
    <s v="July"/>
    <s v="Amazon"/>
    <x v="1"/>
    <x v="3"/>
    <n v="2720"/>
  </r>
  <r>
    <s v="July"/>
    <s v="Flipkart"/>
    <x v="0"/>
    <x v="0"/>
    <n v="4480"/>
  </r>
  <r>
    <s v="July"/>
    <s v="eBay"/>
    <x v="1"/>
    <x v="1"/>
    <n v="2240"/>
  </r>
  <r>
    <s v="August"/>
    <s v="Amazon"/>
    <x v="0"/>
    <x v="2"/>
    <n v="5600"/>
  </r>
  <r>
    <s v="August"/>
    <s v="Flipkart"/>
    <x v="1"/>
    <x v="3"/>
    <n v="3600"/>
  </r>
  <r>
    <s v="August"/>
    <s v="eBay"/>
    <x v="0"/>
    <x v="0"/>
    <n v="5600"/>
  </r>
  <r>
    <s v="August"/>
    <s v="Amazon"/>
    <x v="0"/>
    <x v="1"/>
    <n v="2080"/>
  </r>
  <r>
    <s v="August"/>
    <s v="Flipkart"/>
    <x v="0"/>
    <x v="2"/>
    <n v="5440"/>
  </r>
  <r>
    <s v="August"/>
    <s v="eBay"/>
    <x v="0"/>
    <x v="3"/>
    <n v="2320"/>
  </r>
  <r>
    <s v="September"/>
    <s v="Amazon"/>
    <x v="1"/>
    <x v="0"/>
    <n v="5760"/>
  </r>
  <r>
    <s v="September"/>
    <s v="Flipkart"/>
    <x v="0"/>
    <x v="1"/>
    <n v="1720"/>
  </r>
  <r>
    <s v="September"/>
    <s v="eBay"/>
    <x v="0"/>
    <x v="2"/>
    <n v="4800"/>
  </r>
  <r>
    <s v="September"/>
    <s v="Amazon"/>
    <x v="0"/>
    <x v="3"/>
    <n v="2520"/>
  </r>
  <r>
    <s v="September"/>
    <s v="Flipkart"/>
    <x v="1"/>
    <x v="0"/>
    <n v="4160"/>
  </r>
  <r>
    <s v="September"/>
    <s v="eBay"/>
    <x v="0"/>
    <x v="1"/>
    <n v="2280"/>
  </r>
  <r>
    <s v="October"/>
    <s v="Amazon"/>
    <x v="1"/>
    <x v="2"/>
    <n v="4200"/>
  </r>
  <r>
    <s v="October"/>
    <s v="Flipkart"/>
    <x v="0"/>
    <x v="3"/>
    <n v="3120"/>
  </r>
  <r>
    <s v="October"/>
    <s v="eBay"/>
    <x v="0"/>
    <x v="0"/>
    <n v="4320"/>
  </r>
  <r>
    <s v="October"/>
    <s v="Amazon"/>
    <x v="0"/>
    <x v="1"/>
    <n v="2880"/>
  </r>
  <r>
    <s v="October"/>
    <s v="Flipkart"/>
    <x v="1"/>
    <x v="2"/>
    <n v="5040"/>
  </r>
  <r>
    <s v="October"/>
    <s v="eBay"/>
    <x v="0"/>
    <x v="3"/>
    <n v="1840"/>
  </r>
  <r>
    <s v="November"/>
    <s v="Amazon"/>
    <x v="0"/>
    <x v="0"/>
    <n v="5120"/>
  </r>
  <r>
    <s v="November"/>
    <s v="Flipkart"/>
    <x v="1"/>
    <x v="1"/>
    <n v="1520"/>
  </r>
  <r>
    <s v="November"/>
    <s v="eBay"/>
    <x v="0"/>
    <x v="2"/>
    <n v="5600"/>
  </r>
  <r>
    <s v="November"/>
    <s v="Amazon"/>
    <x v="1"/>
    <x v="3"/>
    <n v="2320"/>
  </r>
  <r>
    <s v="November"/>
    <s v="Flipkart"/>
    <x v="0"/>
    <x v="0"/>
    <n v="4000"/>
  </r>
  <r>
    <s v="November"/>
    <s v="eBay"/>
    <x v="0"/>
    <x v="1"/>
    <n v="2440"/>
  </r>
  <r>
    <s v="December"/>
    <s v="Amazon"/>
    <x v="1"/>
    <x v="2"/>
    <n v="4500"/>
  </r>
  <r>
    <s v="December"/>
    <s v="Flipkart"/>
    <x v="0"/>
    <x v="3"/>
    <n v="3200"/>
  </r>
  <r>
    <s v="December"/>
    <s v="eBay"/>
    <x v="0"/>
    <x v="0"/>
    <n v="4800"/>
  </r>
  <r>
    <s v="December"/>
    <s v="Amazon"/>
    <x v="0"/>
    <x v="1"/>
    <n v="1760"/>
  </r>
  <r>
    <s v="December"/>
    <s v="Flipkart"/>
    <x v="1"/>
    <x v="2"/>
    <n v="4800"/>
  </r>
  <r>
    <s v="December"/>
    <s v="eBay"/>
    <x v="1"/>
    <x v="3"/>
    <n v="26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s v="Saving"/>
    <s v="Credit"/>
    <n v="4251"/>
  </r>
  <r>
    <x v="0"/>
    <s v="Current"/>
    <s v="Debit"/>
    <n v="3153"/>
  </r>
  <r>
    <x v="1"/>
    <s v="Saving"/>
    <s v="Credit"/>
    <n v="3936"/>
  </r>
  <r>
    <x v="1"/>
    <s v="Current"/>
    <s v="Debit"/>
    <n v="2764"/>
  </r>
  <r>
    <x v="1"/>
    <s v="Saving"/>
    <s v="Credit"/>
    <n v="4911"/>
  </r>
  <r>
    <x v="1"/>
    <s v="Current"/>
    <s v="Debit"/>
    <n v="4799"/>
  </r>
  <r>
    <x v="2"/>
    <s v="Saving"/>
    <s v="Credit"/>
    <n v="3661"/>
  </r>
  <r>
    <x v="2"/>
    <s v="Current"/>
    <s v="Debit"/>
    <n v="2515"/>
  </r>
  <r>
    <x v="2"/>
    <s v="Saving"/>
    <s v="Credit"/>
    <n v="5263"/>
  </r>
  <r>
    <x v="2"/>
    <s v="Current"/>
    <s v="Debit"/>
    <n v="4357"/>
  </r>
  <r>
    <x v="2"/>
    <s v="Saving"/>
    <s v="Credit"/>
    <n v="315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3">
  <r>
    <d v="2023-11-11T00:00:00"/>
    <x v="0"/>
    <x v="0"/>
    <x v="0"/>
    <x v="0"/>
    <n v="3"/>
    <x v="0"/>
    <x v="0"/>
    <n v="4210.7700000000004"/>
    <x v="0"/>
  </r>
  <r>
    <d v="2023-06-24T00:00:00"/>
    <x v="1"/>
    <x v="1"/>
    <x v="1"/>
    <x v="1"/>
    <n v="19"/>
    <x v="1"/>
    <x v="1"/>
    <n v="2873.83"/>
    <x v="1"/>
  </r>
  <r>
    <d v="2023-01-23T00:00:00"/>
    <x v="1"/>
    <x v="2"/>
    <x v="2"/>
    <x v="2"/>
    <n v="1"/>
    <x v="2"/>
    <x v="2"/>
    <n v="267.32"/>
    <x v="2"/>
  </r>
  <r>
    <d v="2023-11-30T00:00:00"/>
    <x v="1"/>
    <x v="2"/>
    <x v="3"/>
    <x v="0"/>
    <n v="9"/>
    <x v="3"/>
    <x v="3"/>
    <n v="1378.65"/>
    <x v="3"/>
  </r>
  <r>
    <d v="2023-12-29T00:00:00"/>
    <x v="2"/>
    <x v="3"/>
    <x v="4"/>
    <x v="0"/>
    <n v="9"/>
    <x v="4"/>
    <x v="4"/>
    <n v="1161.02"/>
    <x v="4"/>
  </r>
  <r>
    <d v="2023-03-11T00:00:00"/>
    <x v="0"/>
    <x v="0"/>
    <x v="5"/>
    <x v="1"/>
    <n v="5"/>
    <x v="5"/>
    <x v="5"/>
    <n v="3732.82"/>
    <x v="5"/>
  </r>
  <r>
    <d v="2023-11-20T00:00:00"/>
    <x v="2"/>
    <x v="3"/>
    <x v="4"/>
    <x v="3"/>
    <n v="4"/>
    <x v="6"/>
    <x v="6"/>
    <n v="961.38"/>
    <x v="6"/>
  </r>
  <r>
    <d v="2023-10-14T00:00:00"/>
    <x v="2"/>
    <x v="3"/>
    <x v="4"/>
    <x v="2"/>
    <n v="14"/>
    <x v="7"/>
    <x v="7"/>
    <n v="4457.21"/>
    <x v="7"/>
  </r>
  <r>
    <d v="2023-02-05T00:00:00"/>
    <x v="1"/>
    <x v="2"/>
    <x v="6"/>
    <x v="1"/>
    <n v="6"/>
    <x v="8"/>
    <x v="8"/>
    <n v="2463.6799999999998"/>
    <x v="8"/>
  </r>
  <r>
    <d v="2023-11-06T00:00:00"/>
    <x v="1"/>
    <x v="1"/>
    <x v="7"/>
    <x v="2"/>
    <n v="13"/>
    <x v="9"/>
    <x v="4"/>
    <n v="4226.47"/>
    <x v="9"/>
  </r>
  <r>
    <d v="2023-05-12T00:00:00"/>
    <x v="1"/>
    <x v="2"/>
    <x v="3"/>
    <x v="4"/>
    <n v="11"/>
    <x v="10"/>
    <x v="9"/>
    <n v="2852.22"/>
    <x v="10"/>
  </r>
  <r>
    <d v="2023-02-16T00:00:00"/>
    <x v="2"/>
    <x v="3"/>
    <x v="4"/>
    <x v="2"/>
    <n v="2"/>
    <x v="11"/>
    <x v="10"/>
    <n v="4059.61"/>
    <x v="11"/>
  </r>
  <r>
    <d v="2023-05-19T00:00:00"/>
    <x v="2"/>
    <x v="3"/>
    <x v="4"/>
    <x v="0"/>
    <n v="13"/>
    <x v="0"/>
    <x v="11"/>
    <n v="1965.63"/>
    <x v="12"/>
  </r>
  <r>
    <d v="2023-05-24T00:00:00"/>
    <x v="2"/>
    <x v="3"/>
    <x v="4"/>
    <x v="4"/>
    <n v="4"/>
    <x v="1"/>
    <x v="12"/>
    <n v="1020.23"/>
    <x v="13"/>
  </r>
  <r>
    <d v="2023-10-26T00:00:00"/>
    <x v="2"/>
    <x v="3"/>
    <x v="4"/>
    <x v="3"/>
    <n v="16"/>
    <x v="2"/>
    <x v="13"/>
    <n v="2178.7800000000002"/>
    <x v="14"/>
  </r>
  <r>
    <d v="2023-03-10T00:00:00"/>
    <x v="2"/>
    <x v="3"/>
    <x v="4"/>
    <x v="4"/>
    <n v="3"/>
    <x v="3"/>
    <x v="11"/>
    <n v="4229.84"/>
    <x v="15"/>
  </r>
  <r>
    <d v="2023-10-27T00:00:00"/>
    <x v="0"/>
    <x v="4"/>
    <x v="8"/>
    <x v="0"/>
    <n v="11"/>
    <x v="4"/>
    <x v="14"/>
    <n v="255.3"/>
    <x v="16"/>
  </r>
  <r>
    <d v="2023-12-01T00:00:00"/>
    <x v="0"/>
    <x v="4"/>
    <x v="9"/>
    <x v="1"/>
    <n v="1"/>
    <x v="5"/>
    <x v="15"/>
    <n v="4557.0600000000004"/>
    <x v="17"/>
  </r>
  <r>
    <d v="2023-02-15T00:00:00"/>
    <x v="0"/>
    <x v="4"/>
    <x v="8"/>
    <x v="4"/>
    <n v="10"/>
    <x v="6"/>
    <x v="4"/>
    <n v="843.5"/>
    <x v="18"/>
  </r>
  <r>
    <d v="2023-03-13T00:00:00"/>
    <x v="0"/>
    <x v="0"/>
    <x v="0"/>
    <x v="0"/>
    <n v="5"/>
    <x v="7"/>
    <x v="2"/>
    <n v="4987.7"/>
    <x v="19"/>
  </r>
  <r>
    <d v="2023-06-18T00:00:00"/>
    <x v="0"/>
    <x v="4"/>
    <x v="9"/>
    <x v="1"/>
    <n v="5"/>
    <x v="8"/>
    <x v="8"/>
    <n v="3860.73"/>
    <x v="20"/>
  </r>
  <r>
    <d v="2023-07-18T00:00:00"/>
    <x v="0"/>
    <x v="0"/>
    <x v="0"/>
    <x v="3"/>
    <n v="14"/>
    <x v="9"/>
    <x v="10"/>
    <n v="4649.53"/>
    <x v="21"/>
  </r>
  <r>
    <d v="2023-12-07T00:00:00"/>
    <x v="2"/>
    <x v="3"/>
    <x v="4"/>
    <x v="1"/>
    <n v="3"/>
    <x v="10"/>
    <x v="16"/>
    <n v="144.38999999999999"/>
    <x v="22"/>
  </r>
  <r>
    <d v="2023-12-30T00:00:00"/>
    <x v="1"/>
    <x v="1"/>
    <x v="7"/>
    <x v="3"/>
    <n v="15"/>
    <x v="11"/>
    <x v="17"/>
    <n v="4402.43"/>
    <x v="23"/>
  </r>
  <r>
    <d v="2023-08-08T00:00:00"/>
    <x v="0"/>
    <x v="0"/>
    <x v="10"/>
    <x v="1"/>
    <n v="8"/>
    <x v="0"/>
    <x v="12"/>
    <n v="1461.31"/>
    <x v="24"/>
  </r>
  <r>
    <d v="2023-02-20T00:00:00"/>
    <x v="0"/>
    <x v="0"/>
    <x v="5"/>
    <x v="0"/>
    <n v="9"/>
    <x v="1"/>
    <x v="1"/>
    <n v="3318.1"/>
    <x v="25"/>
  </r>
  <r>
    <d v="2023-08-12T00:00:00"/>
    <x v="0"/>
    <x v="4"/>
    <x v="11"/>
    <x v="1"/>
    <n v="13"/>
    <x v="2"/>
    <x v="18"/>
    <n v="2475.98"/>
    <x v="26"/>
  </r>
  <r>
    <d v="2023-03-01T00:00:00"/>
    <x v="1"/>
    <x v="2"/>
    <x v="2"/>
    <x v="4"/>
    <n v="3"/>
    <x v="3"/>
    <x v="19"/>
    <n v="4132.17"/>
    <x v="27"/>
  </r>
  <r>
    <d v="2023-10-13T00:00:00"/>
    <x v="1"/>
    <x v="1"/>
    <x v="1"/>
    <x v="1"/>
    <n v="12"/>
    <x v="4"/>
    <x v="20"/>
    <n v="835.83"/>
    <x v="28"/>
  </r>
  <r>
    <d v="2023-06-12T00:00:00"/>
    <x v="2"/>
    <x v="3"/>
    <x v="4"/>
    <x v="3"/>
    <n v="12"/>
    <x v="5"/>
    <x v="9"/>
    <n v="1377.41"/>
    <x v="29"/>
  </r>
  <r>
    <d v="2023-09-14T00:00:00"/>
    <x v="1"/>
    <x v="2"/>
    <x v="6"/>
    <x v="4"/>
    <n v="2"/>
    <x v="6"/>
    <x v="9"/>
    <n v="1983.93"/>
    <x v="30"/>
  </r>
  <r>
    <d v="2023-08-31T00:00:00"/>
    <x v="0"/>
    <x v="0"/>
    <x v="0"/>
    <x v="3"/>
    <n v="8"/>
    <x v="7"/>
    <x v="21"/>
    <n v="4621.75"/>
    <x v="31"/>
  </r>
  <r>
    <d v="2023-07-04T00:00:00"/>
    <x v="1"/>
    <x v="1"/>
    <x v="12"/>
    <x v="2"/>
    <n v="8"/>
    <x v="8"/>
    <x v="7"/>
    <n v="2342.02"/>
    <x v="32"/>
  </r>
  <r>
    <d v="2023-08-08T00:00:00"/>
    <x v="0"/>
    <x v="0"/>
    <x v="0"/>
    <x v="3"/>
    <n v="9"/>
    <x v="9"/>
    <x v="2"/>
    <n v="489.27"/>
    <x v="33"/>
  </r>
  <r>
    <d v="2023-10-20T00:00:00"/>
    <x v="1"/>
    <x v="2"/>
    <x v="6"/>
    <x v="3"/>
    <n v="3"/>
    <x v="10"/>
    <x v="22"/>
    <n v="2444.6"/>
    <x v="34"/>
  </r>
  <r>
    <d v="2023-07-25T00:00:00"/>
    <x v="1"/>
    <x v="2"/>
    <x v="2"/>
    <x v="0"/>
    <n v="5"/>
    <x v="11"/>
    <x v="17"/>
    <n v="1346.45"/>
    <x v="35"/>
  </r>
  <r>
    <d v="2023-11-27T00:00:00"/>
    <x v="0"/>
    <x v="0"/>
    <x v="10"/>
    <x v="3"/>
    <n v="17"/>
    <x v="0"/>
    <x v="1"/>
    <n v="1333.71"/>
    <x v="36"/>
  </r>
  <r>
    <d v="2023-10-31T00:00:00"/>
    <x v="1"/>
    <x v="1"/>
    <x v="12"/>
    <x v="4"/>
    <n v="2"/>
    <x v="1"/>
    <x v="23"/>
    <n v="2287.09"/>
    <x v="37"/>
  </r>
  <r>
    <d v="2023-10-20T00:00:00"/>
    <x v="0"/>
    <x v="4"/>
    <x v="8"/>
    <x v="4"/>
    <n v="12"/>
    <x v="2"/>
    <x v="18"/>
    <n v="2384.1"/>
    <x v="38"/>
  </r>
  <r>
    <d v="2023-04-01T00:00:00"/>
    <x v="0"/>
    <x v="4"/>
    <x v="9"/>
    <x v="0"/>
    <n v="2"/>
    <x v="3"/>
    <x v="17"/>
    <n v="3037.55"/>
    <x v="39"/>
  </r>
  <r>
    <d v="2023-01-15T00:00:00"/>
    <x v="0"/>
    <x v="0"/>
    <x v="0"/>
    <x v="0"/>
    <n v="7"/>
    <x v="4"/>
    <x v="23"/>
    <n v="3163.37"/>
    <x v="40"/>
  </r>
  <r>
    <d v="2023-12-29T00:00:00"/>
    <x v="0"/>
    <x v="0"/>
    <x v="10"/>
    <x v="0"/>
    <n v="13"/>
    <x v="5"/>
    <x v="3"/>
    <n v="4985.82"/>
    <x v="41"/>
  </r>
  <r>
    <d v="2023-09-20T00:00:00"/>
    <x v="0"/>
    <x v="4"/>
    <x v="11"/>
    <x v="3"/>
    <n v="8"/>
    <x v="6"/>
    <x v="22"/>
    <n v="285.94"/>
    <x v="42"/>
  </r>
  <r>
    <d v="2023-12-04T00:00:00"/>
    <x v="1"/>
    <x v="1"/>
    <x v="1"/>
    <x v="3"/>
    <n v="11"/>
    <x v="7"/>
    <x v="1"/>
    <n v="1905.7"/>
    <x v="43"/>
  </r>
  <r>
    <d v="2023-02-13T00:00:00"/>
    <x v="1"/>
    <x v="1"/>
    <x v="7"/>
    <x v="3"/>
    <n v="20"/>
    <x v="8"/>
    <x v="13"/>
    <n v="1310.3699999999999"/>
    <x v="44"/>
  </r>
  <r>
    <d v="2023-04-05T00:00:00"/>
    <x v="0"/>
    <x v="4"/>
    <x v="9"/>
    <x v="2"/>
    <n v="8"/>
    <x v="9"/>
    <x v="13"/>
    <n v="1185.17"/>
    <x v="45"/>
  </r>
  <r>
    <d v="2023-07-27T00:00:00"/>
    <x v="2"/>
    <x v="3"/>
    <x v="4"/>
    <x v="1"/>
    <n v="6"/>
    <x v="10"/>
    <x v="21"/>
    <n v="4100.9799999999996"/>
    <x v="46"/>
  </r>
  <r>
    <d v="2023-10-11T00:00:00"/>
    <x v="1"/>
    <x v="1"/>
    <x v="7"/>
    <x v="2"/>
    <n v="16"/>
    <x v="11"/>
    <x v="24"/>
    <n v="2619.73"/>
    <x v="47"/>
  </r>
  <r>
    <d v="2023-10-30T00:00:00"/>
    <x v="1"/>
    <x v="1"/>
    <x v="7"/>
    <x v="3"/>
    <n v="5"/>
    <x v="0"/>
    <x v="25"/>
    <n v="3103.12"/>
    <x v="48"/>
  </r>
  <r>
    <d v="2023-08-28T00:00:00"/>
    <x v="1"/>
    <x v="2"/>
    <x v="6"/>
    <x v="3"/>
    <n v="19"/>
    <x v="1"/>
    <x v="9"/>
    <n v="3074.32"/>
    <x v="49"/>
  </r>
  <r>
    <d v="2023-07-24T00:00:00"/>
    <x v="1"/>
    <x v="2"/>
    <x v="6"/>
    <x v="1"/>
    <n v="20"/>
    <x v="2"/>
    <x v="10"/>
    <n v="3331.04"/>
    <x v="50"/>
  </r>
  <r>
    <d v="2023-11-30T00:00:00"/>
    <x v="2"/>
    <x v="3"/>
    <x v="4"/>
    <x v="0"/>
    <n v="7"/>
    <x v="3"/>
    <x v="26"/>
    <n v="4813.28"/>
    <x v="51"/>
  </r>
  <r>
    <d v="2023-09-08T00:00:00"/>
    <x v="0"/>
    <x v="4"/>
    <x v="8"/>
    <x v="3"/>
    <n v="18"/>
    <x v="4"/>
    <x v="13"/>
    <n v="1376.52"/>
    <x v="52"/>
  </r>
  <r>
    <d v="2023-08-18T00:00:00"/>
    <x v="0"/>
    <x v="0"/>
    <x v="0"/>
    <x v="1"/>
    <n v="12"/>
    <x v="5"/>
    <x v="25"/>
    <n v="3400.71"/>
    <x v="53"/>
  </r>
  <r>
    <d v="2023-05-23T00:00:00"/>
    <x v="1"/>
    <x v="1"/>
    <x v="7"/>
    <x v="0"/>
    <n v="2"/>
    <x v="6"/>
    <x v="27"/>
    <n v="4762.71"/>
    <x v="54"/>
  </r>
  <r>
    <d v="2023-11-19T00:00:00"/>
    <x v="2"/>
    <x v="3"/>
    <x v="13"/>
    <x v="1"/>
    <n v="18"/>
    <x v="7"/>
    <x v="28"/>
    <n v="2149.9899999999998"/>
    <x v="55"/>
  </r>
  <r>
    <d v="2023-02-21T00:00:00"/>
    <x v="0"/>
    <x v="4"/>
    <x v="8"/>
    <x v="0"/>
    <n v="13"/>
    <x v="8"/>
    <x v="29"/>
    <n v="2665.15"/>
    <x v="56"/>
  </r>
  <r>
    <d v="2023-11-08T00:00:00"/>
    <x v="2"/>
    <x v="3"/>
    <x v="4"/>
    <x v="4"/>
    <n v="15"/>
    <x v="9"/>
    <x v="15"/>
    <n v="1543.85"/>
    <x v="57"/>
  </r>
  <r>
    <d v="2023-08-05T00:00:00"/>
    <x v="2"/>
    <x v="3"/>
    <x v="4"/>
    <x v="1"/>
    <n v="3"/>
    <x v="10"/>
    <x v="7"/>
    <n v="3366.66"/>
    <x v="58"/>
  </r>
  <r>
    <d v="2023-11-17T00:00:00"/>
    <x v="0"/>
    <x v="4"/>
    <x v="11"/>
    <x v="4"/>
    <n v="19"/>
    <x v="11"/>
    <x v="8"/>
    <n v="1809.9"/>
    <x v="59"/>
  </r>
  <r>
    <d v="2023-03-17T00:00:00"/>
    <x v="1"/>
    <x v="1"/>
    <x v="12"/>
    <x v="0"/>
    <n v="7"/>
    <x v="0"/>
    <x v="16"/>
    <n v="1774.74"/>
    <x v="60"/>
  </r>
  <r>
    <d v="2023-11-27T00:00:00"/>
    <x v="0"/>
    <x v="0"/>
    <x v="10"/>
    <x v="2"/>
    <n v="1"/>
    <x v="1"/>
    <x v="14"/>
    <n v="3459.33"/>
    <x v="61"/>
  </r>
  <r>
    <d v="2023-11-17T00:00:00"/>
    <x v="2"/>
    <x v="3"/>
    <x v="4"/>
    <x v="4"/>
    <n v="13"/>
    <x v="2"/>
    <x v="12"/>
    <n v="4339.46"/>
    <x v="62"/>
  </r>
  <r>
    <d v="2023-02-08T00:00:00"/>
    <x v="1"/>
    <x v="1"/>
    <x v="1"/>
    <x v="2"/>
    <n v="17"/>
    <x v="3"/>
    <x v="11"/>
    <n v="269.7"/>
    <x v="63"/>
  </r>
  <r>
    <d v="2023-06-09T00:00:00"/>
    <x v="1"/>
    <x v="2"/>
    <x v="2"/>
    <x v="0"/>
    <n v="18"/>
    <x v="4"/>
    <x v="20"/>
    <n v="4103.6099999999997"/>
    <x v="64"/>
  </r>
  <r>
    <d v="2023-05-23T00:00:00"/>
    <x v="0"/>
    <x v="0"/>
    <x v="5"/>
    <x v="1"/>
    <n v="14"/>
    <x v="5"/>
    <x v="30"/>
    <n v="2785.95"/>
    <x v="65"/>
  </r>
  <r>
    <d v="2023-05-16T00:00:00"/>
    <x v="0"/>
    <x v="0"/>
    <x v="0"/>
    <x v="0"/>
    <n v="15"/>
    <x v="6"/>
    <x v="31"/>
    <n v="2330.62"/>
    <x v="66"/>
  </r>
  <r>
    <d v="2023-06-30T00:00:00"/>
    <x v="0"/>
    <x v="0"/>
    <x v="10"/>
    <x v="2"/>
    <n v="1"/>
    <x v="7"/>
    <x v="19"/>
    <n v="3698.2"/>
    <x v="67"/>
  </r>
  <r>
    <d v="2023-05-02T00:00:00"/>
    <x v="1"/>
    <x v="2"/>
    <x v="6"/>
    <x v="1"/>
    <n v="16"/>
    <x v="8"/>
    <x v="31"/>
    <n v="3586.87"/>
    <x v="68"/>
  </r>
  <r>
    <d v="2023-03-26T00:00:00"/>
    <x v="1"/>
    <x v="1"/>
    <x v="7"/>
    <x v="1"/>
    <n v="4"/>
    <x v="9"/>
    <x v="6"/>
    <n v="1434.97"/>
    <x v="69"/>
  </r>
  <r>
    <d v="2023-01-09T00:00:00"/>
    <x v="1"/>
    <x v="2"/>
    <x v="3"/>
    <x v="1"/>
    <n v="18"/>
    <x v="10"/>
    <x v="25"/>
    <n v="4168.59"/>
    <x v="70"/>
  </r>
  <r>
    <d v="2023-09-18T00:00:00"/>
    <x v="1"/>
    <x v="2"/>
    <x v="3"/>
    <x v="3"/>
    <n v="7"/>
    <x v="11"/>
    <x v="14"/>
    <n v="2706.33"/>
    <x v="71"/>
  </r>
  <r>
    <d v="2023-04-11T00:00:00"/>
    <x v="0"/>
    <x v="4"/>
    <x v="9"/>
    <x v="2"/>
    <n v="6"/>
    <x v="0"/>
    <x v="28"/>
    <n v="4042.16"/>
    <x v="72"/>
  </r>
  <r>
    <d v="2023-09-30T00:00:00"/>
    <x v="1"/>
    <x v="2"/>
    <x v="6"/>
    <x v="3"/>
    <n v="10"/>
    <x v="1"/>
    <x v="32"/>
    <n v="4496.3900000000003"/>
    <x v="73"/>
  </r>
  <r>
    <d v="2023-12-18T00:00:00"/>
    <x v="1"/>
    <x v="2"/>
    <x v="2"/>
    <x v="2"/>
    <n v="9"/>
    <x v="2"/>
    <x v="7"/>
    <n v="4638.57"/>
    <x v="74"/>
  </r>
  <r>
    <d v="2023-06-30T00:00:00"/>
    <x v="0"/>
    <x v="0"/>
    <x v="5"/>
    <x v="0"/>
    <n v="16"/>
    <x v="3"/>
    <x v="33"/>
    <n v="494.05"/>
    <x v="75"/>
  </r>
  <r>
    <d v="2023-01-06T00:00:00"/>
    <x v="1"/>
    <x v="1"/>
    <x v="7"/>
    <x v="4"/>
    <n v="12"/>
    <x v="4"/>
    <x v="22"/>
    <n v="1061.49"/>
    <x v="76"/>
  </r>
  <r>
    <d v="2023-11-27T00:00:00"/>
    <x v="1"/>
    <x v="1"/>
    <x v="12"/>
    <x v="2"/>
    <n v="16"/>
    <x v="5"/>
    <x v="8"/>
    <n v="795.17"/>
    <x v="77"/>
  </r>
  <r>
    <d v="2023-06-27T00:00:00"/>
    <x v="1"/>
    <x v="2"/>
    <x v="2"/>
    <x v="0"/>
    <n v="14"/>
    <x v="6"/>
    <x v="27"/>
    <n v="771.61"/>
    <x v="78"/>
  </r>
  <r>
    <d v="2023-01-08T00:00:00"/>
    <x v="0"/>
    <x v="0"/>
    <x v="10"/>
    <x v="0"/>
    <n v="16"/>
    <x v="7"/>
    <x v="19"/>
    <n v="3702.43"/>
    <x v="79"/>
  </r>
  <r>
    <d v="2023-04-05T00:00:00"/>
    <x v="1"/>
    <x v="1"/>
    <x v="1"/>
    <x v="0"/>
    <n v="4"/>
    <x v="8"/>
    <x v="33"/>
    <n v="1456.19"/>
    <x v="80"/>
  </r>
  <r>
    <d v="2023-07-05T00:00:00"/>
    <x v="1"/>
    <x v="2"/>
    <x v="6"/>
    <x v="2"/>
    <n v="14"/>
    <x v="9"/>
    <x v="20"/>
    <n v="2808.58"/>
    <x v="81"/>
  </r>
  <r>
    <d v="2023-10-09T00:00:00"/>
    <x v="0"/>
    <x v="0"/>
    <x v="0"/>
    <x v="0"/>
    <n v="4"/>
    <x v="10"/>
    <x v="31"/>
    <n v="1640.54"/>
    <x v="82"/>
  </r>
  <r>
    <d v="2023-11-09T00:00:00"/>
    <x v="1"/>
    <x v="2"/>
    <x v="2"/>
    <x v="0"/>
    <n v="15"/>
    <x v="11"/>
    <x v="2"/>
    <n v="3909.42"/>
    <x v="83"/>
  </r>
  <r>
    <d v="2023-08-17T00:00:00"/>
    <x v="1"/>
    <x v="1"/>
    <x v="7"/>
    <x v="1"/>
    <n v="17"/>
    <x v="0"/>
    <x v="15"/>
    <n v="4517.78"/>
    <x v="84"/>
  </r>
  <r>
    <d v="2023-08-12T00:00:00"/>
    <x v="0"/>
    <x v="0"/>
    <x v="10"/>
    <x v="3"/>
    <n v="5"/>
    <x v="1"/>
    <x v="34"/>
    <n v="4198.97"/>
    <x v="85"/>
  </r>
  <r>
    <d v="2023-12-06T00:00:00"/>
    <x v="0"/>
    <x v="4"/>
    <x v="9"/>
    <x v="3"/>
    <n v="14"/>
    <x v="2"/>
    <x v="31"/>
    <n v="4839.1099999999997"/>
    <x v="86"/>
  </r>
  <r>
    <d v="2023-04-26T00:00:00"/>
    <x v="0"/>
    <x v="0"/>
    <x v="5"/>
    <x v="0"/>
    <n v="18"/>
    <x v="3"/>
    <x v="6"/>
    <n v="4022.66"/>
    <x v="87"/>
  </r>
  <r>
    <d v="2023-07-30T00:00:00"/>
    <x v="0"/>
    <x v="4"/>
    <x v="11"/>
    <x v="4"/>
    <n v="11"/>
    <x v="4"/>
    <x v="27"/>
    <n v="1798.54"/>
    <x v="88"/>
  </r>
  <r>
    <d v="2023-09-06T00:00:00"/>
    <x v="0"/>
    <x v="4"/>
    <x v="9"/>
    <x v="1"/>
    <n v="10"/>
    <x v="5"/>
    <x v="24"/>
    <n v="3205.57"/>
    <x v="89"/>
  </r>
  <r>
    <d v="2023-12-06T00:00:00"/>
    <x v="1"/>
    <x v="2"/>
    <x v="6"/>
    <x v="0"/>
    <n v="5"/>
    <x v="6"/>
    <x v="33"/>
    <n v="4987.84"/>
    <x v="90"/>
  </r>
  <r>
    <d v="2023-01-20T00:00:00"/>
    <x v="1"/>
    <x v="2"/>
    <x v="6"/>
    <x v="3"/>
    <n v="14"/>
    <x v="7"/>
    <x v="35"/>
    <n v="1507.19"/>
    <x v="91"/>
  </r>
  <r>
    <d v="2023-10-20T00:00:00"/>
    <x v="0"/>
    <x v="0"/>
    <x v="0"/>
    <x v="0"/>
    <n v="17"/>
    <x v="8"/>
    <x v="28"/>
    <n v="3490.72"/>
    <x v="92"/>
  </r>
  <r>
    <d v="2023-04-10T00:00:00"/>
    <x v="1"/>
    <x v="2"/>
    <x v="6"/>
    <x v="1"/>
    <n v="5"/>
    <x v="9"/>
    <x v="6"/>
    <n v="3786.28"/>
    <x v="93"/>
  </r>
  <r>
    <d v="2023-02-17T00:00:00"/>
    <x v="1"/>
    <x v="1"/>
    <x v="7"/>
    <x v="2"/>
    <n v="10"/>
    <x v="10"/>
    <x v="11"/>
    <n v="4196.24"/>
    <x v="94"/>
  </r>
  <r>
    <d v="2023-02-17T00:00:00"/>
    <x v="1"/>
    <x v="1"/>
    <x v="12"/>
    <x v="2"/>
    <n v="4"/>
    <x v="11"/>
    <x v="19"/>
    <n v="1493.04"/>
    <x v="95"/>
  </r>
  <r>
    <d v="2023-10-25T00:00:00"/>
    <x v="2"/>
    <x v="3"/>
    <x v="14"/>
    <x v="3"/>
    <n v="16"/>
    <x v="0"/>
    <x v="12"/>
    <n v="2502.5700000000002"/>
    <x v="96"/>
  </r>
  <r>
    <d v="2023-05-06T00:00:00"/>
    <x v="1"/>
    <x v="2"/>
    <x v="6"/>
    <x v="2"/>
    <n v="19"/>
    <x v="1"/>
    <x v="36"/>
    <n v="548.70000000000005"/>
    <x v="97"/>
  </r>
  <r>
    <d v="2023-08-11T00:00:00"/>
    <x v="1"/>
    <x v="2"/>
    <x v="3"/>
    <x v="1"/>
    <n v="19"/>
    <x v="2"/>
    <x v="4"/>
    <n v="1309.6500000000001"/>
    <x v="98"/>
  </r>
  <r>
    <d v="2023-07-23T00:00:00"/>
    <x v="0"/>
    <x v="0"/>
    <x v="5"/>
    <x v="0"/>
    <n v="2"/>
    <x v="3"/>
    <x v="31"/>
    <n v="741.33"/>
    <x v="99"/>
  </r>
  <r>
    <d v="2023-08-12T00:00:00"/>
    <x v="0"/>
    <x v="0"/>
    <x v="0"/>
    <x v="3"/>
    <n v="3"/>
    <x v="4"/>
    <x v="8"/>
    <n v="3957.38"/>
    <x v="100"/>
  </r>
  <r>
    <d v="2023-01-13T00:00:00"/>
    <x v="0"/>
    <x v="0"/>
    <x v="10"/>
    <x v="1"/>
    <n v="18"/>
    <x v="5"/>
    <x v="11"/>
    <n v="2777.65"/>
    <x v="101"/>
  </r>
  <r>
    <d v="2023-06-01T00:00:00"/>
    <x v="0"/>
    <x v="4"/>
    <x v="11"/>
    <x v="2"/>
    <n v="15"/>
    <x v="6"/>
    <x v="15"/>
    <n v="2586.8000000000002"/>
    <x v="102"/>
  </r>
  <r>
    <d v="2023-09-15T00:00:00"/>
    <x v="1"/>
    <x v="1"/>
    <x v="1"/>
    <x v="1"/>
    <n v="13"/>
    <x v="7"/>
    <x v="12"/>
    <n v="4337.22"/>
    <x v="103"/>
  </r>
  <r>
    <d v="2023-09-26T00:00:00"/>
    <x v="1"/>
    <x v="2"/>
    <x v="2"/>
    <x v="2"/>
    <n v="5"/>
    <x v="8"/>
    <x v="37"/>
    <n v="4499.88"/>
    <x v="104"/>
  </r>
  <r>
    <d v="2023-11-14T00:00:00"/>
    <x v="0"/>
    <x v="0"/>
    <x v="5"/>
    <x v="0"/>
    <n v="13"/>
    <x v="9"/>
    <x v="32"/>
    <n v="4357.0200000000004"/>
    <x v="105"/>
  </r>
  <r>
    <d v="2023-01-23T00:00:00"/>
    <x v="0"/>
    <x v="0"/>
    <x v="0"/>
    <x v="1"/>
    <n v="9"/>
    <x v="10"/>
    <x v="2"/>
    <n v="808.93"/>
    <x v="106"/>
  </r>
  <r>
    <d v="2023-02-05T00:00:00"/>
    <x v="0"/>
    <x v="0"/>
    <x v="10"/>
    <x v="0"/>
    <n v="9"/>
    <x v="11"/>
    <x v="8"/>
    <n v="2267.7199999999998"/>
    <x v="107"/>
  </r>
  <r>
    <d v="2023-10-07T00:00:00"/>
    <x v="1"/>
    <x v="1"/>
    <x v="12"/>
    <x v="4"/>
    <n v="13"/>
    <x v="0"/>
    <x v="16"/>
    <n v="2238.96"/>
    <x v="108"/>
  </r>
  <r>
    <d v="2023-09-14T00:00:00"/>
    <x v="0"/>
    <x v="4"/>
    <x v="11"/>
    <x v="0"/>
    <n v="3"/>
    <x v="1"/>
    <x v="29"/>
    <n v="4195.66"/>
    <x v="109"/>
  </r>
  <r>
    <d v="2023-04-30T00:00:00"/>
    <x v="2"/>
    <x v="3"/>
    <x v="13"/>
    <x v="3"/>
    <n v="6"/>
    <x v="2"/>
    <x v="31"/>
    <n v="1508.35"/>
    <x v="110"/>
  </r>
  <r>
    <d v="2023-01-27T00:00:00"/>
    <x v="2"/>
    <x v="3"/>
    <x v="13"/>
    <x v="3"/>
    <n v="8"/>
    <x v="3"/>
    <x v="11"/>
    <n v="1314.71"/>
    <x v="111"/>
  </r>
  <r>
    <d v="2023-03-24T00:00:00"/>
    <x v="0"/>
    <x v="4"/>
    <x v="11"/>
    <x v="2"/>
    <n v="11"/>
    <x v="4"/>
    <x v="8"/>
    <n v="1435.18"/>
    <x v="112"/>
  </r>
  <r>
    <d v="2023-12-14T00:00:00"/>
    <x v="0"/>
    <x v="4"/>
    <x v="11"/>
    <x v="3"/>
    <n v="11"/>
    <x v="5"/>
    <x v="32"/>
    <n v="4188.37"/>
    <x v="113"/>
  </r>
  <r>
    <d v="2023-05-22T00:00:00"/>
    <x v="2"/>
    <x v="3"/>
    <x v="13"/>
    <x v="3"/>
    <n v="1"/>
    <x v="6"/>
    <x v="30"/>
    <n v="4859.6499999999996"/>
    <x v="114"/>
  </r>
  <r>
    <d v="2023-05-16T00:00:00"/>
    <x v="1"/>
    <x v="1"/>
    <x v="12"/>
    <x v="1"/>
    <n v="18"/>
    <x v="7"/>
    <x v="18"/>
    <n v="3913.42"/>
    <x v="115"/>
  </r>
  <r>
    <d v="2023-04-13T00:00:00"/>
    <x v="1"/>
    <x v="1"/>
    <x v="12"/>
    <x v="4"/>
    <n v="8"/>
    <x v="8"/>
    <x v="30"/>
    <n v="4402.3599999999997"/>
    <x v="116"/>
  </r>
  <r>
    <d v="2023-06-15T00:00:00"/>
    <x v="0"/>
    <x v="0"/>
    <x v="0"/>
    <x v="1"/>
    <n v="19"/>
    <x v="9"/>
    <x v="38"/>
    <n v="1965.12"/>
    <x v="117"/>
  </r>
  <r>
    <d v="2023-08-16T00:00:00"/>
    <x v="0"/>
    <x v="4"/>
    <x v="11"/>
    <x v="3"/>
    <n v="11"/>
    <x v="10"/>
    <x v="21"/>
    <n v="2522.63"/>
    <x v="118"/>
  </r>
  <r>
    <d v="2023-09-19T00:00:00"/>
    <x v="0"/>
    <x v="4"/>
    <x v="9"/>
    <x v="4"/>
    <n v="19"/>
    <x v="11"/>
    <x v="6"/>
    <n v="2493.0300000000002"/>
    <x v="119"/>
  </r>
  <r>
    <d v="2023-12-08T00:00:00"/>
    <x v="1"/>
    <x v="1"/>
    <x v="12"/>
    <x v="2"/>
    <n v="16"/>
    <x v="0"/>
    <x v="13"/>
    <n v="3895.18"/>
    <x v="120"/>
  </r>
  <r>
    <d v="2023-08-28T00:00:00"/>
    <x v="1"/>
    <x v="1"/>
    <x v="12"/>
    <x v="1"/>
    <n v="2"/>
    <x v="1"/>
    <x v="20"/>
    <n v="1827.28"/>
    <x v="121"/>
  </r>
  <r>
    <d v="2023-01-26T00:00:00"/>
    <x v="0"/>
    <x v="4"/>
    <x v="8"/>
    <x v="4"/>
    <n v="13"/>
    <x v="2"/>
    <x v="33"/>
    <n v="1753.48"/>
    <x v="122"/>
  </r>
  <r>
    <d v="2023-07-17T00:00:00"/>
    <x v="1"/>
    <x v="1"/>
    <x v="12"/>
    <x v="3"/>
    <n v="16"/>
    <x v="3"/>
    <x v="8"/>
    <n v="971.39"/>
    <x v="123"/>
  </r>
  <r>
    <d v="2023-10-15T00:00:00"/>
    <x v="1"/>
    <x v="2"/>
    <x v="3"/>
    <x v="4"/>
    <n v="15"/>
    <x v="4"/>
    <x v="31"/>
    <n v="346.45"/>
    <x v="124"/>
  </r>
  <r>
    <d v="2023-11-19T00:00:00"/>
    <x v="0"/>
    <x v="4"/>
    <x v="9"/>
    <x v="0"/>
    <n v="12"/>
    <x v="5"/>
    <x v="10"/>
    <n v="186.62"/>
    <x v="125"/>
  </r>
  <r>
    <d v="2023-03-25T00:00:00"/>
    <x v="2"/>
    <x v="3"/>
    <x v="4"/>
    <x v="2"/>
    <n v="4"/>
    <x v="6"/>
    <x v="4"/>
    <n v="431.75"/>
    <x v="126"/>
  </r>
  <r>
    <d v="2023-12-30T00:00:00"/>
    <x v="1"/>
    <x v="1"/>
    <x v="7"/>
    <x v="3"/>
    <n v="19"/>
    <x v="7"/>
    <x v="29"/>
    <n v="4411.57"/>
    <x v="127"/>
  </r>
  <r>
    <d v="2023-01-17T00:00:00"/>
    <x v="1"/>
    <x v="1"/>
    <x v="1"/>
    <x v="4"/>
    <n v="8"/>
    <x v="8"/>
    <x v="37"/>
    <n v="918.76"/>
    <x v="128"/>
  </r>
  <r>
    <d v="2023-06-19T00:00:00"/>
    <x v="0"/>
    <x v="4"/>
    <x v="11"/>
    <x v="0"/>
    <n v="13"/>
    <x v="9"/>
    <x v="5"/>
    <n v="1767.86"/>
    <x v="129"/>
  </r>
  <r>
    <d v="2023-08-29T00:00:00"/>
    <x v="1"/>
    <x v="1"/>
    <x v="12"/>
    <x v="3"/>
    <n v="13"/>
    <x v="10"/>
    <x v="14"/>
    <n v="4650.74"/>
    <x v="130"/>
  </r>
  <r>
    <d v="2023-08-04T00:00:00"/>
    <x v="1"/>
    <x v="1"/>
    <x v="12"/>
    <x v="3"/>
    <n v="3"/>
    <x v="11"/>
    <x v="35"/>
    <n v="4876.51"/>
    <x v="131"/>
  </r>
  <r>
    <d v="2023-10-01T00:00:00"/>
    <x v="1"/>
    <x v="1"/>
    <x v="12"/>
    <x v="2"/>
    <n v="16"/>
    <x v="0"/>
    <x v="5"/>
    <n v="4354.03"/>
    <x v="132"/>
  </r>
  <r>
    <d v="2023-10-13T00:00:00"/>
    <x v="1"/>
    <x v="2"/>
    <x v="2"/>
    <x v="0"/>
    <n v="16"/>
    <x v="1"/>
    <x v="14"/>
    <n v="2682.3"/>
    <x v="133"/>
  </r>
  <r>
    <d v="2023-03-25T00:00:00"/>
    <x v="0"/>
    <x v="0"/>
    <x v="10"/>
    <x v="0"/>
    <n v="16"/>
    <x v="2"/>
    <x v="29"/>
    <n v="328.65"/>
    <x v="134"/>
  </r>
  <r>
    <d v="2023-11-21T00:00:00"/>
    <x v="0"/>
    <x v="0"/>
    <x v="5"/>
    <x v="1"/>
    <n v="13"/>
    <x v="3"/>
    <x v="13"/>
    <n v="1198.5"/>
    <x v="135"/>
  </r>
  <r>
    <d v="2023-07-09T00:00:00"/>
    <x v="2"/>
    <x v="3"/>
    <x v="4"/>
    <x v="1"/>
    <n v="17"/>
    <x v="4"/>
    <x v="16"/>
    <n v="3679.89"/>
    <x v="136"/>
  </r>
  <r>
    <d v="2023-06-03T00:00:00"/>
    <x v="1"/>
    <x v="2"/>
    <x v="2"/>
    <x v="1"/>
    <n v="1"/>
    <x v="5"/>
    <x v="15"/>
    <n v="696.38"/>
    <x v="137"/>
  </r>
  <r>
    <d v="2023-06-12T00:00:00"/>
    <x v="1"/>
    <x v="2"/>
    <x v="2"/>
    <x v="0"/>
    <n v="13"/>
    <x v="6"/>
    <x v="37"/>
    <n v="3551.21"/>
    <x v="138"/>
  </r>
  <r>
    <d v="2023-11-01T00:00:00"/>
    <x v="1"/>
    <x v="2"/>
    <x v="6"/>
    <x v="4"/>
    <n v="18"/>
    <x v="7"/>
    <x v="31"/>
    <n v="262.12"/>
    <x v="139"/>
  </r>
  <r>
    <d v="2023-12-06T00:00:00"/>
    <x v="1"/>
    <x v="1"/>
    <x v="1"/>
    <x v="4"/>
    <n v="16"/>
    <x v="8"/>
    <x v="20"/>
    <n v="3897.57"/>
    <x v="140"/>
  </r>
  <r>
    <d v="2023-04-17T00:00:00"/>
    <x v="1"/>
    <x v="1"/>
    <x v="7"/>
    <x v="1"/>
    <n v="1"/>
    <x v="9"/>
    <x v="23"/>
    <n v="3042.8"/>
    <x v="141"/>
  </r>
  <r>
    <d v="2023-11-28T00:00:00"/>
    <x v="0"/>
    <x v="4"/>
    <x v="11"/>
    <x v="3"/>
    <n v="20"/>
    <x v="10"/>
    <x v="19"/>
    <n v="4066.74"/>
    <x v="142"/>
  </r>
  <r>
    <d v="2023-10-11T00:00:00"/>
    <x v="1"/>
    <x v="1"/>
    <x v="12"/>
    <x v="0"/>
    <n v="11"/>
    <x v="11"/>
    <x v="21"/>
    <n v="4066.2"/>
    <x v="143"/>
  </r>
  <r>
    <d v="2023-03-14T00:00:00"/>
    <x v="1"/>
    <x v="1"/>
    <x v="1"/>
    <x v="3"/>
    <n v="19"/>
    <x v="0"/>
    <x v="24"/>
    <n v="1398.49"/>
    <x v="144"/>
  </r>
  <r>
    <d v="2023-07-01T00:00:00"/>
    <x v="0"/>
    <x v="0"/>
    <x v="0"/>
    <x v="3"/>
    <n v="11"/>
    <x v="1"/>
    <x v="28"/>
    <n v="3969.39"/>
    <x v="145"/>
  </r>
  <r>
    <d v="2023-12-04T00:00:00"/>
    <x v="1"/>
    <x v="2"/>
    <x v="3"/>
    <x v="3"/>
    <n v="7"/>
    <x v="2"/>
    <x v="26"/>
    <n v="4720.63"/>
    <x v="146"/>
  </r>
  <r>
    <d v="2023-10-15T00:00:00"/>
    <x v="0"/>
    <x v="4"/>
    <x v="11"/>
    <x v="1"/>
    <n v="1"/>
    <x v="3"/>
    <x v="14"/>
    <n v="3658.84"/>
    <x v="147"/>
  </r>
  <r>
    <d v="2023-06-06T00:00:00"/>
    <x v="0"/>
    <x v="0"/>
    <x v="5"/>
    <x v="1"/>
    <n v="1"/>
    <x v="4"/>
    <x v="1"/>
    <n v="4681.07"/>
    <x v="148"/>
  </r>
  <r>
    <d v="2023-11-16T00:00:00"/>
    <x v="1"/>
    <x v="2"/>
    <x v="6"/>
    <x v="0"/>
    <n v="11"/>
    <x v="5"/>
    <x v="1"/>
    <n v="4089.16"/>
    <x v="149"/>
  </r>
  <r>
    <d v="2023-12-15T00:00:00"/>
    <x v="2"/>
    <x v="3"/>
    <x v="4"/>
    <x v="3"/>
    <n v="13"/>
    <x v="6"/>
    <x v="27"/>
    <n v="3069.28"/>
    <x v="150"/>
  </r>
  <r>
    <d v="2023-03-07T00:00:00"/>
    <x v="1"/>
    <x v="2"/>
    <x v="3"/>
    <x v="1"/>
    <n v="4"/>
    <x v="7"/>
    <x v="36"/>
    <n v="1385.95"/>
    <x v="151"/>
  </r>
  <r>
    <d v="2023-07-05T00:00:00"/>
    <x v="1"/>
    <x v="2"/>
    <x v="6"/>
    <x v="1"/>
    <n v="14"/>
    <x v="8"/>
    <x v="34"/>
    <n v="1770.36"/>
    <x v="152"/>
  </r>
  <r>
    <d v="2023-02-22T00:00:00"/>
    <x v="2"/>
    <x v="3"/>
    <x v="14"/>
    <x v="4"/>
    <n v="3"/>
    <x v="9"/>
    <x v="11"/>
    <n v="4020.68"/>
    <x v="153"/>
  </r>
  <r>
    <d v="2023-03-19T00:00:00"/>
    <x v="0"/>
    <x v="0"/>
    <x v="5"/>
    <x v="4"/>
    <n v="9"/>
    <x v="10"/>
    <x v="37"/>
    <n v="4953.3999999999996"/>
    <x v="154"/>
  </r>
  <r>
    <d v="2023-11-09T00:00:00"/>
    <x v="0"/>
    <x v="4"/>
    <x v="9"/>
    <x v="4"/>
    <n v="7"/>
    <x v="11"/>
    <x v="30"/>
    <n v="1729.24"/>
    <x v="155"/>
  </r>
  <r>
    <d v="2023-11-25T00:00:00"/>
    <x v="1"/>
    <x v="1"/>
    <x v="1"/>
    <x v="2"/>
    <n v="15"/>
    <x v="0"/>
    <x v="6"/>
    <n v="534.41999999999996"/>
    <x v="156"/>
  </r>
  <r>
    <d v="2023-09-17T00:00:00"/>
    <x v="2"/>
    <x v="3"/>
    <x v="14"/>
    <x v="2"/>
    <n v="12"/>
    <x v="1"/>
    <x v="21"/>
    <n v="4378.41"/>
    <x v="157"/>
  </r>
  <r>
    <d v="2023-02-24T00:00:00"/>
    <x v="1"/>
    <x v="1"/>
    <x v="12"/>
    <x v="2"/>
    <n v="16"/>
    <x v="2"/>
    <x v="13"/>
    <n v="3931.95"/>
    <x v="158"/>
  </r>
  <r>
    <d v="2023-12-26T00:00:00"/>
    <x v="1"/>
    <x v="2"/>
    <x v="6"/>
    <x v="1"/>
    <n v="20"/>
    <x v="3"/>
    <x v="27"/>
    <n v="3751.01"/>
    <x v="159"/>
  </r>
  <r>
    <d v="2023-03-23T00:00:00"/>
    <x v="2"/>
    <x v="3"/>
    <x v="13"/>
    <x v="1"/>
    <n v="20"/>
    <x v="4"/>
    <x v="18"/>
    <n v="2580.02"/>
    <x v="160"/>
  </r>
  <r>
    <d v="2023-10-24T00:00:00"/>
    <x v="1"/>
    <x v="1"/>
    <x v="12"/>
    <x v="1"/>
    <n v="3"/>
    <x v="5"/>
    <x v="18"/>
    <n v="468.7"/>
    <x v="161"/>
  </r>
  <r>
    <d v="2023-03-25T00:00:00"/>
    <x v="2"/>
    <x v="3"/>
    <x v="14"/>
    <x v="1"/>
    <n v="6"/>
    <x v="6"/>
    <x v="21"/>
    <n v="3125.31"/>
    <x v="162"/>
  </r>
  <r>
    <d v="2023-05-31T00:00:00"/>
    <x v="0"/>
    <x v="4"/>
    <x v="9"/>
    <x v="1"/>
    <n v="19"/>
    <x v="7"/>
    <x v="17"/>
    <n v="1641.98"/>
    <x v="163"/>
  </r>
  <r>
    <d v="2023-10-04T00:00:00"/>
    <x v="1"/>
    <x v="2"/>
    <x v="6"/>
    <x v="1"/>
    <n v="17"/>
    <x v="8"/>
    <x v="8"/>
    <n v="463.54"/>
    <x v="164"/>
  </r>
  <r>
    <d v="2023-09-11T00:00:00"/>
    <x v="1"/>
    <x v="1"/>
    <x v="12"/>
    <x v="1"/>
    <n v="17"/>
    <x v="9"/>
    <x v="10"/>
    <n v="4088.77"/>
    <x v="165"/>
  </r>
  <r>
    <d v="2023-10-03T00:00:00"/>
    <x v="1"/>
    <x v="1"/>
    <x v="1"/>
    <x v="4"/>
    <n v="17"/>
    <x v="10"/>
    <x v="25"/>
    <n v="1194.33"/>
    <x v="166"/>
  </r>
  <r>
    <d v="2023-12-23T00:00:00"/>
    <x v="0"/>
    <x v="4"/>
    <x v="8"/>
    <x v="4"/>
    <n v="14"/>
    <x v="11"/>
    <x v="24"/>
    <n v="1215.6199999999999"/>
    <x v="167"/>
  </r>
  <r>
    <d v="2023-05-16T00:00:00"/>
    <x v="1"/>
    <x v="2"/>
    <x v="2"/>
    <x v="0"/>
    <n v="5"/>
    <x v="0"/>
    <x v="8"/>
    <n v="4619.16"/>
    <x v="168"/>
  </r>
  <r>
    <d v="2023-02-08T00:00:00"/>
    <x v="1"/>
    <x v="1"/>
    <x v="12"/>
    <x v="0"/>
    <n v="6"/>
    <x v="1"/>
    <x v="28"/>
    <n v="3277.95"/>
    <x v="169"/>
  </r>
  <r>
    <d v="2023-01-03T00:00:00"/>
    <x v="0"/>
    <x v="4"/>
    <x v="8"/>
    <x v="3"/>
    <n v="11"/>
    <x v="2"/>
    <x v="1"/>
    <n v="4205.55"/>
    <x v="170"/>
  </r>
  <r>
    <d v="2023-10-10T00:00:00"/>
    <x v="0"/>
    <x v="0"/>
    <x v="0"/>
    <x v="2"/>
    <n v="5"/>
    <x v="3"/>
    <x v="25"/>
    <n v="800.88"/>
    <x v="171"/>
  </r>
  <r>
    <d v="2023-07-09T00:00:00"/>
    <x v="1"/>
    <x v="2"/>
    <x v="2"/>
    <x v="4"/>
    <n v="4"/>
    <x v="4"/>
    <x v="39"/>
    <n v="3022.72"/>
    <x v="172"/>
  </r>
  <r>
    <d v="2023-12-25T00:00:00"/>
    <x v="0"/>
    <x v="4"/>
    <x v="9"/>
    <x v="0"/>
    <n v="2"/>
    <x v="5"/>
    <x v="31"/>
    <n v="2171.79"/>
    <x v="173"/>
  </r>
  <r>
    <d v="2023-03-27T00:00:00"/>
    <x v="2"/>
    <x v="3"/>
    <x v="4"/>
    <x v="0"/>
    <n v="9"/>
    <x v="6"/>
    <x v="3"/>
    <n v="1667.06"/>
    <x v="174"/>
  </r>
  <r>
    <d v="2023-06-27T00:00:00"/>
    <x v="0"/>
    <x v="4"/>
    <x v="9"/>
    <x v="2"/>
    <n v="6"/>
    <x v="7"/>
    <x v="25"/>
    <n v="1985.97"/>
    <x v="175"/>
  </r>
  <r>
    <d v="2023-01-24T00:00:00"/>
    <x v="0"/>
    <x v="0"/>
    <x v="5"/>
    <x v="0"/>
    <n v="15"/>
    <x v="8"/>
    <x v="22"/>
    <n v="2706.66"/>
    <x v="176"/>
  </r>
  <r>
    <d v="2023-09-24T00:00:00"/>
    <x v="1"/>
    <x v="2"/>
    <x v="6"/>
    <x v="3"/>
    <n v="16"/>
    <x v="9"/>
    <x v="8"/>
    <n v="2793.48"/>
    <x v="177"/>
  </r>
  <r>
    <d v="2023-08-24T00:00:00"/>
    <x v="0"/>
    <x v="4"/>
    <x v="9"/>
    <x v="1"/>
    <n v="16"/>
    <x v="10"/>
    <x v="10"/>
    <n v="2666.78"/>
    <x v="178"/>
  </r>
  <r>
    <d v="2023-11-15T00:00:00"/>
    <x v="2"/>
    <x v="3"/>
    <x v="13"/>
    <x v="2"/>
    <n v="13"/>
    <x v="11"/>
    <x v="26"/>
    <n v="864.09"/>
    <x v="179"/>
  </r>
  <r>
    <d v="2023-02-19T00:00:00"/>
    <x v="0"/>
    <x v="4"/>
    <x v="11"/>
    <x v="1"/>
    <n v="19"/>
    <x v="0"/>
    <x v="24"/>
    <n v="3649.75"/>
    <x v="180"/>
  </r>
  <r>
    <d v="2023-03-28T00:00:00"/>
    <x v="0"/>
    <x v="4"/>
    <x v="9"/>
    <x v="1"/>
    <n v="10"/>
    <x v="1"/>
    <x v="15"/>
    <n v="4718.03"/>
    <x v="181"/>
  </r>
  <r>
    <d v="2023-08-22T00:00:00"/>
    <x v="0"/>
    <x v="0"/>
    <x v="5"/>
    <x v="3"/>
    <n v="5"/>
    <x v="2"/>
    <x v="18"/>
    <n v="4386.2"/>
    <x v="182"/>
  </r>
  <r>
    <d v="2023-07-03T00:00:00"/>
    <x v="1"/>
    <x v="2"/>
    <x v="3"/>
    <x v="2"/>
    <n v="3"/>
    <x v="3"/>
    <x v="4"/>
    <n v="2966.4"/>
    <x v="183"/>
  </r>
  <r>
    <d v="2023-11-13T00:00:00"/>
    <x v="0"/>
    <x v="0"/>
    <x v="0"/>
    <x v="3"/>
    <n v="12"/>
    <x v="4"/>
    <x v="25"/>
    <n v="3074.45"/>
    <x v="184"/>
  </r>
  <r>
    <d v="2023-07-11T00:00:00"/>
    <x v="1"/>
    <x v="2"/>
    <x v="6"/>
    <x v="2"/>
    <n v="10"/>
    <x v="5"/>
    <x v="0"/>
    <n v="3122.59"/>
    <x v="185"/>
  </r>
  <r>
    <d v="2023-12-04T00:00:00"/>
    <x v="1"/>
    <x v="1"/>
    <x v="1"/>
    <x v="0"/>
    <n v="10"/>
    <x v="6"/>
    <x v="23"/>
    <n v="3964.05"/>
    <x v="186"/>
  </r>
  <r>
    <d v="2023-01-16T00:00:00"/>
    <x v="0"/>
    <x v="4"/>
    <x v="11"/>
    <x v="4"/>
    <n v="18"/>
    <x v="7"/>
    <x v="39"/>
    <n v="3561.06"/>
    <x v="187"/>
  </r>
  <r>
    <d v="2023-12-10T00:00:00"/>
    <x v="0"/>
    <x v="4"/>
    <x v="11"/>
    <x v="4"/>
    <n v="4"/>
    <x v="8"/>
    <x v="38"/>
    <n v="1208.21"/>
    <x v="188"/>
  </r>
  <r>
    <d v="2023-11-22T00:00:00"/>
    <x v="2"/>
    <x v="3"/>
    <x v="4"/>
    <x v="0"/>
    <n v="9"/>
    <x v="9"/>
    <x v="21"/>
    <n v="3552.02"/>
    <x v="189"/>
  </r>
  <r>
    <d v="2023-12-26T00:00:00"/>
    <x v="0"/>
    <x v="4"/>
    <x v="9"/>
    <x v="1"/>
    <n v="14"/>
    <x v="10"/>
    <x v="39"/>
    <n v="2260.17"/>
    <x v="190"/>
  </r>
  <r>
    <d v="2023-12-26T00:00:00"/>
    <x v="1"/>
    <x v="2"/>
    <x v="6"/>
    <x v="3"/>
    <n v="7"/>
    <x v="11"/>
    <x v="26"/>
    <n v="2557.77"/>
    <x v="191"/>
  </r>
  <r>
    <d v="2023-11-13T00:00:00"/>
    <x v="1"/>
    <x v="1"/>
    <x v="1"/>
    <x v="0"/>
    <n v="2"/>
    <x v="0"/>
    <x v="29"/>
    <n v="2914.14"/>
    <x v="192"/>
  </r>
  <r>
    <d v="2023-12-09T00:00:00"/>
    <x v="2"/>
    <x v="3"/>
    <x v="14"/>
    <x v="0"/>
    <n v="12"/>
    <x v="1"/>
    <x v="6"/>
    <n v="2726.43"/>
    <x v="193"/>
  </r>
  <r>
    <d v="2023-12-01T00:00:00"/>
    <x v="1"/>
    <x v="1"/>
    <x v="12"/>
    <x v="1"/>
    <n v="10"/>
    <x v="2"/>
    <x v="10"/>
    <n v="3950.06"/>
    <x v="194"/>
  </r>
  <r>
    <d v="2023-07-03T00:00:00"/>
    <x v="1"/>
    <x v="2"/>
    <x v="3"/>
    <x v="1"/>
    <n v="3"/>
    <x v="3"/>
    <x v="25"/>
    <n v="4999.6899999999996"/>
    <x v="195"/>
  </r>
  <r>
    <d v="2023-10-10T00:00:00"/>
    <x v="0"/>
    <x v="0"/>
    <x v="0"/>
    <x v="0"/>
    <n v="15"/>
    <x v="4"/>
    <x v="8"/>
    <n v="4657.82"/>
    <x v="196"/>
  </r>
  <r>
    <d v="2023-07-01T00:00:00"/>
    <x v="1"/>
    <x v="2"/>
    <x v="6"/>
    <x v="3"/>
    <n v="2"/>
    <x v="5"/>
    <x v="37"/>
    <n v="4997.2299999999996"/>
    <x v="197"/>
  </r>
  <r>
    <d v="2023-07-21T00:00:00"/>
    <x v="1"/>
    <x v="2"/>
    <x v="6"/>
    <x v="1"/>
    <n v="15"/>
    <x v="6"/>
    <x v="13"/>
    <n v="4579.29"/>
    <x v="198"/>
  </r>
  <r>
    <d v="2023-11-15T00:00:00"/>
    <x v="0"/>
    <x v="4"/>
    <x v="11"/>
    <x v="4"/>
    <n v="5"/>
    <x v="7"/>
    <x v="17"/>
    <n v="3619.58"/>
    <x v="199"/>
  </r>
  <r>
    <d v="2023-12-19T00:00:00"/>
    <x v="1"/>
    <x v="2"/>
    <x v="3"/>
    <x v="2"/>
    <n v="11"/>
    <x v="8"/>
    <x v="6"/>
    <n v="1389.59"/>
    <x v="200"/>
  </r>
  <r>
    <d v="2023-12-24T00:00:00"/>
    <x v="1"/>
    <x v="2"/>
    <x v="6"/>
    <x v="3"/>
    <n v="9"/>
    <x v="9"/>
    <x v="1"/>
    <n v="1302.45"/>
    <x v="201"/>
  </r>
  <r>
    <d v="2023-09-24T00:00:00"/>
    <x v="0"/>
    <x v="4"/>
    <x v="11"/>
    <x v="0"/>
    <n v="10"/>
    <x v="10"/>
    <x v="18"/>
    <n v="743.68"/>
    <x v="202"/>
  </r>
  <r>
    <d v="2023-10-14T00:00:00"/>
    <x v="1"/>
    <x v="2"/>
    <x v="2"/>
    <x v="2"/>
    <n v="5"/>
    <x v="11"/>
    <x v="35"/>
    <n v="1445.72"/>
    <x v="203"/>
  </r>
  <r>
    <d v="2023-07-05T00:00:00"/>
    <x v="2"/>
    <x v="3"/>
    <x v="4"/>
    <x v="4"/>
    <n v="10"/>
    <x v="0"/>
    <x v="27"/>
    <n v="3411.13"/>
    <x v="204"/>
  </r>
  <r>
    <d v="2023-03-14T00:00:00"/>
    <x v="2"/>
    <x v="3"/>
    <x v="4"/>
    <x v="0"/>
    <n v="20"/>
    <x v="1"/>
    <x v="5"/>
    <n v="3069.92"/>
    <x v="205"/>
  </r>
  <r>
    <d v="2023-03-08T00:00:00"/>
    <x v="2"/>
    <x v="3"/>
    <x v="13"/>
    <x v="4"/>
    <n v="11"/>
    <x v="2"/>
    <x v="39"/>
    <n v="377.1"/>
    <x v="206"/>
  </r>
  <r>
    <d v="2023-06-03T00:00:00"/>
    <x v="1"/>
    <x v="1"/>
    <x v="12"/>
    <x v="1"/>
    <n v="9"/>
    <x v="3"/>
    <x v="4"/>
    <n v="203.38"/>
    <x v="207"/>
  </r>
  <r>
    <d v="2023-04-05T00:00:00"/>
    <x v="1"/>
    <x v="1"/>
    <x v="7"/>
    <x v="2"/>
    <n v="6"/>
    <x v="4"/>
    <x v="25"/>
    <n v="3457.43"/>
    <x v="208"/>
  </r>
  <r>
    <d v="2023-08-16T00:00:00"/>
    <x v="0"/>
    <x v="0"/>
    <x v="5"/>
    <x v="3"/>
    <n v="11"/>
    <x v="5"/>
    <x v="7"/>
    <n v="3646.35"/>
    <x v="209"/>
  </r>
  <r>
    <d v="2023-03-12T00:00:00"/>
    <x v="1"/>
    <x v="1"/>
    <x v="7"/>
    <x v="0"/>
    <n v="6"/>
    <x v="6"/>
    <x v="8"/>
    <n v="827.78"/>
    <x v="210"/>
  </r>
  <r>
    <d v="2023-02-28T00:00:00"/>
    <x v="1"/>
    <x v="1"/>
    <x v="7"/>
    <x v="0"/>
    <n v="18"/>
    <x v="7"/>
    <x v="15"/>
    <n v="3102.47"/>
    <x v="211"/>
  </r>
  <r>
    <d v="2023-02-18T00:00:00"/>
    <x v="0"/>
    <x v="4"/>
    <x v="8"/>
    <x v="0"/>
    <n v="9"/>
    <x v="8"/>
    <x v="30"/>
    <n v="2677.7"/>
    <x v="212"/>
  </r>
  <r>
    <d v="2023-04-21T00:00:00"/>
    <x v="1"/>
    <x v="1"/>
    <x v="7"/>
    <x v="0"/>
    <n v="17"/>
    <x v="9"/>
    <x v="39"/>
    <n v="1071.3"/>
    <x v="213"/>
  </r>
  <r>
    <d v="2023-07-06T00:00:00"/>
    <x v="1"/>
    <x v="2"/>
    <x v="6"/>
    <x v="2"/>
    <n v="9"/>
    <x v="10"/>
    <x v="34"/>
    <n v="3395.02"/>
    <x v="214"/>
  </r>
  <r>
    <d v="2023-08-23T00:00:00"/>
    <x v="1"/>
    <x v="2"/>
    <x v="6"/>
    <x v="2"/>
    <n v="12"/>
    <x v="11"/>
    <x v="9"/>
    <n v="3932.48"/>
    <x v="215"/>
  </r>
  <r>
    <d v="2023-08-20T00:00:00"/>
    <x v="0"/>
    <x v="0"/>
    <x v="5"/>
    <x v="0"/>
    <n v="2"/>
    <x v="0"/>
    <x v="20"/>
    <n v="3385.43"/>
    <x v="216"/>
  </r>
  <r>
    <d v="2023-01-15T00:00:00"/>
    <x v="1"/>
    <x v="1"/>
    <x v="7"/>
    <x v="1"/>
    <n v="7"/>
    <x v="1"/>
    <x v="9"/>
    <n v="3070.09"/>
    <x v="217"/>
  </r>
  <r>
    <d v="2023-01-03T00:00:00"/>
    <x v="0"/>
    <x v="4"/>
    <x v="11"/>
    <x v="1"/>
    <n v="12"/>
    <x v="2"/>
    <x v="17"/>
    <n v="1169.8399999999999"/>
    <x v="218"/>
  </r>
  <r>
    <d v="2023-07-27T00:00:00"/>
    <x v="0"/>
    <x v="0"/>
    <x v="5"/>
    <x v="4"/>
    <n v="12"/>
    <x v="3"/>
    <x v="7"/>
    <n v="1333.81"/>
    <x v="219"/>
  </r>
  <r>
    <d v="2023-02-09T00:00:00"/>
    <x v="1"/>
    <x v="2"/>
    <x v="3"/>
    <x v="2"/>
    <n v="1"/>
    <x v="4"/>
    <x v="0"/>
    <n v="3964.37"/>
    <x v="220"/>
  </r>
  <r>
    <d v="2023-06-27T00:00:00"/>
    <x v="1"/>
    <x v="1"/>
    <x v="7"/>
    <x v="4"/>
    <n v="8"/>
    <x v="5"/>
    <x v="8"/>
    <n v="720.07"/>
    <x v="221"/>
  </r>
  <r>
    <d v="2023-09-08T00:00:00"/>
    <x v="2"/>
    <x v="3"/>
    <x v="4"/>
    <x v="3"/>
    <n v="17"/>
    <x v="6"/>
    <x v="39"/>
    <n v="4033.84"/>
    <x v="222"/>
  </r>
  <r>
    <d v="2023-01-09T00:00:00"/>
    <x v="2"/>
    <x v="3"/>
    <x v="4"/>
    <x v="4"/>
    <n v="16"/>
    <x v="7"/>
    <x v="34"/>
    <n v="3625.28"/>
    <x v="223"/>
  </r>
  <r>
    <d v="2023-07-11T00:00:00"/>
    <x v="1"/>
    <x v="1"/>
    <x v="1"/>
    <x v="4"/>
    <n v="9"/>
    <x v="8"/>
    <x v="2"/>
    <n v="773.71"/>
    <x v="224"/>
  </r>
  <r>
    <d v="2023-05-09T00:00:00"/>
    <x v="1"/>
    <x v="1"/>
    <x v="7"/>
    <x v="4"/>
    <n v="18"/>
    <x v="9"/>
    <x v="36"/>
    <n v="696.83"/>
    <x v="225"/>
  </r>
  <r>
    <d v="2023-04-15T00:00:00"/>
    <x v="1"/>
    <x v="2"/>
    <x v="3"/>
    <x v="3"/>
    <n v="13"/>
    <x v="10"/>
    <x v="15"/>
    <n v="1466.66"/>
    <x v="226"/>
  </r>
  <r>
    <d v="2023-08-08T00:00:00"/>
    <x v="0"/>
    <x v="4"/>
    <x v="9"/>
    <x v="2"/>
    <n v="8"/>
    <x v="11"/>
    <x v="31"/>
    <n v="1927.88"/>
    <x v="227"/>
  </r>
  <r>
    <d v="2023-09-18T00:00:00"/>
    <x v="1"/>
    <x v="2"/>
    <x v="3"/>
    <x v="2"/>
    <n v="12"/>
    <x v="0"/>
    <x v="36"/>
    <n v="1947.14"/>
    <x v="228"/>
  </r>
  <r>
    <d v="2023-04-13T00:00:00"/>
    <x v="1"/>
    <x v="2"/>
    <x v="6"/>
    <x v="3"/>
    <n v="1"/>
    <x v="1"/>
    <x v="4"/>
    <n v="632.39"/>
    <x v="229"/>
  </r>
  <r>
    <d v="2023-05-13T00:00:00"/>
    <x v="2"/>
    <x v="3"/>
    <x v="4"/>
    <x v="2"/>
    <n v="10"/>
    <x v="2"/>
    <x v="13"/>
    <n v="4092.05"/>
    <x v="230"/>
  </r>
  <r>
    <d v="2023-03-01T00:00:00"/>
    <x v="0"/>
    <x v="4"/>
    <x v="9"/>
    <x v="4"/>
    <n v="6"/>
    <x v="3"/>
    <x v="10"/>
    <n v="2609.65"/>
    <x v="231"/>
  </r>
  <r>
    <d v="2023-02-21T00:00:00"/>
    <x v="2"/>
    <x v="3"/>
    <x v="4"/>
    <x v="2"/>
    <n v="6"/>
    <x v="4"/>
    <x v="16"/>
    <n v="4219.6099999999997"/>
    <x v="232"/>
  </r>
  <r>
    <d v="2023-06-04T00:00:00"/>
    <x v="1"/>
    <x v="2"/>
    <x v="3"/>
    <x v="1"/>
    <n v="11"/>
    <x v="5"/>
    <x v="12"/>
    <n v="1703.12"/>
    <x v="233"/>
  </r>
  <r>
    <d v="2023-01-02T00:00:00"/>
    <x v="0"/>
    <x v="4"/>
    <x v="8"/>
    <x v="2"/>
    <n v="11"/>
    <x v="6"/>
    <x v="10"/>
    <n v="548.91999999999996"/>
    <x v="234"/>
  </r>
  <r>
    <d v="2023-06-15T00:00:00"/>
    <x v="1"/>
    <x v="2"/>
    <x v="3"/>
    <x v="2"/>
    <n v="20"/>
    <x v="7"/>
    <x v="35"/>
    <n v="3684.86"/>
    <x v="235"/>
  </r>
  <r>
    <d v="2023-04-05T00:00:00"/>
    <x v="0"/>
    <x v="4"/>
    <x v="9"/>
    <x v="3"/>
    <n v="13"/>
    <x v="8"/>
    <x v="11"/>
    <n v="2351.59"/>
    <x v="236"/>
  </r>
  <r>
    <d v="2023-09-04T00:00:00"/>
    <x v="1"/>
    <x v="2"/>
    <x v="6"/>
    <x v="3"/>
    <n v="8"/>
    <x v="9"/>
    <x v="11"/>
    <n v="1410.46"/>
    <x v="237"/>
  </r>
  <r>
    <d v="2023-06-18T00:00:00"/>
    <x v="1"/>
    <x v="1"/>
    <x v="12"/>
    <x v="2"/>
    <n v="2"/>
    <x v="10"/>
    <x v="16"/>
    <n v="4032.05"/>
    <x v="238"/>
  </r>
  <r>
    <d v="2023-05-15T00:00:00"/>
    <x v="1"/>
    <x v="2"/>
    <x v="3"/>
    <x v="4"/>
    <n v="16"/>
    <x v="11"/>
    <x v="12"/>
    <n v="325.52"/>
    <x v="239"/>
  </r>
  <r>
    <d v="2023-07-05T00:00:00"/>
    <x v="0"/>
    <x v="4"/>
    <x v="8"/>
    <x v="0"/>
    <n v="17"/>
    <x v="0"/>
    <x v="0"/>
    <n v="4427.79"/>
    <x v="240"/>
  </r>
  <r>
    <d v="2023-03-19T00:00:00"/>
    <x v="1"/>
    <x v="2"/>
    <x v="6"/>
    <x v="2"/>
    <n v="6"/>
    <x v="1"/>
    <x v="17"/>
    <n v="484.95"/>
    <x v="241"/>
  </r>
  <r>
    <d v="2023-05-01T00:00:00"/>
    <x v="0"/>
    <x v="0"/>
    <x v="0"/>
    <x v="2"/>
    <n v="5"/>
    <x v="2"/>
    <x v="39"/>
    <n v="1204.6400000000001"/>
    <x v="242"/>
  </r>
  <r>
    <d v="2023-04-26T00:00:00"/>
    <x v="1"/>
    <x v="1"/>
    <x v="7"/>
    <x v="1"/>
    <n v="18"/>
    <x v="3"/>
    <x v="1"/>
    <n v="1576.88"/>
    <x v="243"/>
  </r>
  <r>
    <d v="2023-12-05T00:00:00"/>
    <x v="1"/>
    <x v="2"/>
    <x v="6"/>
    <x v="4"/>
    <n v="13"/>
    <x v="4"/>
    <x v="28"/>
    <n v="3190.8"/>
    <x v="244"/>
  </r>
  <r>
    <d v="2023-11-28T00:00:00"/>
    <x v="1"/>
    <x v="2"/>
    <x v="3"/>
    <x v="2"/>
    <n v="13"/>
    <x v="5"/>
    <x v="35"/>
    <n v="2347.66"/>
    <x v="245"/>
  </r>
  <r>
    <d v="2023-01-16T00:00:00"/>
    <x v="0"/>
    <x v="4"/>
    <x v="9"/>
    <x v="3"/>
    <n v="18"/>
    <x v="6"/>
    <x v="10"/>
    <n v="3524.11"/>
    <x v="246"/>
  </r>
  <r>
    <d v="2023-03-30T00:00:00"/>
    <x v="0"/>
    <x v="4"/>
    <x v="9"/>
    <x v="2"/>
    <n v="9"/>
    <x v="7"/>
    <x v="34"/>
    <n v="888.33"/>
    <x v="247"/>
  </r>
  <r>
    <d v="2023-07-06T00:00:00"/>
    <x v="0"/>
    <x v="4"/>
    <x v="8"/>
    <x v="2"/>
    <n v="8"/>
    <x v="8"/>
    <x v="23"/>
    <n v="1484.56"/>
    <x v="248"/>
  </r>
  <r>
    <d v="2023-09-08T00:00:00"/>
    <x v="0"/>
    <x v="0"/>
    <x v="0"/>
    <x v="4"/>
    <n v="4"/>
    <x v="9"/>
    <x v="10"/>
    <n v="3725.78"/>
    <x v="249"/>
  </r>
  <r>
    <d v="2023-01-13T00:00:00"/>
    <x v="0"/>
    <x v="0"/>
    <x v="10"/>
    <x v="0"/>
    <n v="18"/>
    <x v="10"/>
    <x v="12"/>
    <n v="4721.4399999999996"/>
    <x v="250"/>
  </r>
  <r>
    <d v="2023-09-02T00:00:00"/>
    <x v="1"/>
    <x v="2"/>
    <x v="3"/>
    <x v="3"/>
    <n v="15"/>
    <x v="11"/>
    <x v="27"/>
    <n v="4426.4399999999996"/>
    <x v="251"/>
  </r>
  <r>
    <d v="2023-05-06T00:00:00"/>
    <x v="1"/>
    <x v="1"/>
    <x v="12"/>
    <x v="1"/>
    <n v="1"/>
    <x v="0"/>
    <x v="15"/>
    <n v="1219.0999999999999"/>
    <x v="252"/>
  </r>
  <r>
    <d v="2023-08-14T00:00:00"/>
    <x v="2"/>
    <x v="3"/>
    <x v="14"/>
    <x v="1"/>
    <n v="8"/>
    <x v="1"/>
    <x v="19"/>
    <n v="2628.31"/>
    <x v="253"/>
  </r>
  <r>
    <d v="2023-12-12T00:00:00"/>
    <x v="1"/>
    <x v="1"/>
    <x v="1"/>
    <x v="4"/>
    <n v="18"/>
    <x v="2"/>
    <x v="36"/>
    <n v="2784.49"/>
    <x v="254"/>
  </r>
  <r>
    <d v="2023-08-18T00:00:00"/>
    <x v="0"/>
    <x v="4"/>
    <x v="9"/>
    <x v="2"/>
    <n v="16"/>
    <x v="3"/>
    <x v="4"/>
    <n v="1907.95"/>
    <x v="255"/>
  </r>
  <r>
    <d v="2023-05-01T00:00:00"/>
    <x v="1"/>
    <x v="1"/>
    <x v="7"/>
    <x v="1"/>
    <n v="15"/>
    <x v="4"/>
    <x v="23"/>
    <n v="1712.05"/>
    <x v="256"/>
  </r>
  <r>
    <d v="2023-01-19T00:00:00"/>
    <x v="0"/>
    <x v="4"/>
    <x v="9"/>
    <x v="3"/>
    <n v="15"/>
    <x v="5"/>
    <x v="21"/>
    <n v="2167.91"/>
    <x v="257"/>
  </r>
  <r>
    <d v="2023-11-02T00:00:00"/>
    <x v="1"/>
    <x v="1"/>
    <x v="1"/>
    <x v="1"/>
    <n v="9"/>
    <x v="6"/>
    <x v="28"/>
    <n v="228.49"/>
    <x v="258"/>
  </r>
  <r>
    <d v="2023-01-27T00:00:00"/>
    <x v="2"/>
    <x v="3"/>
    <x v="13"/>
    <x v="3"/>
    <n v="9"/>
    <x v="7"/>
    <x v="5"/>
    <n v="3095.35"/>
    <x v="259"/>
  </r>
  <r>
    <d v="2023-01-29T00:00:00"/>
    <x v="0"/>
    <x v="4"/>
    <x v="11"/>
    <x v="4"/>
    <n v="5"/>
    <x v="8"/>
    <x v="23"/>
    <n v="714.68"/>
    <x v="260"/>
  </r>
  <r>
    <d v="2023-10-27T00:00:00"/>
    <x v="1"/>
    <x v="1"/>
    <x v="1"/>
    <x v="0"/>
    <n v="15"/>
    <x v="9"/>
    <x v="29"/>
    <n v="4545.26"/>
    <x v="261"/>
  </r>
  <r>
    <d v="2023-10-13T00:00:00"/>
    <x v="0"/>
    <x v="4"/>
    <x v="8"/>
    <x v="4"/>
    <n v="20"/>
    <x v="10"/>
    <x v="25"/>
    <n v="2133.5300000000002"/>
    <x v="262"/>
  </r>
  <r>
    <d v="2023-04-17T00:00:00"/>
    <x v="2"/>
    <x v="3"/>
    <x v="13"/>
    <x v="1"/>
    <n v="13"/>
    <x v="11"/>
    <x v="10"/>
    <n v="993.43"/>
    <x v="263"/>
  </r>
  <r>
    <d v="2023-11-25T00:00:00"/>
    <x v="1"/>
    <x v="1"/>
    <x v="7"/>
    <x v="0"/>
    <n v="15"/>
    <x v="0"/>
    <x v="8"/>
    <n v="2081.27"/>
    <x v="264"/>
  </r>
  <r>
    <d v="2023-12-15T00:00:00"/>
    <x v="1"/>
    <x v="2"/>
    <x v="3"/>
    <x v="1"/>
    <n v="12"/>
    <x v="1"/>
    <x v="24"/>
    <n v="2882.46"/>
    <x v="265"/>
  </r>
  <r>
    <d v="2023-11-24T00:00:00"/>
    <x v="0"/>
    <x v="4"/>
    <x v="11"/>
    <x v="3"/>
    <n v="8"/>
    <x v="2"/>
    <x v="39"/>
    <n v="4169.8999999999996"/>
    <x v="266"/>
  </r>
  <r>
    <d v="2023-03-15T00:00:00"/>
    <x v="2"/>
    <x v="3"/>
    <x v="13"/>
    <x v="2"/>
    <n v="6"/>
    <x v="3"/>
    <x v="37"/>
    <n v="4364.67"/>
    <x v="267"/>
  </r>
  <r>
    <d v="2023-03-02T00:00:00"/>
    <x v="1"/>
    <x v="1"/>
    <x v="12"/>
    <x v="1"/>
    <n v="17"/>
    <x v="4"/>
    <x v="15"/>
    <n v="2924.72"/>
    <x v="268"/>
  </r>
  <r>
    <d v="2023-02-04T00:00:00"/>
    <x v="0"/>
    <x v="0"/>
    <x v="5"/>
    <x v="0"/>
    <n v="8"/>
    <x v="5"/>
    <x v="39"/>
    <n v="4290.04"/>
    <x v="269"/>
  </r>
  <r>
    <d v="2023-08-23T00:00:00"/>
    <x v="1"/>
    <x v="2"/>
    <x v="6"/>
    <x v="4"/>
    <n v="19"/>
    <x v="6"/>
    <x v="22"/>
    <n v="3336.46"/>
    <x v="270"/>
  </r>
  <r>
    <d v="2023-08-01T00:00:00"/>
    <x v="1"/>
    <x v="1"/>
    <x v="7"/>
    <x v="4"/>
    <n v="20"/>
    <x v="7"/>
    <x v="29"/>
    <n v="3728.46"/>
    <x v="271"/>
  </r>
  <r>
    <d v="2023-09-18T00:00:00"/>
    <x v="2"/>
    <x v="3"/>
    <x v="13"/>
    <x v="3"/>
    <n v="20"/>
    <x v="8"/>
    <x v="18"/>
    <n v="1592.52"/>
    <x v="272"/>
  </r>
  <r>
    <d v="2023-07-10T00:00:00"/>
    <x v="0"/>
    <x v="0"/>
    <x v="5"/>
    <x v="2"/>
    <n v="20"/>
    <x v="9"/>
    <x v="4"/>
    <n v="2415.86"/>
    <x v="273"/>
  </r>
  <r>
    <d v="2023-02-14T00:00:00"/>
    <x v="1"/>
    <x v="2"/>
    <x v="3"/>
    <x v="0"/>
    <n v="12"/>
    <x v="10"/>
    <x v="29"/>
    <n v="2733.87"/>
    <x v="274"/>
  </r>
  <r>
    <d v="2023-06-04T00:00:00"/>
    <x v="1"/>
    <x v="2"/>
    <x v="2"/>
    <x v="1"/>
    <n v="20"/>
    <x v="11"/>
    <x v="21"/>
    <n v="4398.47"/>
    <x v="275"/>
  </r>
  <r>
    <d v="2023-05-22T00:00:00"/>
    <x v="2"/>
    <x v="3"/>
    <x v="4"/>
    <x v="0"/>
    <n v="6"/>
    <x v="0"/>
    <x v="37"/>
    <n v="1537.45"/>
    <x v="276"/>
  </r>
  <r>
    <d v="2023-11-17T00:00:00"/>
    <x v="0"/>
    <x v="4"/>
    <x v="11"/>
    <x v="1"/>
    <n v="3"/>
    <x v="1"/>
    <x v="14"/>
    <n v="1818.3"/>
    <x v="277"/>
  </r>
  <r>
    <d v="2023-10-29T00:00:00"/>
    <x v="1"/>
    <x v="2"/>
    <x v="3"/>
    <x v="2"/>
    <n v="1"/>
    <x v="2"/>
    <x v="14"/>
    <n v="1239.25"/>
    <x v="278"/>
  </r>
  <r>
    <d v="2023-02-04T00:00:00"/>
    <x v="2"/>
    <x v="3"/>
    <x v="14"/>
    <x v="4"/>
    <n v="5"/>
    <x v="3"/>
    <x v="10"/>
    <n v="968.86"/>
    <x v="279"/>
  </r>
  <r>
    <d v="2023-12-13T00:00:00"/>
    <x v="0"/>
    <x v="0"/>
    <x v="0"/>
    <x v="1"/>
    <n v="11"/>
    <x v="4"/>
    <x v="1"/>
    <n v="2097.48"/>
    <x v="280"/>
  </r>
  <r>
    <d v="2023-10-12T00:00:00"/>
    <x v="2"/>
    <x v="3"/>
    <x v="14"/>
    <x v="3"/>
    <n v="14"/>
    <x v="5"/>
    <x v="0"/>
    <n v="188.94"/>
    <x v="281"/>
  </r>
  <r>
    <d v="2023-04-10T00:00:00"/>
    <x v="2"/>
    <x v="3"/>
    <x v="4"/>
    <x v="4"/>
    <n v="3"/>
    <x v="6"/>
    <x v="33"/>
    <n v="4201.09"/>
    <x v="282"/>
  </r>
  <r>
    <d v="2023-05-04T00:00:00"/>
    <x v="0"/>
    <x v="0"/>
    <x v="5"/>
    <x v="2"/>
    <n v="19"/>
    <x v="7"/>
    <x v="13"/>
    <n v="430.16"/>
    <x v="283"/>
  </r>
  <r>
    <d v="2023-12-14T00:00:00"/>
    <x v="2"/>
    <x v="3"/>
    <x v="4"/>
    <x v="3"/>
    <n v="5"/>
    <x v="8"/>
    <x v="16"/>
    <n v="2957.2"/>
    <x v="284"/>
  </r>
  <r>
    <d v="2023-02-03T00:00:00"/>
    <x v="1"/>
    <x v="1"/>
    <x v="12"/>
    <x v="4"/>
    <n v="7"/>
    <x v="9"/>
    <x v="32"/>
    <n v="1164.5999999999999"/>
    <x v="285"/>
  </r>
  <r>
    <d v="2023-01-29T00:00:00"/>
    <x v="1"/>
    <x v="1"/>
    <x v="7"/>
    <x v="4"/>
    <n v="2"/>
    <x v="10"/>
    <x v="37"/>
    <n v="161.19"/>
    <x v="286"/>
  </r>
  <r>
    <d v="2023-05-23T00:00:00"/>
    <x v="1"/>
    <x v="1"/>
    <x v="1"/>
    <x v="3"/>
    <n v="4"/>
    <x v="11"/>
    <x v="23"/>
    <n v="2689.7"/>
    <x v="287"/>
  </r>
  <r>
    <d v="2023-04-20T00:00:00"/>
    <x v="0"/>
    <x v="4"/>
    <x v="9"/>
    <x v="4"/>
    <n v="16"/>
    <x v="0"/>
    <x v="38"/>
    <n v="523.29999999999995"/>
    <x v="288"/>
  </r>
  <r>
    <d v="2023-11-03T00:00:00"/>
    <x v="0"/>
    <x v="4"/>
    <x v="8"/>
    <x v="4"/>
    <n v="3"/>
    <x v="1"/>
    <x v="3"/>
    <n v="884.5"/>
    <x v="289"/>
  </r>
  <r>
    <d v="2023-09-05T00:00:00"/>
    <x v="2"/>
    <x v="3"/>
    <x v="13"/>
    <x v="1"/>
    <n v="13"/>
    <x v="2"/>
    <x v="12"/>
    <n v="3724.27"/>
    <x v="290"/>
  </r>
  <r>
    <d v="2023-10-16T00:00:00"/>
    <x v="0"/>
    <x v="0"/>
    <x v="5"/>
    <x v="3"/>
    <n v="9"/>
    <x v="3"/>
    <x v="38"/>
    <n v="3678.86"/>
    <x v="291"/>
  </r>
  <r>
    <d v="2023-04-23T00:00:00"/>
    <x v="1"/>
    <x v="2"/>
    <x v="3"/>
    <x v="4"/>
    <n v="3"/>
    <x v="4"/>
    <x v="28"/>
    <n v="938.33"/>
    <x v="292"/>
  </r>
  <r>
    <d v="2023-03-30T00:00:00"/>
    <x v="1"/>
    <x v="2"/>
    <x v="6"/>
    <x v="4"/>
    <n v="17"/>
    <x v="5"/>
    <x v="0"/>
    <n v="2664.62"/>
    <x v="293"/>
  </r>
  <r>
    <d v="2023-07-14T00:00:00"/>
    <x v="0"/>
    <x v="0"/>
    <x v="5"/>
    <x v="0"/>
    <n v="5"/>
    <x v="6"/>
    <x v="19"/>
    <n v="4035.07"/>
    <x v="294"/>
  </r>
  <r>
    <d v="2023-04-02T00:00:00"/>
    <x v="2"/>
    <x v="3"/>
    <x v="14"/>
    <x v="2"/>
    <n v="20"/>
    <x v="7"/>
    <x v="0"/>
    <n v="605.86"/>
    <x v="295"/>
  </r>
  <r>
    <d v="2023-05-24T00:00:00"/>
    <x v="0"/>
    <x v="0"/>
    <x v="5"/>
    <x v="3"/>
    <n v="3"/>
    <x v="8"/>
    <x v="0"/>
    <n v="2082"/>
    <x v="296"/>
  </r>
  <r>
    <d v="2023-09-16T00:00:00"/>
    <x v="0"/>
    <x v="0"/>
    <x v="5"/>
    <x v="2"/>
    <n v="8"/>
    <x v="9"/>
    <x v="30"/>
    <n v="3372.86"/>
    <x v="297"/>
  </r>
  <r>
    <d v="2023-08-12T00:00:00"/>
    <x v="2"/>
    <x v="3"/>
    <x v="13"/>
    <x v="1"/>
    <n v="15"/>
    <x v="10"/>
    <x v="26"/>
    <n v="318.32"/>
    <x v="298"/>
  </r>
  <r>
    <d v="2023-11-23T00:00:00"/>
    <x v="2"/>
    <x v="3"/>
    <x v="14"/>
    <x v="3"/>
    <n v="5"/>
    <x v="11"/>
    <x v="14"/>
    <n v="3900.9"/>
    <x v="299"/>
  </r>
  <r>
    <d v="2023-10-30T00:00:00"/>
    <x v="0"/>
    <x v="0"/>
    <x v="0"/>
    <x v="4"/>
    <n v="15"/>
    <x v="0"/>
    <x v="39"/>
    <n v="1113.76"/>
    <x v="300"/>
  </r>
  <r>
    <d v="2023-09-26T00:00:00"/>
    <x v="2"/>
    <x v="3"/>
    <x v="4"/>
    <x v="2"/>
    <n v="9"/>
    <x v="1"/>
    <x v="20"/>
    <n v="3458"/>
    <x v="301"/>
  </r>
  <r>
    <d v="2023-10-29T00:00:00"/>
    <x v="2"/>
    <x v="3"/>
    <x v="13"/>
    <x v="1"/>
    <n v="7"/>
    <x v="2"/>
    <x v="18"/>
    <n v="3415.15"/>
    <x v="302"/>
  </r>
  <r>
    <d v="2023-10-18T00:00:00"/>
    <x v="1"/>
    <x v="1"/>
    <x v="12"/>
    <x v="0"/>
    <n v="15"/>
    <x v="3"/>
    <x v="27"/>
    <n v="2920.62"/>
    <x v="303"/>
  </r>
  <r>
    <d v="2023-08-23T00:00:00"/>
    <x v="0"/>
    <x v="0"/>
    <x v="0"/>
    <x v="2"/>
    <n v="20"/>
    <x v="4"/>
    <x v="19"/>
    <n v="1100.3800000000001"/>
    <x v="304"/>
  </r>
  <r>
    <d v="2023-12-24T00:00:00"/>
    <x v="1"/>
    <x v="2"/>
    <x v="2"/>
    <x v="4"/>
    <n v="15"/>
    <x v="5"/>
    <x v="12"/>
    <n v="170.6"/>
    <x v="305"/>
  </r>
  <r>
    <d v="2023-01-06T00:00:00"/>
    <x v="1"/>
    <x v="1"/>
    <x v="1"/>
    <x v="2"/>
    <n v="18"/>
    <x v="6"/>
    <x v="6"/>
    <n v="1073"/>
    <x v="306"/>
  </r>
  <r>
    <d v="2023-02-28T00:00:00"/>
    <x v="0"/>
    <x v="4"/>
    <x v="9"/>
    <x v="0"/>
    <n v="9"/>
    <x v="7"/>
    <x v="3"/>
    <n v="3276.04"/>
    <x v="307"/>
  </r>
  <r>
    <d v="2023-08-29T00:00:00"/>
    <x v="1"/>
    <x v="2"/>
    <x v="6"/>
    <x v="3"/>
    <n v="1"/>
    <x v="8"/>
    <x v="35"/>
    <n v="3734.74"/>
    <x v="308"/>
  </r>
  <r>
    <d v="2023-02-25T00:00:00"/>
    <x v="0"/>
    <x v="0"/>
    <x v="0"/>
    <x v="1"/>
    <n v="5"/>
    <x v="9"/>
    <x v="21"/>
    <n v="3926.26"/>
    <x v="309"/>
  </r>
  <r>
    <d v="2023-10-21T00:00:00"/>
    <x v="1"/>
    <x v="1"/>
    <x v="12"/>
    <x v="2"/>
    <n v="7"/>
    <x v="10"/>
    <x v="5"/>
    <n v="2048.48"/>
    <x v="310"/>
  </r>
  <r>
    <d v="2023-10-03T00:00:00"/>
    <x v="0"/>
    <x v="0"/>
    <x v="0"/>
    <x v="0"/>
    <n v="11"/>
    <x v="11"/>
    <x v="38"/>
    <n v="1316.18"/>
    <x v="311"/>
  </r>
  <r>
    <d v="2023-03-31T00:00:00"/>
    <x v="2"/>
    <x v="3"/>
    <x v="13"/>
    <x v="0"/>
    <n v="10"/>
    <x v="0"/>
    <x v="30"/>
    <n v="2027.97"/>
    <x v="312"/>
  </r>
  <r>
    <d v="2023-07-12T00:00:00"/>
    <x v="0"/>
    <x v="0"/>
    <x v="0"/>
    <x v="4"/>
    <n v="9"/>
    <x v="1"/>
    <x v="36"/>
    <n v="4757.53"/>
    <x v="313"/>
  </r>
  <r>
    <d v="2023-03-16T00:00:00"/>
    <x v="0"/>
    <x v="0"/>
    <x v="5"/>
    <x v="1"/>
    <n v="4"/>
    <x v="2"/>
    <x v="28"/>
    <n v="1256.3399999999999"/>
    <x v="314"/>
  </r>
  <r>
    <d v="2023-09-22T00:00:00"/>
    <x v="2"/>
    <x v="3"/>
    <x v="13"/>
    <x v="4"/>
    <n v="11"/>
    <x v="3"/>
    <x v="32"/>
    <n v="1065.6400000000001"/>
    <x v="315"/>
  </r>
  <r>
    <d v="2023-03-09T00:00:00"/>
    <x v="0"/>
    <x v="4"/>
    <x v="11"/>
    <x v="3"/>
    <n v="15"/>
    <x v="4"/>
    <x v="30"/>
    <n v="961.23"/>
    <x v="316"/>
  </r>
  <r>
    <d v="2023-05-25T00:00:00"/>
    <x v="0"/>
    <x v="4"/>
    <x v="8"/>
    <x v="0"/>
    <n v="2"/>
    <x v="5"/>
    <x v="23"/>
    <n v="2238.46"/>
    <x v="317"/>
  </r>
  <r>
    <d v="2023-06-30T00:00:00"/>
    <x v="2"/>
    <x v="3"/>
    <x v="14"/>
    <x v="3"/>
    <n v="17"/>
    <x v="6"/>
    <x v="7"/>
    <n v="1538.4"/>
    <x v="318"/>
  </r>
  <r>
    <d v="2023-10-15T00:00:00"/>
    <x v="0"/>
    <x v="0"/>
    <x v="10"/>
    <x v="1"/>
    <n v="17"/>
    <x v="7"/>
    <x v="27"/>
    <n v="1307.24"/>
    <x v="319"/>
  </r>
  <r>
    <d v="2023-06-20T00:00:00"/>
    <x v="2"/>
    <x v="3"/>
    <x v="4"/>
    <x v="2"/>
    <n v="1"/>
    <x v="8"/>
    <x v="21"/>
    <n v="840.65"/>
    <x v="320"/>
  </r>
  <r>
    <d v="2023-02-14T00:00:00"/>
    <x v="0"/>
    <x v="0"/>
    <x v="0"/>
    <x v="1"/>
    <n v="15"/>
    <x v="9"/>
    <x v="11"/>
    <n v="4822.26"/>
    <x v="321"/>
  </r>
  <r>
    <d v="2023-03-04T00:00:00"/>
    <x v="2"/>
    <x v="3"/>
    <x v="13"/>
    <x v="0"/>
    <n v="1"/>
    <x v="10"/>
    <x v="30"/>
    <n v="3781.47"/>
    <x v="322"/>
  </r>
  <r>
    <d v="2023-06-06T00:00:00"/>
    <x v="0"/>
    <x v="4"/>
    <x v="9"/>
    <x v="3"/>
    <n v="6"/>
    <x v="11"/>
    <x v="17"/>
    <n v="3051.1"/>
    <x v="323"/>
  </r>
  <r>
    <d v="2023-12-10T00:00:00"/>
    <x v="1"/>
    <x v="1"/>
    <x v="7"/>
    <x v="2"/>
    <n v="10"/>
    <x v="0"/>
    <x v="15"/>
    <n v="642.49"/>
    <x v="324"/>
  </r>
  <r>
    <d v="2023-12-04T00:00:00"/>
    <x v="1"/>
    <x v="1"/>
    <x v="7"/>
    <x v="2"/>
    <n v="15"/>
    <x v="1"/>
    <x v="2"/>
    <n v="2346.4"/>
    <x v="325"/>
  </r>
  <r>
    <d v="2023-02-01T00:00:00"/>
    <x v="1"/>
    <x v="1"/>
    <x v="7"/>
    <x v="0"/>
    <n v="20"/>
    <x v="2"/>
    <x v="28"/>
    <n v="1514.3"/>
    <x v="326"/>
  </r>
  <r>
    <d v="2023-06-28T00:00:00"/>
    <x v="2"/>
    <x v="3"/>
    <x v="4"/>
    <x v="3"/>
    <n v="16"/>
    <x v="3"/>
    <x v="26"/>
    <n v="4364.8999999999996"/>
    <x v="327"/>
  </r>
  <r>
    <d v="2023-09-02T00:00:00"/>
    <x v="0"/>
    <x v="0"/>
    <x v="5"/>
    <x v="3"/>
    <n v="2"/>
    <x v="4"/>
    <x v="36"/>
    <n v="1695.6"/>
    <x v="328"/>
  </r>
  <r>
    <d v="2023-07-03T00:00:00"/>
    <x v="1"/>
    <x v="1"/>
    <x v="1"/>
    <x v="0"/>
    <n v="18"/>
    <x v="5"/>
    <x v="19"/>
    <n v="1968.87"/>
    <x v="329"/>
  </r>
  <r>
    <d v="2023-02-21T00:00:00"/>
    <x v="1"/>
    <x v="1"/>
    <x v="7"/>
    <x v="0"/>
    <n v="17"/>
    <x v="6"/>
    <x v="9"/>
    <n v="1777.42"/>
    <x v="330"/>
  </r>
  <r>
    <d v="2023-10-02T00:00:00"/>
    <x v="1"/>
    <x v="1"/>
    <x v="1"/>
    <x v="0"/>
    <n v="19"/>
    <x v="7"/>
    <x v="30"/>
    <n v="1564.94"/>
    <x v="331"/>
  </r>
  <r>
    <d v="2023-04-06T00:00:00"/>
    <x v="0"/>
    <x v="4"/>
    <x v="9"/>
    <x v="4"/>
    <n v="7"/>
    <x v="8"/>
    <x v="32"/>
    <n v="1205.8900000000001"/>
    <x v="332"/>
  </r>
  <r>
    <d v="2023-05-05T00:00:00"/>
    <x v="1"/>
    <x v="2"/>
    <x v="6"/>
    <x v="0"/>
    <n v="7"/>
    <x v="9"/>
    <x v="29"/>
    <n v="4530.8100000000004"/>
    <x v="333"/>
  </r>
  <r>
    <d v="2023-03-23T00:00:00"/>
    <x v="1"/>
    <x v="2"/>
    <x v="3"/>
    <x v="1"/>
    <n v="13"/>
    <x v="10"/>
    <x v="33"/>
    <n v="3568.86"/>
    <x v="334"/>
  </r>
  <r>
    <d v="2023-08-26T00:00:00"/>
    <x v="1"/>
    <x v="2"/>
    <x v="2"/>
    <x v="3"/>
    <n v="10"/>
    <x v="11"/>
    <x v="37"/>
    <n v="2349.2399999999998"/>
    <x v="335"/>
  </r>
  <r>
    <d v="2023-03-07T00:00:00"/>
    <x v="0"/>
    <x v="4"/>
    <x v="9"/>
    <x v="1"/>
    <n v="16"/>
    <x v="0"/>
    <x v="14"/>
    <n v="1025.8"/>
    <x v="336"/>
  </r>
  <r>
    <d v="2023-03-30T00:00:00"/>
    <x v="2"/>
    <x v="3"/>
    <x v="4"/>
    <x v="4"/>
    <n v="3"/>
    <x v="1"/>
    <x v="9"/>
    <n v="4608.8900000000003"/>
    <x v="337"/>
  </r>
  <r>
    <d v="2023-03-18T00:00:00"/>
    <x v="2"/>
    <x v="3"/>
    <x v="14"/>
    <x v="1"/>
    <n v="5"/>
    <x v="2"/>
    <x v="27"/>
    <n v="2681.34"/>
    <x v="338"/>
  </r>
  <r>
    <d v="2023-11-24T00:00:00"/>
    <x v="1"/>
    <x v="2"/>
    <x v="6"/>
    <x v="3"/>
    <n v="5"/>
    <x v="3"/>
    <x v="34"/>
    <n v="2481.2199999999998"/>
    <x v="339"/>
  </r>
  <r>
    <d v="2023-04-19T00:00:00"/>
    <x v="1"/>
    <x v="2"/>
    <x v="3"/>
    <x v="3"/>
    <n v="13"/>
    <x v="4"/>
    <x v="17"/>
    <n v="4911.57"/>
    <x v="340"/>
  </r>
  <r>
    <d v="2023-02-07T00:00:00"/>
    <x v="1"/>
    <x v="1"/>
    <x v="12"/>
    <x v="0"/>
    <n v="4"/>
    <x v="5"/>
    <x v="33"/>
    <n v="4337.09"/>
    <x v="341"/>
  </r>
  <r>
    <d v="2023-10-06T00:00:00"/>
    <x v="0"/>
    <x v="4"/>
    <x v="9"/>
    <x v="2"/>
    <n v="4"/>
    <x v="6"/>
    <x v="14"/>
    <n v="4317.2"/>
    <x v="342"/>
  </r>
  <r>
    <d v="2023-03-04T00:00:00"/>
    <x v="1"/>
    <x v="2"/>
    <x v="2"/>
    <x v="4"/>
    <n v="13"/>
    <x v="7"/>
    <x v="16"/>
    <n v="2693.09"/>
    <x v="343"/>
  </r>
  <r>
    <d v="2023-06-13T00:00:00"/>
    <x v="1"/>
    <x v="1"/>
    <x v="1"/>
    <x v="0"/>
    <n v="5"/>
    <x v="8"/>
    <x v="9"/>
    <n v="3701.17"/>
    <x v="344"/>
  </r>
  <r>
    <d v="2023-11-06T00:00:00"/>
    <x v="1"/>
    <x v="2"/>
    <x v="3"/>
    <x v="4"/>
    <n v="1"/>
    <x v="9"/>
    <x v="38"/>
    <n v="585.58000000000004"/>
    <x v="345"/>
  </r>
  <r>
    <d v="2023-10-02T00:00:00"/>
    <x v="1"/>
    <x v="1"/>
    <x v="7"/>
    <x v="4"/>
    <n v="16"/>
    <x v="10"/>
    <x v="39"/>
    <n v="4720.2299999999996"/>
    <x v="346"/>
  </r>
  <r>
    <d v="2023-06-08T00:00:00"/>
    <x v="0"/>
    <x v="4"/>
    <x v="8"/>
    <x v="4"/>
    <n v="15"/>
    <x v="11"/>
    <x v="25"/>
    <n v="2514.9499999999998"/>
    <x v="347"/>
  </r>
  <r>
    <d v="2023-01-05T00:00:00"/>
    <x v="1"/>
    <x v="2"/>
    <x v="3"/>
    <x v="1"/>
    <n v="10"/>
    <x v="0"/>
    <x v="10"/>
    <n v="772.21"/>
    <x v="348"/>
  </r>
  <r>
    <d v="2023-10-10T00:00:00"/>
    <x v="1"/>
    <x v="1"/>
    <x v="1"/>
    <x v="4"/>
    <n v="7"/>
    <x v="1"/>
    <x v="16"/>
    <n v="702.24"/>
    <x v="349"/>
  </r>
  <r>
    <d v="2023-02-21T00:00:00"/>
    <x v="0"/>
    <x v="0"/>
    <x v="0"/>
    <x v="3"/>
    <n v="4"/>
    <x v="2"/>
    <x v="10"/>
    <n v="1831.79"/>
    <x v="350"/>
  </r>
  <r>
    <d v="2023-09-30T00:00:00"/>
    <x v="0"/>
    <x v="0"/>
    <x v="10"/>
    <x v="2"/>
    <n v="12"/>
    <x v="3"/>
    <x v="35"/>
    <n v="3895.88"/>
    <x v="351"/>
  </r>
  <r>
    <d v="2023-10-20T00:00:00"/>
    <x v="0"/>
    <x v="4"/>
    <x v="9"/>
    <x v="0"/>
    <n v="12"/>
    <x v="4"/>
    <x v="11"/>
    <n v="2208.4899999999998"/>
    <x v="352"/>
  </r>
  <r>
    <d v="2023-09-11T00:00:00"/>
    <x v="0"/>
    <x v="0"/>
    <x v="5"/>
    <x v="1"/>
    <n v="3"/>
    <x v="5"/>
    <x v="33"/>
    <n v="116.58"/>
    <x v="353"/>
  </r>
  <r>
    <d v="2023-06-12T00:00:00"/>
    <x v="2"/>
    <x v="3"/>
    <x v="14"/>
    <x v="2"/>
    <n v="3"/>
    <x v="6"/>
    <x v="21"/>
    <n v="4171.91"/>
    <x v="354"/>
  </r>
  <r>
    <d v="2023-01-07T00:00:00"/>
    <x v="1"/>
    <x v="1"/>
    <x v="1"/>
    <x v="0"/>
    <n v="8"/>
    <x v="7"/>
    <x v="32"/>
    <n v="4201.6899999999996"/>
    <x v="355"/>
  </r>
  <r>
    <d v="2023-07-12T00:00:00"/>
    <x v="0"/>
    <x v="4"/>
    <x v="11"/>
    <x v="1"/>
    <n v="1"/>
    <x v="8"/>
    <x v="7"/>
    <n v="2716.98"/>
    <x v="356"/>
  </r>
  <r>
    <d v="2023-04-08T00:00:00"/>
    <x v="0"/>
    <x v="0"/>
    <x v="0"/>
    <x v="1"/>
    <n v="1"/>
    <x v="9"/>
    <x v="37"/>
    <n v="3847.65"/>
    <x v="357"/>
  </r>
  <r>
    <d v="2023-08-29T00:00:00"/>
    <x v="0"/>
    <x v="0"/>
    <x v="0"/>
    <x v="0"/>
    <n v="2"/>
    <x v="10"/>
    <x v="11"/>
    <n v="816.12"/>
    <x v="358"/>
  </r>
  <r>
    <d v="2023-08-06T00:00:00"/>
    <x v="2"/>
    <x v="3"/>
    <x v="13"/>
    <x v="4"/>
    <n v="12"/>
    <x v="11"/>
    <x v="9"/>
    <n v="1304.81"/>
    <x v="359"/>
  </r>
  <r>
    <d v="2023-11-13T00:00:00"/>
    <x v="0"/>
    <x v="0"/>
    <x v="10"/>
    <x v="2"/>
    <n v="3"/>
    <x v="0"/>
    <x v="7"/>
    <n v="2214.86"/>
    <x v="360"/>
  </r>
  <r>
    <d v="2023-08-27T00:00:00"/>
    <x v="2"/>
    <x v="3"/>
    <x v="13"/>
    <x v="3"/>
    <n v="14"/>
    <x v="1"/>
    <x v="18"/>
    <n v="1094.1400000000001"/>
    <x v="361"/>
  </r>
  <r>
    <d v="2023-09-26T00:00:00"/>
    <x v="0"/>
    <x v="4"/>
    <x v="9"/>
    <x v="1"/>
    <n v="4"/>
    <x v="2"/>
    <x v="22"/>
    <n v="4697.07"/>
    <x v="362"/>
  </r>
  <r>
    <d v="2023-10-14T00:00:00"/>
    <x v="0"/>
    <x v="0"/>
    <x v="5"/>
    <x v="2"/>
    <n v="5"/>
    <x v="3"/>
    <x v="12"/>
    <n v="1141.32"/>
    <x v="363"/>
  </r>
  <r>
    <d v="2023-03-06T00:00:00"/>
    <x v="0"/>
    <x v="4"/>
    <x v="8"/>
    <x v="3"/>
    <n v="18"/>
    <x v="4"/>
    <x v="35"/>
    <n v="814.69"/>
    <x v="364"/>
  </r>
  <r>
    <d v="2023-11-08T00:00:00"/>
    <x v="0"/>
    <x v="4"/>
    <x v="8"/>
    <x v="2"/>
    <n v="19"/>
    <x v="5"/>
    <x v="25"/>
    <n v="2743.67"/>
    <x v="365"/>
  </r>
  <r>
    <d v="2023-12-30T00:00:00"/>
    <x v="1"/>
    <x v="2"/>
    <x v="6"/>
    <x v="0"/>
    <n v="3"/>
    <x v="6"/>
    <x v="24"/>
    <n v="2961.96"/>
    <x v="366"/>
  </r>
  <r>
    <d v="2023-07-26T00:00:00"/>
    <x v="0"/>
    <x v="0"/>
    <x v="10"/>
    <x v="3"/>
    <n v="16"/>
    <x v="7"/>
    <x v="37"/>
    <n v="2882.65"/>
    <x v="367"/>
  </r>
  <r>
    <d v="2023-04-24T00:00:00"/>
    <x v="0"/>
    <x v="0"/>
    <x v="5"/>
    <x v="3"/>
    <n v="7"/>
    <x v="8"/>
    <x v="5"/>
    <n v="1905.14"/>
    <x v="368"/>
  </r>
  <r>
    <d v="2023-03-09T00:00:00"/>
    <x v="2"/>
    <x v="3"/>
    <x v="14"/>
    <x v="4"/>
    <n v="5"/>
    <x v="9"/>
    <x v="23"/>
    <n v="912.33"/>
    <x v="369"/>
  </r>
  <r>
    <d v="2023-02-11T00:00:00"/>
    <x v="0"/>
    <x v="0"/>
    <x v="10"/>
    <x v="1"/>
    <n v="13"/>
    <x v="10"/>
    <x v="36"/>
    <n v="2745.75"/>
    <x v="370"/>
  </r>
  <r>
    <d v="2023-12-14T00:00:00"/>
    <x v="1"/>
    <x v="1"/>
    <x v="12"/>
    <x v="3"/>
    <n v="10"/>
    <x v="11"/>
    <x v="29"/>
    <n v="222.55"/>
    <x v="371"/>
  </r>
  <r>
    <d v="2023-08-03T00:00:00"/>
    <x v="1"/>
    <x v="1"/>
    <x v="7"/>
    <x v="4"/>
    <n v="15"/>
    <x v="0"/>
    <x v="34"/>
    <n v="624.87"/>
    <x v="372"/>
  </r>
  <r>
    <d v="2023-03-08T00:00:00"/>
    <x v="0"/>
    <x v="4"/>
    <x v="8"/>
    <x v="1"/>
    <n v="2"/>
    <x v="1"/>
    <x v="15"/>
    <n v="3825.5"/>
    <x v="373"/>
  </r>
  <r>
    <d v="2023-03-31T00:00:00"/>
    <x v="2"/>
    <x v="3"/>
    <x v="4"/>
    <x v="1"/>
    <n v="5"/>
    <x v="2"/>
    <x v="27"/>
    <n v="2846.34"/>
    <x v="374"/>
  </r>
  <r>
    <d v="2023-05-14T00:00:00"/>
    <x v="1"/>
    <x v="2"/>
    <x v="2"/>
    <x v="1"/>
    <n v="3"/>
    <x v="3"/>
    <x v="39"/>
    <n v="1205.6199999999999"/>
    <x v="375"/>
  </r>
  <r>
    <d v="2023-11-23T00:00:00"/>
    <x v="0"/>
    <x v="4"/>
    <x v="9"/>
    <x v="2"/>
    <n v="9"/>
    <x v="4"/>
    <x v="4"/>
    <n v="851.87"/>
    <x v="376"/>
  </r>
  <r>
    <d v="2023-04-07T00:00:00"/>
    <x v="1"/>
    <x v="1"/>
    <x v="1"/>
    <x v="1"/>
    <n v="7"/>
    <x v="5"/>
    <x v="17"/>
    <n v="1849.17"/>
    <x v="377"/>
  </r>
  <r>
    <d v="2023-05-30T00:00:00"/>
    <x v="2"/>
    <x v="3"/>
    <x v="13"/>
    <x v="4"/>
    <n v="2"/>
    <x v="6"/>
    <x v="14"/>
    <n v="2119.5100000000002"/>
    <x v="378"/>
  </r>
  <r>
    <d v="2023-08-21T00:00:00"/>
    <x v="1"/>
    <x v="2"/>
    <x v="2"/>
    <x v="1"/>
    <n v="1"/>
    <x v="7"/>
    <x v="3"/>
    <n v="421.27"/>
    <x v="379"/>
  </r>
  <r>
    <d v="2023-03-18T00:00:00"/>
    <x v="1"/>
    <x v="1"/>
    <x v="7"/>
    <x v="0"/>
    <n v="14"/>
    <x v="8"/>
    <x v="31"/>
    <n v="2746.27"/>
    <x v="380"/>
  </r>
  <r>
    <d v="2023-10-15T00:00:00"/>
    <x v="0"/>
    <x v="4"/>
    <x v="8"/>
    <x v="3"/>
    <n v="18"/>
    <x v="9"/>
    <x v="9"/>
    <n v="3602.65"/>
    <x v="381"/>
  </r>
  <r>
    <d v="2023-03-13T00:00:00"/>
    <x v="0"/>
    <x v="0"/>
    <x v="10"/>
    <x v="4"/>
    <n v="11"/>
    <x v="10"/>
    <x v="30"/>
    <n v="4681.04"/>
    <x v="382"/>
  </r>
  <r>
    <d v="2023-09-04T00:00:00"/>
    <x v="1"/>
    <x v="1"/>
    <x v="1"/>
    <x v="2"/>
    <n v="4"/>
    <x v="11"/>
    <x v="9"/>
    <n v="1381.71"/>
    <x v="383"/>
  </r>
  <r>
    <d v="2023-06-29T00:00:00"/>
    <x v="0"/>
    <x v="0"/>
    <x v="10"/>
    <x v="0"/>
    <n v="20"/>
    <x v="0"/>
    <x v="2"/>
    <n v="1536.73"/>
    <x v="384"/>
  </r>
  <r>
    <d v="2023-12-29T00:00:00"/>
    <x v="1"/>
    <x v="1"/>
    <x v="7"/>
    <x v="1"/>
    <n v="13"/>
    <x v="1"/>
    <x v="4"/>
    <n v="1929.55"/>
    <x v="385"/>
  </r>
  <r>
    <d v="2023-04-07T00:00:00"/>
    <x v="1"/>
    <x v="2"/>
    <x v="3"/>
    <x v="0"/>
    <n v="17"/>
    <x v="2"/>
    <x v="0"/>
    <n v="3233.82"/>
    <x v="386"/>
  </r>
  <r>
    <d v="2023-11-05T00:00:00"/>
    <x v="0"/>
    <x v="0"/>
    <x v="5"/>
    <x v="1"/>
    <n v="17"/>
    <x v="3"/>
    <x v="31"/>
    <n v="4082.38"/>
    <x v="387"/>
  </r>
  <r>
    <d v="2023-07-17T00:00:00"/>
    <x v="0"/>
    <x v="4"/>
    <x v="8"/>
    <x v="0"/>
    <n v="12"/>
    <x v="4"/>
    <x v="5"/>
    <n v="3650.3"/>
    <x v="388"/>
  </r>
  <r>
    <d v="2023-10-19T00:00:00"/>
    <x v="1"/>
    <x v="2"/>
    <x v="3"/>
    <x v="0"/>
    <n v="18"/>
    <x v="5"/>
    <x v="39"/>
    <n v="532.4"/>
    <x v="389"/>
  </r>
  <r>
    <d v="2023-05-01T00:00:00"/>
    <x v="0"/>
    <x v="0"/>
    <x v="10"/>
    <x v="1"/>
    <n v="7"/>
    <x v="6"/>
    <x v="7"/>
    <n v="3931.73"/>
    <x v="390"/>
  </r>
  <r>
    <d v="2023-10-09T00:00:00"/>
    <x v="1"/>
    <x v="1"/>
    <x v="7"/>
    <x v="1"/>
    <n v="9"/>
    <x v="7"/>
    <x v="38"/>
    <n v="2770.27"/>
    <x v="391"/>
  </r>
  <r>
    <d v="2023-12-16T00:00:00"/>
    <x v="1"/>
    <x v="1"/>
    <x v="7"/>
    <x v="3"/>
    <n v="7"/>
    <x v="8"/>
    <x v="18"/>
    <n v="3052.99"/>
    <x v="392"/>
  </r>
  <r>
    <d v="2023-06-13T00:00:00"/>
    <x v="0"/>
    <x v="4"/>
    <x v="8"/>
    <x v="2"/>
    <n v="14"/>
    <x v="9"/>
    <x v="33"/>
    <n v="298.99"/>
    <x v="393"/>
  </r>
  <r>
    <d v="2023-08-06T00:00:00"/>
    <x v="1"/>
    <x v="1"/>
    <x v="7"/>
    <x v="1"/>
    <n v="10"/>
    <x v="10"/>
    <x v="5"/>
    <n v="812.98"/>
    <x v="394"/>
  </r>
  <r>
    <d v="2023-12-29T00:00:00"/>
    <x v="0"/>
    <x v="4"/>
    <x v="11"/>
    <x v="0"/>
    <n v="14"/>
    <x v="11"/>
    <x v="18"/>
    <n v="1720"/>
    <x v="395"/>
  </r>
  <r>
    <d v="2023-06-27T00:00:00"/>
    <x v="1"/>
    <x v="1"/>
    <x v="12"/>
    <x v="4"/>
    <n v="3"/>
    <x v="0"/>
    <x v="32"/>
    <n v="772.21"/>
    <x v="396"/>
  </r>
  <r>
    <d v="2023-04-28T00:00:00"/>
    <x v="1"/>
    <x v="1"/>
    <x v="1"/>
    <x v="1"/>
    <n v="20"/>
    <x v="1"/>
    <x v="21"/>
    <n v="3937.67"/>
    <x v="397"/>
  </r>
  <r>
    <d v="2023-11-03T00:00:00"/>
    <x v="0"/>
    <x v="0"/>
    <x v="5"/>
    <x v="0"/>
    <n v="5"/>
    <x v="2"/>
    <x v="8"/>
    <n v="3259.3"/>
    <x v="398"/>
  </r>
  <r>
    <d v="2023-09-17T00:00:00"/>
    <x v="2"/>
    <x v="3"/>
    <x v="4"/>
    <x v="1"/>
    <n v="7"/>
    <x v="3"/>
    <x v="38"/>
    <n v="252.75"/>
    <x v="399"/>
  </r>
  <r>
    <d v="2023-07-12T00:00:00"/>
    <x v="0"/>
    <x v="0"/>
    <x v="10"/>
    <x v="3"/>
    <n v="16"/>
    <x v="4"/>
    <x v="33"/>
    <n v="1933.33"/>
    <x v="400"/>
  </r>
  <r>
    <d v="2023-04-08T00:00:00"/>
    <x v="0"/>
    <x v="4"/>
    <x v="9"/>
    <x v="4"/>
    <n v="6"/>
    <x v="5"/>
    <x v="21"/>
    <n v="4541.92"/>
    <x v="401"/>
  </r>
  <r>
    <d v="2023-05-05T00:00:00"/>
    <x v="0"/>
    <x v="0"/>
    <x v="0"/>
    <x v="3"/>
    <n v="20"/>
    <x v="6"/>
    <x v="19"/>
    <n v="4270.08"/>
    <x v="402"/>
  </r>
  <r>
    <d v="2023-02-04T00:00:00"/>
    <x v="1"/>
    <x v="2"/>
    <x v="6"/>
    <x v="3"/>
    <n v="3"/>
    <x v="7"/>
    <x v="34"/>
    <n v="3007.45"/>
    <x v="403"/>
  </r>
  <r>
    <d v="2023-04-03T00:00:00"/>
    <x v="2"/>
    <x v="3"/>
    <x v="14"/>
    <x v="2"/>
    <n v="8"/>
    <x v="8"/>
    <x v="14"/>
    <n v="315"/>
    <x v="404"/>
  </r>
  <r>
    <d v="2023-12-31T00:00:00"/>
    <x v="1"/>
    <x v="2"/>
    <x v="6"/>
    <x v="4"/>
    <n v="13"/>
    <x v="9"/>
    <x v="5"/>
    <n v="1647.87"/>
    <x v="405"/>
  </r>
  <r>
    <d v="2023-01-14T00:00:00"/>
    <x v="1"/>
    <x v="1"/>
    <x v="1"/>
    <x v="4"/>
    <n v="2"/>
    <x v="10"/>
    <x v="20"/>
    <n v="659.83"/>
    <x v="406"/>
  </r>
  <r>
    <d v="2023-12-10T00:00:00"/>
    <x v="1"/>
    <x v="1"/>
    <x v="1"/>
    <x v="4"/>
    <n v="16"/>
    <x v="11"/>
    <x v="2"/>
    <n v="4999.8999999999996"/>
    <x v="407"/>
  </r>
  <r>
    <d v="2023-03-01T00:00:00"/>
    <x v="1"/>
    <x v="1"/>
    <x v="12"/>
    <x v="1"/>
    <n v="20"/>
    <x v="0"/>
    <x v="24"/>
    <n v="490.36"/>
    <x v="408"/>
  </r>
  <r>
    <d v="2023-05-25T00:00:00"/>
    <x v="0"/>
    <x v="4"/>
    <x v="11"/>
    <x v="0"/>
    <n v="19"/>
    <x v="1"/>
    <x v="16"/>
    <n v="2753.24"/>
    <x v="409"/>
  </r>
  <r>
    <d v="2023-04-10T00:00:00"/>
    <x v="2"/>
    <x v="3"/>
    <x v="14"/>
    <x v="2"/>
    <n v="7"/>
    <x v="2"/>
    <x v="19"/>
    <n v="4541.83"/>
    <x v="410"/>
  </r>
  <r>
    <d v="2023-01-08T00:00:00"/>
    <x v="0"/>
    <x v="0"/>
    <x v="10"/>
    <x v="0"/>
    <n v="2"/>
    <x v="3"/>
    <x v="1"/>
    <n v="3240.32"/>
    <x v="411"/>
  </r>
  <r>
    <d v="2023-08-03T00:00:00"/>
    <x v="2"/>
    <x v="3"/>
    <x v="13"/>
    <x v="0"/>
    <n v="18"/>
    <x v="4"/>
    <x v="2"/>
    <n v="3614.6"/>
    <x v="412"/>
  </r>
  <r>
    <d v="2023-05-16T00:00:00"/>
    <x v="0"/>
    <x v="0"/>
    <x v="5"/>
    <x v="0"/>
    <n v="3"/>
    <x v="5"/>
    <x v="9"/>
    <n v="2618.2199999999998"/>
    <x v="413"/>
  </r>
  <r>
    <d v="2023-04-19T00:00:00"/>
    <x v="0"/>
    <x v="4"/>
    <x v="8"/>
    <x v="0"/>
    <n v="17"/>
    <x v="6"/>
    <x v="8"/>
    <n v="1793.43"/>
    <x v="414"/>
  </r>
  <r>
    <d v="2023-07-20T00:00:00"/>
    <x v="2"/>
    <x v="3"/>
    <x v="4"/>
    <x v="3"/>
    <n v="17"/>
    <x v="7"/>
    <x v="12"/>
    <n v="758.19"/>
    <x v="415"/>
  </r>
  <r>
    <d v="2023-08-16T00:00:00"/>
    <x v="0"/>
    <x v="4"/>
    <x v="8"/>
    <x v="0"/>
    <n v="18"/>
    <x v="8"/>
    <x v="24"/>
    <n v="4862.63"/>
    <x v="416"/>
  </r>
  <r>
    <d v="2023-01-30T00:00:00"/>
    <x v="0"/>
    <x v="0"/>
    <x v="10"/>
    <x v="4"/>
    <n v="20"/>
    <x v="9"/>
    <x v="21"/>
    <n v="486.25"/>
    <x v="417"/>
  </r>
  <r>
    <d v="2023-10-09T00:00:00"/>
    <x v="1"/>
    <x v="2"/>
    <x v="2"/>
    <x v="3"/>
    <n v="3"/>
    <x v="10"/>
    <x v="7"/>
    <n v="3533.3"/>
    <x v="418"/>
  </r>
  <r>
    <d v="2023-03-28T00:00:00"/>
    <x v="2"/>
    <x v="3"/>
    <x v="14"/>
    <x v="4"/>
    <n v="11"/>
    <x v="11"/>
    <x v="1"/>
    <n v="1069.3900000000001"/>
    <x v="419"/>
  </r>
  <r>
    <d v="2023-05-09T00:00:00"/>
    <x v="2"/>
    <x v="3"/>
    <x v="13"/>
    <x v="4"/>
    <n v="12"/>
    <x v="0"/>
    <x v="29"/>
    <n v="2581.09"/>
    <x v="420"/>
  </r>
  <r>
    <d v="2023-12-24T00:00:00"/>
    <x v="1"/>
    <x v="2"/>
    <x v="3"/>
    <x v="1"/>
    <n v="8"/>
    <x v="1"/>
    <x v="12"/>
    <n v="1670.31"/>
    <x v="421"/>
  </r>
  <r>
    <d v="2023-08-20T00:00:00"/>
    <x v="1"/>
    <x v="1"/>
    <x v="1"/>
    <x v="2"/>
    <n v="7"/>
    <x v="2"/>
    <x v="10"/>
    <n v="2560.5"/>
    <x v="422"/>
  </r>
  <r>
    <d v="2023-08-17T00:00:00"/>
    <x v="1"/>
    <x v="1"/>
    <x v="12"/>
    <x v="1"/>
    <n v="8"/>
    <x v="3"/>
    <x v="9"/>
    <n v="244.6"/>
    <x v="423"/>
  </r>
  <r>
    <d v="2023-09-29T00:00:00"/>
    <x v="2"/>
    <x v="3"/>
    <x v="4"/>
    <x v="4"/>
    <n v="13"/>
    <x v="4"/>
    <x v="12"/>
    <n v="4084.32"/>
    <x v="424"/>
  </r>
  <r>
    <d v="2023-11-18T00:00:00"/>
    <x v="1"/>
    <x v="2"/>
    <x v="3"/>
    <x v="0"/>
    <n v="16"/>
    <x v="5"/>
    <x v="20"/>
    <n v="1480.7"/>
    <x v="425"/>
  </r>
  <r>
    <d v="2023-03-30T00:00:00"/>
    <x v="1"/>
    <x v="2"/>
    <x v="2"/>
    <x v="0"/>
    <n v="6"/>
    <x v="6"/>
    <x v="11"/>
    <n v="1979"/>
    <x v="426"/>
  </r>
  <r>
    <d v="2023-09-19T00:00:00"/>
    <x v="1"/>
    <x v="1"/>
    <x v="7"/>
    <x v="3"/>
    <n v="18"/>
    <x v="7"/>
    <x v="30"/>
    <n v="883.32"/>
    <x v="427"/>
  </r>
  <r>
    <d v="2023-11-08T00:00:00"/>
    <x v="1"/>
    <x v="2"/>
    <x v="2"/>
    <x v="3"/>
    <n v="4"/>
    <x v="8"/>
    <x v="19"/>
    <n v="4058.48"/>
    <x v="428"/>
  </r>
  <r>
    <d v="2023-09-23T00:00:00"/>
    <x v="0"/>
    <x v="4"/>
    <x v="9"/>
    <x v="3"/>
    <n v="7"/>
    <x v="9"/>
    <x v="37"/>
    <n v="281.29000000000002"/>
    <x v="429"/>
  </r>
  <r>
    <d v="2023-07-17T00:00:00"/>
    <x v="2"/>
    <x v="3"/>
    <x v="14"/>
    <x v="0"/>
    <n v="4"/>
    <x v="10"/>
    <x v="26"/>
    <n v="2978.87"/>
    <x v="430"/>
  </r>
  <r>
    <d v="2023-05-18T00:00:00"/>
    <x v="0"/>
    <x v="0"/>
    <x v="10"/>
    <x v="2"/>
    <n v="2"/>
    <x v="11"/>
    <x v="10"/>
    <n v="2402.5700000000002"/>
    <x v="431"/>
  </r>
  <r>
    <d v="2023-09-18T00:00:00"/>
    <x v="2"/>
    <x v="3"/>
    <x v="14"/>
    <x v="4"/>
    <n v="12"/>
    <x v="0"/>
    <x v="15"/>
    <n v="1673.01"/>
    <x v="432"/>
  </r>
  <r>
    <d v="2023-05-04T00:00:00"/>
    <x v="0"/>
    <x v="0"/>
    <x v="5"/>
    <x v="2"/>
    <n v="17"/>
    <x v="1"/>
    <x v="22"/>
    <n v="2031.75"/>
    <x v="433"/>
  </r>
  <r>
    <d v="2023-09-09T00:00:00"/>
    <x v="2"/>
    <x v="3"/>
    <x v="4"/>
    <x v="4"/>
    <n v="15"/>
    <x v="2"/>
    <x v="10"/>
    <n v="4667.42"/>
    <x v="434"/>
  </r>
  <r>
    <d v="2023-12-29T00:00:00"/>
    <x v="0"/>
    <x v="0"/>
    <x v="5"/>
    <x v="4"/>
    <n v="18"/>
    <x v="3"/>
    <x v="4"/>
    <n v="2494.9499999999998"/>
    <x v="435"/>
  </r>
  <r>
    <d v="2023-12-15T00:00:00"/>
    <x v="1"/>
    <x v="1"/>
    <x v="12"/>
    <x v="2"/>
    <n v="15"/>
    <x v="4"/>
    <x v="28"/>
    <n v="4659.8"/>
    <x v="436"/>
  </r>
  <r>
    <d v="2023-03-16T00:00:00"/>
    <x v="1"/>
    <x v="2"/>
    <x v="2"/>
    <x v="3"/>
    <n v="9"/>
    <x v="5"/>
    <x v="25"/>
    <n v="1805.32"/>
    <x v="437"/>
  </r>
  <r>
    <d v="2023-04-18T00:00:00"/>
    <x v="0"/>
    <x v="4"/>
    <x v="8"/>
    <x v="3"/>
    <n v="11"/>
    <x v="6"/>
    <x v="25"/>
    <n v="4530.5600000000004"/>
    <x v="438"/>
  </r>
  <r>
    <d v="2023-07-09T00:00:00"/>
    <x v="2"/>
    <x v="3"/>
    <x v="13"/>
    <x v="2"/>
    <n v="12"/>
    <x v="7"/>
    <x v="3"/>
    <n v="4003.52"/>
    <x v="439"/>
  </r>
  <r>
    <d v="2023-03-05T00:00:00"/>
    <x v="0"/>
    <x v="0"/>
    <x v="0"/>
    <x v="3"/>
    <n v="1"/>
    <x v="8"/>
    <x v="30"/>
    <n v="3059.01"/>
    <x v="440"/>
  </r>
  <r>
    <d v="2023-04-29T00:00:00"/>
    <x v="2"/>
    <x v="3"/>
    <x v="13"/>
    <x v="0"/>
    <n v="1"/>
    <x v="9"/>
    <x v="23"/>
    <n v="4815.0600000000004"/>
    <x v="441"/>
  </r>
  <r>
    <d v="2023-12-18T00:00:00"/>
    <x v="1"/>
    <x v="1"/>
    <x v="1"/>
    <x v="3"/>
    <n v="3"/>
    <x v="10"/>
    <x v="6"/>
    <n v="1139.5899999999999"/>
    <x v="442"/>
  </r>
  <r>
    <d v="2023-03-18T00:00:00"/>
    <x v="1"/>
    <x v="1"/>
    <x v="12"/>
    <x v="1"/>
    <n v="12"/>
    <x v="11"/>
    <x v="27"/>
    <n v="596.13"/>
    <x v="443"/>
  </r>
  <r>
    <d v="2023-04-10T00:00:00"/>
    <x v="1"/>
    <x v="1"/>
    <x v="12"/>
    <x v="2"/>
    <n v="15"/>
    <x v="0"/>
    <x v="33"/>
    <n v="4262.53"/>
    <x v="444"/>
  </r>
  <r>
    <d v="2023-11-01T00:00:00"/>
    <x v="2"/>
    <x v="3"/>
    <x v="4"/>
    <x v="2"/>
    <n v="18"/>
    <x v="1"/>
    <x v="5"/>
    <n v="4059.82"/>
    <x v="445"/>
  </r>
  <r>
    <d v="2023-12-14T00:00:00"/>
    <x v="1"/>
    <x v="2"/>
    <x v="2"/>
    <x v="3"/>
    <n v="5"/>
    <x v="2"/>
    <x v="19"/>
    <n v="278.31"/>
    <x v="446"/>
  </r>
  <r>
    <d v="2023-11-14T00:00:00"/>
    <x v="2"/>
    <x v="3"/>
    <x v="4"/>
    <x v="3"/>
    <n v="5"/>
    <x v="3"/>
    <x v="25"/>
    <n v="2423.83"/>
    <x v="447"/>
  </r>
  <r>
    <d v="2023-06-30T00:00:00"/>
    <x v="0"/>
    <x v="4"/>
    <x v="8"/>
    <x v="4"/>
    <n v="8"/>
    <x v="4"/>
    <x v="29"/>
    <n v="1916.14"/>
    <x v="448"/>
  </r>
  <r>
    <d v="2023-10-31T00:00:00"/>
    <x v="2"/>
    <x v="3"/>
    <x v="4"/>
    <x v="3"/>
    <n v="14"/>
    <x v="5"/>
    <x v="21"/>
    <n v="1598.93"/>
    <x v="449"/>
  </r>
  <r>
    <d v="2023-09-05T00:00:00"/>
    <x v="0"/>
    <x v="0"/>
    <x v="5"/>
    <x v="3"/>
    <n v="20"/>
    <x v="6"/>
    <x v="8"/>
    <n v="3474.05"/>
    <x v="450"/>
  </r>
  <r>
    <d v="2023-03-02T00:00:00"/>
    <x v="0"/>
    <x v="0"/>
    <x v="5"/>
    <x v="2"/>
    <n v="18"/>
    <x v="7"/>
    <x v="4"/>
    <n v="1306.19"/>
    <x v="451"/>
  </r>
  <r>
    <d v="2023-08-24T00:00:00"/>
    <x v="1"/>
    <x v="1"/>
    <x v="1"/>
    <x v="4"/>
    <n v="1"/>
    <x v="8"/>
    <x v="16"/>
    <n v="2710.27"/>
    <x v="452"/>
  </r>
  <r>
    <d v="2023-04-12T00:00:00"/>
    <x v="0"/>
    <x v="4"/>
    <x v="11"/>
    <x v="3"/>
    <n v="19"/>
    <x v="9"/>
    <x v="31"/>
    <n v="713.8"/>
    <x v="453"/>
  </r>
  <r>
    <d v="2023-04-22T00:00:00"/>
    <x v="0"/>
    <x v="4"/>
    <x v="8"/>
    <x v="1"/>
    <n v="6"/>
    <x v="10"/>
    <x v="33"/>
    <n v="1016.27"/>
    <x v="454"/>
  </r>
  <r>
    <d v="2023-08-10T00:00:00"/>
    <x v="2"/>
    <x v="3"/>
    <x v="14"/>
    <x v="1"/>
    <n v="17"/>
    <x v="11"/>
    <x v="17"/>
    <n v="1645.97"/>
    <x v="455"/>
  </r>
  <r>
    <d v="2023-10-21T00:00:00"/>
    <x v="1"/>
    <x v="1"/>
    <x v="1"/>
    <x v="2"/>
    <n v="13"/>
    <x v="0"/>
    <x v="13"/>
    <n v="1976.63"/>
    <x v="456"/>
  </r>
  <r>
    <d v="2023-03-11T00:00:00"/>
    <x v="0"/>
    <x v="0"/>
    <x v="0"/>
    <x v="1"/>
    <n v="20"/>
    <x v="1"/>
    <x v="27"/>
    <n v="1222.92"/>
    <x v="457"/>
  </r>
  <r>
    <d v="2023-07-13T00:00:00"/>
    <x v="1"/>
    <x v="2"/>
    <x v="6"/>
    <x v="4"/>
    <n v="9"/>
    <x v="2"/>
    <x v="29"/>
    <n v="491.64"/>
    <x v="458"/>
  </r>
  <r>
    <d v="2023-03-11T00:00:00"/>
    <x v="0"/>
    <x v="0"/>
    <x v="10"/>
    <x v="2"/>
    <n v="5"/>
    <x v="3"/>
    <x v="5"/>
    <n v="2583.81"/>
    <x v="459"/>
  </r>
  <r>
    <d v="2023-10-30T00:00:00"/>
    <x v="0"/>
    <x v="0"/>
    <x v="0"/>
    <x v="1"/>
    <n v="5"/>
    <x v="4"/>
    <x v="27"/>
    <n v="3288.58"/>
    <x v="460"/>
  </r>
  <r>
    <d v="2023-12-02T00:00:00"/>
    <x v="1"/>
    <x v="1"/>
    <x v="7"/>
    <x v="1"/>
    <n v="3"/>
    <x v="5"/>
    <x v="35"/>
    <n v="3445.08"/>
    <x v="461"/>
  </r>
  <r>
    <d v="2023-12-31T00:00:00"/>
    <x v="0"/>
    <x v="0"/>
    <x v="10"/>
    <x v="0"/>
    <n v="10"/>
    <x v="6"/>
    <x v="25"/>
    <n v="3806.67"/>
    <x v="462"/>
  </r>
  <r>
    <d v="2023-08-24T00:00:00"/>
    <x v="0"/>
    <x v="4"/>
    <x v="8"/>
    <x v="4"/>
    <n v="16"/>
    <x v="7"/>
    <x v="21"/>
    <n v="796.69"/>
    <x v="463"/>
  </r>
  <r>
    <d v="2023-02-12T00:00:00"/>
    <x v="2"/>
    <x v="3"/>
    <x v="14"/>
    <x v="3"/>
    <n v="1"/>
    <x v="8"/>
    <x v="8"/>
    <n v="2489.17"/>
    <x v="464"/>
  </r>
  <r>
    <d v="2023-08-08T00:00:00"/>
    <x v="0"/>
    <x v="0"/>
    <x v="0"/>
    <x v="4"/>
    <n v="6"/>
    <x v="9"/>
    <x v="8"/>
    <n v="1701.04"/>
    <x v="465"/>
  </r>
  <r>
    <d v="2023-04-12T00:00:00"/>
    <x v="2"/>
    <x v="3"/>
    <x v="4"/>
    <x v="2"/>
    <n v="5"/>
    <x v="10"/>
    <x v="4"/>
    <n v="143.78"/>
    <x v="466"/>
  </r>
  <r>
    <d v="2023-11-26T00:00:00"/>
    <x v="0"/>
    <x v="0"/>
    <x v="5"/>
    <x v="4"/>
    <n v="20"/>
    <x v="11"/>
    <x v="0"/>
    <n v="1260.25"/>
    <x v="467"/>
  </r>
  <r>
    <d v="2023-02-12T00:00:00"/>
    <x v="0"/>
    <x v="0"/>
    <x v="10"/>
    <x v="2"/>
    <n v="18"/>
    <x v="0"/>
    <x v="26"/>
    <n v="3040.28"/>
    <x v="468"/>
  </r>
  <r>
    <d v="2023-06-20T00:00:00"/>
    <x v="0"/>
    <x v="4"/>
    <x v="8"/>
    <x v="4"/>
    <n v="4"/>
    <x v="1"/>
    <x v="14"/>
    <n v="3561.12"/>
    <x v="469"/>
  </r>
  <r>
    <d v="2023-12-19T00:00:00"/>
    <x v="0"/>
    <x v="0"/>
    <x v="0"/>
    <x v="4"/>
    <n v="19"/>
    <x v="2"/>
    <x v="7"/>
    <n v="3718.59"/>
    <x v="470"/>
  </r>
  <r>
    <d v="2023-01-14T00:00:00"/>
    <x v="2"/>
    <x v="3"/>
    <x v="13"/>
    <x v="3"/>
    <n v="12"/>
    <x v="3"/>
    <x v="8"/>
    <n v="4011.85"/>
    <x v="471"/>
  </r>
  <r>
    <d v="2023-04-17T00:00:00"/>
    <x v="2"/>
    <x v="3"/>
    <x v="13"/>
    <x v="4"/>
    <n v="13"/>
    <x v="4"/>
    <x v="34"/>
    <n v="4542.74"/>
    <x v="472"/>
  </r>
  <r>
    <d v="2023-06-17T00:00:00"/>
    <x v="1"/>
    <x v="2"/>
    <x v="3"/>
    <x v="1"/>
    <n v="15"/>
    <x v="5"/>
    <x v="24"/>
    <n v="3048.36"/>
    <x v="473"/>
  </r>
  <r>
    <d v="2023-03-19T00:00:00"/>
    <x v="1"/>
    <x v="2"/>
    <x v="2"/>
    <x v="3"/>
    <n v="4"/>
    <x v="6"/>
    <x v="8"/>
    <n v="366.33"/>
    <x v="474"/>
  </r>
  <r>
    <d v="2023-01-14T00:00:00"/>
    <x v="2"/>
    <x v="3"/>
    <x v="13"/>
    <x v="2"/>
    <n v="9"/>
    <x v="7"/>
    <x v="22"/>
    <n v="3137.87"/>
    <x v="475"/>
  </r>
  <r>
    <d v="2023-10-28T00:00:00"/>
    <x v="2"/>
    <x v="3"/>
    <x v="13"/>
    <x v="1"/>
    <n v="12"/>
    <x v="8"/>
    <x v="3"/>
    <n v="225.88"/>
    <x v="476"/>
  </r>
  <r>
    <d v="2023-08-30T00:00:00"/>
    <x v="1"/>
    <x v="2"/>
    <x v="6"/>
    <x v="2"/>
    <n v="11"/>
    <x v="9"/>
    <x v="34"/>
    <n v="920.95"/>
    <x v="477"/>
  </r>
  <r>
    <d v="2023-05-12T00:00:00"/>
    <x v="2"/>
    <x v="3"/>
    <x v="14"/>
    <x v="2"/>
    <n v="16"/>
    <x v="10"/>
    <x v="25"/>
    <n v="2991.84"/>
    <x v="478"/>
  </r>
  <r>
    <d v="2023-08-03T00:00:00"/>
    <x v="2"/>
    <x v="3"/>
    <x v="4"/>
    <x v="0"/>
    <n v="18"/>
    <x v="11"/>
    <x v="36"/>
    <n v="3287.05"/>
    <x v="479"/>
  </r>
  <r>
    <d v="2023-11-23T00:00:00"/>
    <x v="1"/>
    <x v="1"/>
    <x v="7"/>
    <x v="2"/>
    <n v="12"/>
    <x v="0"/>
    <x v="13"/>
    <n v="1748.6"/>
    <x v="480"/>
  </r>
  <r>
    <d v="2023-07-25T00:00:00"/>
    <x v="1"/>
    <x v="1"/>
    <x v="7"/>
    <x v="1"/>
    <n v="10"/>
    <x v="1"/>
    <x v="4"/>
    <n v="159.27000000000001"/>
    <x v="481"/>
  </r>
  <r>
    <d v="2023-10-01T00:00:00"/>
    <x v="0"/>
    <x v="4"/>
    <x v="11"/>
    <x v="1"/>
    <n v="20"/>
    <x v="2"/>
    <x v="2"/>
    <n v="4712.75"/>
    <x v="482"/>
  </r>
  <r>
    <d v="2023-07-25T00:00:00"/>
    <x v="1"/>
    <x v="2"/>
    <x v="2"/>
    <x v="0"/>
    <n v="12"/>
    <x v="3"/>
    <x v="32"/>
    <n v="2821.2"/>
    <x v="483"/>
  </r>
  <r>
    <d v="2023-07-07T00:00:00"/>
    <x v="1"/>
    <x v="2"/>
    <x v="6"/>
    <x v="2"/>
    <n v="20"/>
    <x v="4"/>
    <x v="21"/>
    <n v="3891.28"/>
    <x v="484"/>
  </r>
  <r>
    <d v="2023-06-03T00:00:00"/>
    <x v="0"/>
    <x v="0"/>
    <x v="5"/>
    <x v="1"/>
    <n v="16"/>
    <x v="5"/>
    <x v="19"/>
    <n v="3599.32"/>
    <x v="485"/>
  </r>
  <r>
    <d v="2023-02-11T00:00:00"/>
    <x v="0"/>
    <x v="4"/>
    <x v="9"/>
    <x v="0"/>
    <n v="20"/>
    <x v="6"/>
    <x v="3"/>
    <n v="633.87"/>
    <x v="486"/>
  </r>
  <r>
    <d v="2023-11-27T00:00:00"/>
    <x v="0"/>
    <x v="4"/>
    <x v="9"/>
    <x v="4"/>
    <n v="1"/>
    <x v="7"/>
    <x v="33"/>
    <n v="983.24"/>
    <x v="487"/>
  </r>
  <r>
    <d v="2023-07-12T00:00:00"/>
    <x v="1"/>
    <x v="2"/>
    <x v="3"/>
    <x v="4"/>
    <n v="9"/>
    <x v="8"/>
    <x v="5"/>
    <n v="2427.88"/>
    <x v="488"/>
  </r>
  <r>
    <d v="2023-11-23T00:00:00"/>
    <x v="1"/>
    <x v="1"/>
    <x v="7"/>
    <x v="1"/>
    <n v="16"/>
    <x v="9"/>
    <x v="35"/>
    <n v="2600.48"/>
    <x v="489"/>
  </r>
  <r>
    <d v="2023-03-28T00:00:00"/>
    <x v="2"/>
    <x v="3"/>
    <x v="4"/>
    <x v="4"/>
    <n v="1"/>
    <x v="10"/>
    <x v="7"/>
    <n v="1967.8"/>
    <x v="490"/>
  </r>
  <r>
    <d v="2023-08-03T00:00:00"/>
    <x v="0"/>
    <x v="0"/>
    <x v="0"/>
    <x v="3"/>
    <n v="14"/>
    <x v="11"/>
    <x v="5"/>
    <n v="2918.42"/>
    <x v="491"/>
  </r>
  <r>
    <d v="2023-12-07T00:00:00"/>
    <x v="2"/>
    <x v="3"/>
    <x v="14"/>
    <x v="3"/>
    <n v="20"/>
    <x v="0"/>
    <x v="22"/>
    <n v="4821.82"/>
    <x v="492"/>
  </r>
  <r>
    <d v="2023-12-27T00:00:00"/>
    <x v="0"/>
    <x v="0"/>
    <x v="10"/>
    <x v="0"/>
    <n v="11"/>
    <x v="1"/>
    <x v="9"/>
    <n v="923.59"/>
    <x v="493"/>
  </r>
  <r>
    <d v="2023-04-12T00:00:00"/>
    <x v="2"/>
    <x v="3"/>
    <x v="4"/>
    <x v="3"/>
    <n v="1"/>
    <x v="2"/>
    <x v="37"/>
    <n v="1410.8"/>
    <x v="494"/>
  </r>
  <r>
    <d v="2023-03-18T00:00:00"/>
    <x v="1"/>
    <x v="2"/>
    <x v="3"/>
    <x v="1"/>
    <n v="16"/>
    <x v="3"/>
    <x v="3"/>
    <n v="874.99"/>
    <x v="495"/>
  </r>
  <r>
    <d v="2023-09-03T00:00:00"/>
    <x v="2"/>
    <x v="3"/>
    <x v="14"/>
    <x v="4"/>
    <n v="5"/>
    <x v="4"/>
    <x v="23"/>
    <n v="4165.41"/>
    <x v="496"/>
  </r>
  <r>
    <d v="2023-01-14T00:00:00"/>
    <x v="1"/>
    <x v="2"/>
    <x v="3"/>
    <x v="3"/>
    <n v="2"/>
    <x v="5"/>
    <x v="1"/>
    <n v="3072.48"/>
    <x v="497"/>
  </r>
  <r>
    <d v="2023-09-30T00:00:00"/>
    <x v="0"/>
    <x v="4"/>
    <x v="11"/>
    <x v="1"/>
    <n v="11"/>
    <x v="6"/>
    <x v="8"/>
    <n v="793.45"/>
    <x v="498"/>
  </r>
  <r>
    <d v="2023-07-17T00:00:00"/>
    <x v="2"/>
    <x v="3"/>
    <x v="13"/>
    <x v="0"/>
    <n v="3"/>
    <x v="7"/>
    <x v="25"/>
    <n v="2040.38"/>
    <x v="499"/>
  </r>
  <r>
    <d v="2023-02-28T00:00:00"/>
    <x v="0"/>
    <x v="0"/>
    <x v="0"/>
    <x v="2"/>
    <n v="4"/>
    <x v="8"/>
    <x v="5"/>
    <n v="1080.1600000000001"/>
    <x v="500"/>
  </r>
  <r>
    <d v="2023-07-22T00:00:00"/>
    <x v="0"/>
    <x v="0"/>
    <x v="0"/>
    <x v="1"/>
    <n v="20"/>
    <x v="9"/>
    <x v="14"/>
    <n v="2631.58"/>
    <x v="501"/>
  </r>
  <r>
    <d v="2023-03-02T00:00:00"/>
    <x v="0"/>
    <x v="4"/>
    <x v="8"/>
    <x v="1"/>
    <n v="18"/>
    <x v="10"/>
    <x v="38"/>
    <n v="1164.29"/>
    <x v="502"/>
  </r>
  <r>
    <d v="2023-11-27T00:00:00"/>
    <x v="0"/>
    <x v="0"/>
    <x v="10"/>
    <x v="0"/>
    <n v="6"/>
    <x v="11"/>
    <x v="32"/>
    <n v="177.34"/>
    <x v="503"/>
  </r>
  <r>
    <d v="2023-12-19T00:00:00"/>
    <x v="0"/>
    <x v="0"/>
    <x v="0"/>
    <x v="1"/>
    <n v="20"/>
    <x v="0"/>
    <x v="24"/>
    <n v="1507.52"/>
    <x v="504"/>
  </r>
  <r>
    <d v="2023-05-27T00:00:00"/>
    <x v="0"/>
    <x v="0"/>
    <x v="10"/>
    <x v="0"/>
    <n v="10"/>
    <x v="1"/>
    <x v="34"/>
    <n v="938.57"/>
    <x v="505"/>
  </r>
  <r>
    <d v="2023-04-27T00:00:00"/>
    <x v="1"/>
    <x v="1"/>
    <x v="1"/>
    <x v="0"/>
    <n v="18"/>
    <x v="2"/>
    <x v="35"/>
    <n v="1156.17"/>
    <x v="506"/>
  </r>
  <r>
    <d v="2023-10-26T00:00:00"/>
    <x v="0"/>
    <x v="0"/>
    <x v="0"/>
    <x v="0"/>
    <n v="4"/>
    <x v="3"/>
    <x v="24"/>
    <n v="4386.54"/>
    <x v="507"/>
  </r>
  <r>
    <d v="2023-11-15T00:00:00"/>
    <x v="2"/>
    <x v="3"/>
    <x v="13"/>
    <x v="1"/>
    <n v="6"/>
    <x v="4"/>
    <x v="16"/>
    <n v="3175.44"/>
    <x v="508"/>
  </r>
  <r>
    <d v="2023-04-28T00:00:00"/>
    <x v="0"/>
    <x v="0"/>
    <x v="5"/>
    <x v="2"/>
    <n v="12"/>
    <x v="5"/>
    <x v="21"/>
    <n v="992.16"/>
    <x v="509"/>
  </r>
  <r>
    <d v="2023-10-10T00:00:00"/>
    <x v="0"/>
    <x v="0"/>
    <x v="5"/>
    <x v="1"/>
    <n v="15"/>
    <x v="6"/>
    <x v="0"/>
    <n v="2148.0100000000002"/>
    <x v="510"/>
  </r>
  <r>
    <d v="2023-01-10T00:00:00"/>
    <x v="1"/>
    <x v="2"/>
    <x v="3"/>
    <x v="4"/>
    <n v="11"/>
    <x v="7"/>
    <x v="6"/>
    <n v="2491.8000000000002"/>
    <x v="511"/>
  </r>
  <r>
    <d v="2023-01-14T00:00:00"/>
    <x v="1"/>
    <x v="2"/>
    <x v="2"/>
    <x v="4"/>
    <n v="14"/>
    <x v="8"/>
    <x v="9"/>
    <n v="1293.27"/>
    <x v="512"/>
  </r>
  <r>
    <d v="2023-02-01T00:00:00"/>
    <x v="0"/>
    <x v="4"/>
    <x v="8"/>
    <x v="3"/>
    <n v="17"/>
    <x v="9"/>
    <x v="18"/>
    <n v="1356.25"/>
    <x v="513"/>
  </r>
  <r>
    <d v="2023-02-27T00:00:00"/>
    <x v="0"/>
    <x v="0"/>
    <x v="5"/>
    <x v="0"/>
    <n v="2"/>
    <x v="10"/>
    <x v="29"/>
    <n v="2875.84"/>
    <x v="514"/>
  </r>
  <r>
    <d v="2023-05-08T00:00:00"/>
    <x v="0"/>
    <x v="4"/>
    <x v="8"/>
    <x v="4"/>
    <n v="3"/>
    <x v="11"/>
    <x v="30"/>
    <n v="3861.09"/>
    <x v="515"/>
  </r>
  <r>
    <d v="2023-10-08T00:00:00"/>
    <x v="0"/>
    <x v="0"/>
    <x v="10"/>
    <x v="1"/>
    <n v="19"/>
    <x v="0"/>
    <x v="3"/>
    <n v="182.01"/>
    <x v="516"/>
  </r>
  <r>
    <d v="2023-01-06T00:00:00"/>
    <x v="1"/>
    <x v="2"/>
    <x v="2"/>
    <x v="0"/>
    <n v="2"/>
    <x v="1"/>
    <x v="12"/>
    <n v="1582.65"/>
    <x v="517"/>
  </r>
  <r>
    <d v="2023-12-22T00:00:00"/>
    <x v="2"/>
    <x v="3"/>
    <x v="4"/>
    <x v="1"/>
    <n v="12"/>
    <x v="2"/>
    <x v="0"/>
    <n v="538.91"/>
    <x v="518"/>
  </r>
  <r>
    <d v="2023-04-24T00:00:00"/>
    <x v="0"/>
    <x v="0"/>
    <x v="5"/>
    <x v="4"/>
    <n v="19"/>
    <x v="3"/>
    <x v="28"/>
    <n v="4943.6899999999996"/>
    <x v="519"/>
  </r>
  <r>
    <d v="2023-05-30T00:00:00"/>
    <x v="1"/>
    <x v="2"/>
    <x v="6"/>
    <x v="0"/>
    <n v="1"/>
    <x v="4"/>
    <x v="26"/>
    <n v="2664.84"/>
    <x v="520"/>
  </r>
  <r>
    <d v="2023-05-28T00:00:00"/>
    <x v="0"/>
    <x v="4"/>
    <x v="8"/>
    <x v="2"/>
    <n v="5"/>
    <x v="5"/>
    <x v="16"/>
    <n v="877.62"/>
    <x v="521"/>
  </r>
  <r>
    <d v="2023-05-13T00:00:00"/>
    <x v="0"/>
    <x v="4"/>
    <x v="9"/>
    <x v="1"/>
    <n v="3"/>
    <x v="6"/>
    <x v="29"/>
    <n v="4059.76"/>
    <x v="522"/>
  </r>
  <r>
    <d v="2023-10-01T00:00:00"/>
    <x v="0"/>
    <x v="0"/>
    <x v="5"/>
    <x v="3"/>
    <n v="16"/>
    <x v="7"/>
    <x v="37"/>
    <n v="3988.32"/>
    <x v="523"/>
  </r>
  <r>
    <d v="2023-11-11T00:00:00"/>
    <x v="0"/>
    <x v="4"/>
    <x v="11"/>
    <x v="3"/>
    <n v="16"/>
    <x v="8"/>
    <x v="6"/>
    <n v="1023.78"/>
    <x v="524"/>
  </r>
  <r>
    <d v="2023-01-04T00:00:00"/>
    <x v="0"/>
    <x v="4"/>
    <x v="11"/>
    <x v="4"/>
    <n v="4"/>
    <x v="9"/>
    <x v="31"/>
    <n v="1027.32"/>
    <x v="525"/>
  </r>
  <r>
    <d v="2023-09-25T00:00:00"/>
    <x v="0"/>
    <x v="0"/>
    <x v="5"/>
    <x v="1"/>
    <n v="7"/>
    <x v="10"/>
    <x v="36"/>
    <n v="392.9"/>
    <x v="526"/>
  </r>
  <r>
    <d v="2023-04-24T00:00:00"/>
    <x v="1"/>
    <x v="1"/>
    <x v="1"/>
    <x v="1"/>
    <n v="7"/>
    <x v="11"/>
    <x v="28"/>
    <n v="1590.73"/>
    <x v="527"/>
  </r>
  <r>
    <d v="2023-11-27T00:00:00"/>
    <x v="1"/>
    <x v="1"/>
    <x v="1"/>
    <x v="1"/>
    <n v="8"/>
    <x v="0"/>
    <x v="17"/>
    <n v="3120.6"/>
    <x v="528"/>
  </r>
  <r>
    <d v="2023-11-27T00:00:00"/>
    <x v="1"/>
    <x v="1"/>
    <x v="1"/>
    <x v="0"/>
    <n v="7"/>
    <x v="1"/>
    <x v="17"/>
    <n v="633.15"/>
    <x v="529"/>
  </r>
  <r>
    <d v="2023-10-27T00:00:00"/>
    <x v="1"/>
    <x v="2"/>
    <x v="6"/>
    <x v="1"/>
    <n v="1"/>
    <x v="2"/>
    <x v="11"/>
    <n v="4443.22"/>
    <x v="530"/>
  </r>
  <r>
    <d v="2023-05-12T00:00:00"/>
    <x v="2"/>
    <x v="3"/>
    <x v="13"/>
    <x v="1"/>
    <n v="16"/>
    <x v="3"/>
    <x v="30"/>
    <n v="199.87"/>
    <x v="531"/>
  </r>
  <r>
    <d v="2023-04-06T00:00:00"/>
    <x v="0"/>
    <x v="4"/>
    <x v="11"/>
    <x v="2"/>
    <n v="3"/>
    <x v="4"/>
    <x v="38"/>
    <n v="1129.83"/>
    <x v="532"/>
  </r>
  <r>
    <d v="2023-05-09T00:00:00"/>
    <x v="1"/>
    <x v="1"/>
    <x v="12"/>
    <x v="1"/>
    <n v="16"/>
    <x v="5"/>
    <x v="4"/>
    <n v="502.59"/>
    <x v="533"/>
  </r>
  <r>
    <d v="2023-08-20T00:00:00"/>
    <x v="0"/>
    <x v="4"/>
    <x v="11"/>
    <x v="2"/>
    <n v="17"/>
    <x v="6"/>
    <x v="22"/>
    <n v="1217.48"/>
    <x v="534"/>
  </r>
  <r>
    <d v="2023-01-06T00:00:00"/>
    <x v="2"/>
    <x v="3"/>
    <x v="14"/>
    <x v="0"/>
    <n v="6"/>
    <x v="7"/>
    <x v="16"/>
    <n v="4673.01"/>
    <x v="535"/>
  </r>
  <r>
    <d v="2023-03-21T00:00:00"/>
    <x v="0"/>
    <x v="0"/>
    <x v="10"/>
    <x v="0"/>
    <n v="19"/>
    <x v="8"/>
    <x v="37"/>
    <n v="4229.42"/>
    <x v="536"/>
  </r>
  <r>
    <d v="2023-08-25T00:00:00"/>
    <x v="0"/>
    <x v="0"/>
    <x v="0"/>
    <x v="0"/>
    <n v="16"/>
    <x v="9"/>
    <x v="5"/>
    <n v="3580.79"/>
    <x v="537"/>
  </r>
  <r>
    <d v="2023-04-21T00:00:00"/>
    <x v="2"/>
    <x v="3"/>
    <x v="14"/>
    <x v="1"/>
    <n v="5"/>
    <x v="10"/>
    <x v="2"/>
    <n v="3181.48"/>
    <x v="538"/>
  </r>
  <r>
    <d v="2023-05-30T00:00:00"/>
    <x v="1"/>
    <x v="1"/>
    <x v="1"/>
    <x v="3"/>
    <n v="8"/>
    <x v="11"/>
    <x v="8"/>
    <n v="659.36"/>
    <x v="539"/>
  </r>
  <r>
    <d v="2023-07-03T00:00:00"/>
    <x v="2"/>
    <x v="3"/>
    <x v="4"/>
    <x v="1"/>
    <n v="17"/>
    <x v="0"/>
    <x v="14"/>
    <n v="2045.39"/>
    <x v="540"/>
  </r>
  <r>
    <d v="2023-08-21T00:00:00"/>
    <x v="1"/>
    <x v="2"/>
    <x v="2"/>
    <x v="2"/>
    <n v="7"/>
    <x v="1"/>
    <x v="21"/>
    <n v="711.35"/>
    <x v="541"/>
  </r>
  <r>
    <d v="2023-01-04T00:00:00"/>
    <x v="1"/>
    <x v="2"/>
    <x v="3"/>
    <x v="4"/>
    <n v="13"/>
    <x v="2"/>
    <x v="7"/>
    <n v="2913.56"/>
    <x v="542"/>
  </r>
  <r>
    <d v="2023-03-31T00:00:00"/>
    <x v="1"/>
    <x v="2"/>
    <x v="3"/>
    <x v="3"/>
    <n v="4"/>
    <x v="3"/>
    <x v="22"/>
    <n v="2701.93"/>
    <x v="543"/>
  </r>
  <r>
    <d v="2023-10-02T00:00:00"/>
    <x v="2"/>
    <x v="3"/>
    <x v="14"/>
    <x v="0"/>
    <n v="11"/>
    <x v="4"/>
    <x v="25"/>
    <n v="124.03"/>
    <x v="544"/>
  </r>
  <r>
    <d v="2023-07-06T00:00:00"/>
    <x v="0"/>
    <x v="0"/>
    <x v="5"/>
    <x v="4"/>
    <n v="15"/>
    <x v="5"/>
    <x v="27"/>
    <n v="2551.6"/>
    <x v="545"/>
  </r>
  <r>
    <d v="2023-01-23T00:00:00"/>
    <x v="0"/>
    <x v="0"/>
    <x v="0"/>
    <x v="3"/>
    <n v="8"/>
    <x v="6"/>
    <x v="25"/>
    <n v="1412.48"/>
    <x v="546"/>
  </r>
  <r>
    <d v="2023-05-10T00:00:00"/>
    <x v="0"/>
    <x v="0"/>
    <x v="0"/>
    <x v="1"/>
    <n v="18"/>
    <x v="7"/>
    <x v="18"/>
    <n v="2074.52"/>
    <x v="547"/>
  </r>
  <r>
    <d v="2023-02-28T00:00:00"/>
    <x v="1"/>
    <x v="2"/>
    <x v="6"/>
    <x v="0"/>
    <n v="14"/>
    <x v="8"/>
    <x v="16"/>
    <n v="4009.33"/>
    <x v="548"/>
  </r>
  <r>
    <d v="2023-10-07T00:00:00"/>
    <x v="0"/>
    <x v="4"/>
    <x v="8"/>
    <x v="1"/>
    <n v="2"/>
    <x v="9"/>
    <x v="14"/>
    <n v="4664.91"/>
    <x v="549"/>
  </r>
  <r>
    <d v="2023-03-07T00:00:00"/>
    <x v="0"/>
    <x v="0"/>
    <x v="10"/>
    <x v="1"/>
    <n v="17"/>
    <x v="10"/>
    <x v="32"/>
    <n v="1759.91"/>
    <x v="550"/>
  </r>
  <r>
    <d v="2023-04-28T00:00:00"/>
    <x v="1"/>
    <x v="1"/>
    <x v="1"/>
    <x v="2"/>
    <n v="9"/>
    <x v="11"/>
    <x v="2"/>
    <n v="4485.21"/>
    <x v="551"/>
  </r>
  <r>
    <d v="2023-08-26T00:00:00"/>
    <x v="0"/>
    <x v="0"/>
    <x v="0"/>
    <x v="4"/>
    <n v="4"/>
    <x v="0"/>
    <x v="33"/>
    <n v="1788.95"/>
    <x v="552"/>
  </r>
  <r>
    <d v="2023-09-08T00:00:00"/>
    <x v="0"/>
    <x v="4"/>
    <x v="11"/>
    <x v="0"/>
    <n v="15"/>
    <x v="1"/>
    <x v="35"/>
    <n v="916.75"/>
    <x v="553"/>
  </r>
  <r>
    <d v="2023-04-27T00:00:00"/>
    <x v="2"/>
    <x v="3"/>
    <x v="13"/>
    <x v="0"/>
    <n v="13"/>
    <x v="2"/>
    <x v="25"/>
    <n v="2327.81"/>
    <x v="554"/>
  </r>
  <r>
    <d v="2023-02-11T00:00:00"/>
    <x v="0"/>
    <x v="0"/>
    <x v="0"/>
    <x v="4"/>
    <n v="16"/>
    <x v="3"/>
    <x v="30"/>
    <n v="2954.32"/>
    <x v="555"/>
  </r>
  <r>
    <d v="2023-04-25T00:00:00"/>
    <x v="1"/>
    <x v="2"/>
    <x v="6"/>
    <x v="0"/>
    <n v="14"/>
    <x v="4"/>
    <x v="35"/>
    <n v="4935.34"/>
    <x v="556"/>
  </r>
  <r>
    <d v="2023-05-17T00:00:00"/>
    <x v="1"/>
    <x v="1"/>
    <x v="12"/>
    <x v="0"/>
    <n v="2"/>
    <x v="5"/>
    <x v="37"/>
    <n v="1063.3499999999999"/>
    <x v="557"/>
  </r>
  <r>
    <d v="2023-06-21T00:00:00"/>
    <x v="0"/>
    <x v="0"/>
    <x v="10"/>
    <x v="4"/>
    <n v="7"/>
    <x v="6"/>
    <x v="8"/>
    <n v="859.87"/>
    <x v="558"/>
  </r>
  <r>
    <d v="2023-05-28T00:00:00"/>
    <x v="1"/>
    <x v="2"/>
    <x v="2"/>
    <x v="2"/>
    <n v="10"/>
    <x v="7"/>
    <x v="36"/>
    <n v="4413.5"/>
    <x v="559"/>
  </r>
  <r>
    <d v="2023-05-12T00:00:00"/>
    <x v="0"/>
    <x v="4"/>
    <x v="9"/>
    <x v="2"/>
    <n v="12"/>
    <x v="8"/>
    <x v="11"/>
    <n v="2438.6799999999998"/>
    <x v="560"/>
  </r>
  <r>
    <d v="2023-10-20T00:00:00"/>
    <x v="2"/>
    <x v="3"/>
    <x v="14"/>
    <x v="0"/>
    <n v="5"/>
    <x v="9"/>
    <x v="12"/>
    <n v="214.25"/>
    <x v="561"/>
  </r>
  <r>
    <d v="2023-10-11T00:00:00"/>
    <x v="1"/>
    <x v="1"/>
    <x v="12"/>
    <x v="3"/>
    <n v="9"/>
    <x v="10"/>
    <x v="5"/>
    <n v="3193.9"/>
    <x v="562"/>
  </r>
  <r>
    <d v="2023-11-19T00:00:00"/>
    <x v="0"/>
    <x v="0"/>
    <x v="0"/>
    <x v="3"/>
    <n v="15"/>
    <x v="11"/>
    <x v="10"/>
    <n v="4785.6099999999997"/>
    <x v="563"/>
  </r>
  <r>
    <d v="2023-07-10T00:00:00"/>
    <x v="2"/>
    <x v="3"/>
    <x v="4"/>
    <x v="4"/>
    <n v="8"/>
    <x v="0"/>
    <x v="11"/>
    <n v="2606.36"/>
    <x v="564"/>
  </r>
  <r>
    <d v="2023-09-17T00:00:00"/>
    <x v="2"/>
    <x v="3"/>
    <x v="14"/>
    <x v="1"/>
    <n v="18"/>
    <x v="1"/>
    <x v="9"/>
    <n v="1986.52"/>
    <x v="565"/>
  </r>
  <r>
    <d v="2023-02-23T00:00:00"/>
    <x v="0"/>
    <x v="0"/>
    <x v="5"/>
    <x v="3"/>
    <n v="4"/>
    <x v="2"/>
    <x v="6"/>
    <n v="4245.67"/>
    <x v="566"/>
  </r>
  <r>
    <d v="2023-06-29T00:00:00"/>
    <x v="0"/>
    <x v="4"/>
    <x v="8"/>
    <x v="2"/>
    <n v="14"/>
    <x v="3"/>
    <x v="4"/>
    <n v="283.7"/>
    <x v="567"/>
  </r>
  <r>
    <d v="2023-10-24T00:00:00"/>
    <x v="0"/>
    <x v="0"/>
    <x v="10"/>
    <x v="0"/>
    <n v="2"/>
    <x v="4"/>
    <x v="30"/>
    <n v="3753.37"/>
    <x v="568"/>
  </r>
  <r>
    <d v="2023-04-22T00:00:00"/>
    <x v="1"/>
    <x v="1"/>
    <x v="1"/>
    <x v="4"/>
    <n v="5"/>
    <x v="5"/>
    <x v="10"/>
    <n v="1566.04"/>
    <x v="569"/>
  </r>
  <r>
    <d v="2023-07-22T00:00:00"/>
    <x v="2"/>
    <x v="3"/>
    <x v="14"/>
    <x v="3"/>
    <n v="19"/>
    <x v="6"/>
    <x v="37"/>
    <n v="3694.62"/>
    <x v="570"/>
  </r>
  <r>
    <d v="2023-09-26T00:00:00"/>
    <x v="1"/>
    <x v="1"/>
    <x v="7"/>
    <x v="3"/>
    <n v="15"/>
    <x v="7"/>
    <x v="37"/>
    <n v="413.63"/>
    <x v="571"/>
  </r>
  <r>
    <d v="2023-12-23T00:00:00"/>
    <x v="0"/>
    <x v="0"/>
    <x v="5"/>
    <x v="1"/>
    <n v="10"/>
    <x v="8"/>
    <x v="8"/>
    <n v="3907.49"/>
    <x v="572"/>
  </r>
  <r>
    <d v="2023-03-07T00:00:00"/>
    <x v="0"/>
    <x v="0"/>
    <x v="0"/>
    <x v="3"/>
    <n v="14"/>
    <x v="9"/>
    <x v="9"/>
    <n v="3259.64"/>
    <x v="573"/>
  </r>
  <r>
    <d v="2023-10-01T00:00:00"/>
    <x v="1"/>
    <x v="2"/>
    <x v="2"/>
    <x v="0"/>
    <n v="4"/>
    <x v="10"/>
    <x v="20"/>
    <n v="637.89"/>
    <x v="574"/>
  </r>
  <r>
    <d v="2023-12-22T00:00:00"/>
    <x v="1"/>
    <x v="2"/>
    <x v="2"/>
    <x v="1"/>
    <n v="20"/>
    <x v="11"/>
    <x v="20"/>
    <n v="2123.15"/>
    <x v="575"/>
  </r>
  <r>
    <d v="2023-01-16T00:00:00"/>
    <x v="1"/>
    <x v="2"/>
    <x v="3"/>
    <x v="3"/>
    <n v="19"/>
    <x v="0"/>
    <x v="0"/>
    <n v="4771.5"/>
    <x v="576"/>
  </r>
  <r>
    <d v="2023-11-20T00:00:00"/>
    <x v="1"/>
    <x v="1"/>
    <x v="7"/>
    <x v="0"/>
    <n v="12"/>
    <x v="1"/>
    <x v="39"/>
    <n v="3703.31"/>
    <x v="577"/>
  </r>
  <r>
    <d v="2023-01-12T00:00:00"/>
    <x v="0"/>
    <x v="4"/>
    <x v="9"/>
    <x v="0"/>
    <n v="5"/>
    <x v="2"/>
    <x v="8"/>
    <n v="3631.01"/>
    <x v="578"/>
  </r>
  <r>
    <d v="2023-06-20T00:00:00"/>
    <x v="2"/>
    <x v="3"/>
    <x v="4"/>
    <x v="3"/>
    <n v="20"/>
    <x v="3"/>
    <x v="0"/>
    <n v="4035.61"/>
    <x v="579"/>
  </r>
  <r>
    <d v="2023-01-29T00:00:00"/>
    <x v="0"/>
    <x v="0"/>
    <x v="5"/>
    <x v="3"/>
    <n v="2"/>
    <x v="4"/>
    <x v="39"/>
    <n v="3297.48"/>
    <x v="580"/>
  </r>
  <r>
    <d v="2023-01-08T00:00:00"/>
    <x v="2"/>
    <x v="3"/>
    <x v="4"/>
    <x v="0"/>
    <n v="9"/>
    <x v="5"/>
    <x v="27"/>
    <n v="455.98"/>
    <x v="581"/>
  </r>
  <r>
    <d v="2023-03-08T00:00:00"/>
    <x v="2"/>
    <x v="3"/>
    <x v="4"/>
    <x v="0"/>
    <n v="19"/>
    <x v="6"/>
    <x v="21"/>
    <n v="1414.78"/>
    <x v="582"/>
  </r>
  <r>
    <d v="2023-06-28T00:00:00"/>
    <x v="1"/>
    <x v="2"/>
    <x v="6"/>
    <x v="2"/>
    <n v="7"/>
    <x v="7"/>
    <x v="25"/>
    <n v="705.03"/>
    <x v="583"/>
  </r>
  <r>
    <d v="2023-12-18T00:00:00"/>
    <x v="0"/>
    <x v="0"/>
    <x v="0"/>
    <x v="3"/>
    <n v="2"/>
    <x v="8"/>
    <x v="19"/>
    <n v="1377.64"/>
    <x v="584"/>
  </r>
  <r>
    <d v="2023-05-25T00:00:00"/>
    <x v="2"/>
    <x v="3"/>
    <x v="13"/>
    <x v="2"/>
    <n v="20"/>
    <x v="9"/>
    <x v="30"/>
    <n v="2344.7600000000002"/>
    <x v="585"/>
  </r>
  <r>
    <d v="2023-01-30T00:00:00"/>
    <x v="0"/>
    <x v="4"/>
    <x v="8"/>
    <x v="0"/>
    <n v="19"/>
    <x v="10"/>
    <x v="6"/>
    <n v="4920.4399999999996"/>
    <x v="586"/>
  </r>
  <r>
    <d v="2023-11-22T00:00:00"/>
    <x v="0"/>
    <x v="4"/>
    <x v="9"/>
    <x v="2"/>
    <n v="9"/>
    <x v="11"/>
    <x v="30"/>
    <n v="3209.83"/>
    <x v="587"/>
  </r>
  <r>
    <d v="2023-03-07T00:00:00"/>
    <x v="0"/>
    <x v="4"/>
    <x v="8"/>
    <x v="2"/>
    <n v="20"/>
    <x v="0"/>
    <x v="18"/>
    <n v="1916.52"/>
    <x v="588"/>
  </r>
  <r>
    <d v="2023-08-10T00:00:00"/>
    <x v="1"/>
    <x v="2"/>
    <x v="3"/>
    <x v="2"/>
    <n v="4"/>
    <x v="1"/>
    <x v="24"/>
    <n v="2740.14"/>
    <x v="589"/>
  </r>
  <r>
    <d v="2023-04-04T00:00:00"/>
    <x v="2"/>
    <x v="3"/>
    <x v="4"/>
    <x v="1"/>
    <n v="14"/>
    <x v="2"/>
    <x v="17"/>
    <n v="1116.79"/>
    <x v="590"/>
  </r>
  <r>
    <d v="2023-02-07T00:00:00"/>
    <x v="0"/>
    <x v="0"/>
    <x v="5"/>
    <x v="1"/>
    <n v="11"/>
    <x v="3"/>
    <x v="6"/>
    <n v="335.31"/>
    <x v="591"/>
  </r>
  <r>
    <d v="2023-02-20T00:00:00"/>
    <x v="0"/>
    <x v="0"/>
    <x v="5"/>
    <x v="0"/>
    <n v="9"/>
    <x v="4"/>
    <x v="30"/>
    <n v="1474.56"/>
    <x v="592"/>
  </r>
  <r>
    <d v="2023-03-25T00:00:00"/>
    <x v="1"/>
    <x v="2"/>
    <x v="3"/>
    <x v="2"/>
    <n v="5"/>
    <x v="5"/>
    <x v="18"/>
    <n v="695.3"/>
    <x v="593"/>
  </r>
  <r>
    <d v="2023-05-10T00:00:00"/>
    <x v="1"/>
    <x v="1"/>
    <x v="12"/>
    <x v="1"/>
    <n v="15"/>
    <x v="6"/>
    <x v="16"/>
    <n v="3611.2"/>
    <x v="594"/>
  </r>
  <r>
    <d v="2023-04-15T00:00:00"/>
    <x v="1"/>
    <x v="2"/>
    <x v="6"/>
    <x v="3"/>
    <n v="8"/>
    <x v="7"/>
    <x v="17"/>
    <n v="592.82000000000005"/>
    <x v="595"/>
  </r>
  <r>
    <d v="2023-03-16T00:00:00"/>
    <x v="0"/>
    <x v="0"/>
    <x v="0"/>
    <x v="4"/>
    <n v="1"/>
    <x v="8"/>
    <x v="21"/>
    <n v="568.54999999999995"/>
    <x v="596"/>
  </r>
  <r>
    <d v="2023-02-28T00:00:00"/>
    <x v="1"/>
    <x v="2"/>
    <x v="6"/>
    <x v="3"/>
    <n v="5"/>
    <x v="9"/>
    <x v="23"/>
    <n v="1319.46"/>
    <x v="597"/>
  </r>
  <r>
    <d v="2023-07-20T00:00:00"/>
    <x v="1"/>
    <x v="2"/>
    <x v="6"/>
    <x v="4"/>
    <n v="7"/>
    <x v="10"/>
    <x v="19"/>
    <n v="222.61"/>
    <x v="598"/>
  </r>
  <r>
    <d v="2023-06-24T00:00:00"/>
    <x v="0"/>
    <x v="4"/>
    <x v="11"/>
    <x v="3"/>
    <n v="1"/>
    <x v="11"/>
    <x v="33"/>
    <n v="4117.97"/>
    <x v="599"/>
  </r>
  <r>
    <d v="2023-06-29T00:00:00"/>
    <x v="2"/>
    <x v="3"/>
    <x v="14"/>
    <x v="1"/>
    <n v="1"/>
    <x v="0"/>
    <x v="24"/>
    <n v="1793.18"/>
    <x v="600"/>
  </r>
  <r>
    <d v="2023-02-20T00:00:00"/>
    <x v="0"/>
    <x v="0"/>
    <x v="5"/>
    <x v="1"/>
    <n v="7"/>
    <x v="1"/>
    <x v="33"/>
    <n v="4046.34"/>
    <x v="601"/>
  </r>
  <r>
    <d v="2023-06-12T00:00:00"/>
    <x v="1"/>
    <x v="2"/>
    <x v="2"/>
    <x v="1"/>
    <n v="18"/>
    <x v="2"/>
    <x v="4"/>
    <n v="4403.6899999999996"/>
    <x v="602"/>
  </r>
  <r>
    <d v="2023-07-01T00:00:00"/>
    <x v="2"/>
    <x v="3"/>
    <x v="13"/>
    <x v="3"/>
    <n v="16"/>
    <x v="3"/>
    <x v="38"/>
    <n v="338.38"/>
    <x v="603"/>
  </r>
  <r>
    <d v="2023-01-03T00:00:00"/>
    <x v="0"/>
    <x v="4"/>
    <x v="9"/>
    <x v="1"/>
    <n v="12"/>
    <x v="4"/>
    <x v="35"/>
    <n v="2232.4899999999998"/>
    <x v="604"/>
  </r>
  <r>
    <d v="2023-01-20T00:00:00"/>
    <x v="1"/>
    <x v="2"/>
    <x v="3"/>
    <x v="0"/>
    <n v="20"/>
    <x v="5"/>
    <x v="12"/>
    <n v="3280.87"/>
    <x v="605"/>
  </r>
  <r>
    <d v="2023-01-24T00:00:00"/>
    <x v="0"/>
    <x v="4"/>
    <x v="8"/>
    <x v="2"/>
    <n v="6"/>
    <x v="6"/>
    <x v="12"/>
    <n v="744.85"/>
    <x v="606"/>
  </r>
  <r>
    <d v="2023-12-24T00:00:00"/>
    <x v="2"/>
    <x v="3"/>
    <x v="13"/>
    <x v="0"/>
    <n v="18"/>
    <x v="7"/>
    <x v="20"/>
    <n v="2880.41"/>
    <x v="607"/>
  </r>
  <r>
    <d v="2023-07-06T00:00:00"/>
    <x v="0"/>
    <x v="4"/>
    <x v="11"/>
    <x v="4"/>
    <n v="6"/>
    <x v="8"/>
    <x v="7"/>
    <n v="4265.8599999999997"/>
    <x v="608"/>
  </r>
  <r>
    <d v="2023-09-09T00:00:00"/>
    <x v="0"/>
    <x v="0"/>
    <x v="5"/>
    <x v="4"/>
    <n v="15"/>
    <x v="9"/>
    <x v="37"/>
    <n v="1790.03"/>
    <x v="609"/>
  </r>
  <r>
    <d v="2023-04-28T00:00:00"/>
    <x v="1"/>
    <x v="1"/>
    <x v="7"/>
    <x v="4"/>
    <n v="12"/>
    <x v="10"/>
    <x v="1"/>
    <n v="1104.74"/>
    <x v="610"/>
  </r>
  <r>
    <d v="2023-07-31T00:00:00"/>
    <x v="0"/>
    <x v="4"/>
    <x v="9"/>
    <x v="3"/>
    <n v="14"/>
    <x v="11"/>
    <x v="29"/>
    <n v="948.05"/>
    <x v="611"/>
  </r>
  <r>
    <d v="2023-01-25T00:00:00"/>
    <x v="1"/>
    <x v="1"/>
    <x v="7"/>
    <x v="4"/>
    <n v="4"/>
    <x v="0"/>
    <x v="17"/>
    <n v="2625.31"/>
    <x v="612"/>
  </r>
  <r>
    <d v="2023-06-01T00:00:00"/>
    <x v="1"/>
    <x v="2"/>
    <x v="2"/>
    <x v="1"/>
    <n v="12"/>
    <x v="1"/>
    <x v="16"/>
    <n v="3785.29"/>
    <x v="613"/>
  </r>
  <r>
    <d v="2023-10-27T00:00:00"/>
    <x v="1"/>
    <x v="1"/>
    <x v="7"/>
    <x v="0"/>
    <n v="19"/>
    <x v="2"/>
    <x v="25"/>
    <n v="2386.59"/>
    <x v="614"/>
  </r>
  <r>
    <d v="2023-08-21T00:00:00"/>
    <x v="2"/>
    <x v="3"/>
    <x v="14"/>
    <x v="4"/>
    <n v="20"/>
    <x v="3"/>
    <x v="27"/>
    <n v="3438.25"/>
    <x v="615"/>
  </r>
  <r>
    <d v="2023-09-14T00:00:00"/>
    <x v="1"/>
    <x v="2"/>
    <x v="6"/>
    <x v="1"/>
    <n v="18"/>
    <x v="4"/>
    <x v="17"/>
    <n v="4422.21"/>
    <x v="616"/>
  </r>
  <r>
    <d v="2023-04-21T00:00:00"/>
    <x v="1"/>
    <x v="2"/>
    <x v="6"/>
    <x v="0"/>
    <n v="7"/>
    <x v="5"/>
    <x v="37"/>
    <n v="299.68"/>
    <x v="617"/>
  </r>
  <r>
    <d v="2023-09-13T00:00:00"/>
    <x v="0"/>
    <x v="0"/>
    <x v="5"/>
    <x v="1"/>
    <n v="6"/>
    <x v="6"/>
    <x v="16"/>
    <n v="3279.45"/>
    <x v="618"/>
  </r>
  <r>
    <d v="2023-05-31T00:00:00"/>
    <x v="0"/>
    <x v="0"/>
    <x v="5"/>
    <x v="2"/>
    <n v="4"/>
    <x v="7"/>
    <x v="13"/>
    <n v="2298.98"/>
    <x v="619"/>
  </r>
  <r>
    <d v="2023-01-16T00:00:00"/>
    <x v="1"/>
    <x v="2"/>
    <x v="3"/>
    <x v="1"/>
    <n v="15"/>
    <x v="8"/>
    <x v="12"/>
    <n v="2174.4499999999998"/>
    <x v="620"/>
  </r>
  <r>
    <d v="2023-06-28T00:00:00"/>
    <x v="1"/>
    <x v="1"/>
    <x v="12"/>
    <x v="2"/>
    <n v="10"/>
    <x v="9"/>
    <x v="1"/>
    <n v="4761.1899999999996"/>
    <x v="621"/>
  </r>
  <r>
    <d v="2023-12-30T00:00:00"/>
    <x v="0"/>
    <x v="0"/>
    <x v="0"/>
    <x v="1"/>
    <n v="18"/>
    <x v="10"/>
    <x v="4"/>
    <n v="1533.77"/>
    <x v="622"/>
  </r>
  <r>
    <d v="2023-02-16T00:00:00"/>
    <x v="0"/>
    <x v="4"/>
    <x v="9"/>
    <x v="0"/>
    <n v="4"/>
    <x v="11"/>
    <x v="20"/>
    <n v="2331.1"/>
    <x v="623"/>
  </r>
  <r>
    <d v="2023-02-10T00:00:00"/>
    <x v="0"/>
    <x v="4"/>
    <x v="9"/>
    <x v="4"/>
    <n v="12"/>
    <x v="0"/>
    <x v="17"/>
    <n v="3443.54"/>
    <x v="624"/>
  </r>
  <r>
    <d v="2023-08-25T00:00:00"/>
    <x v="1"/>
    <x v="1"/>
    <x v="1"/>
    <x v="2"/>
    <n v="8"/>
    <x v="1"/>
    <x v="3"/>
    <n v="3547.38"/>
    <x v="625"/>
  </r>
  <r>
    <d v="2023-04-27T00:00:00"/>
    <x v="0"/>
    <x v="4"/>
    <x v="11"/>
    <x v="0"/>
    <n v="15"/>
    <x v="2"/>
    <x v="39"/>
    <n v="866.62"/>
    <x v="626"/>
  </r>
  <r>
    <d v="2023-07-27T00:00:00"/>
    <x v="0"/>
    <x v="0"/>
    <x v="5"/>
    <x v="4"/>
    <n v="9"/>
    <x v="3"/>
    <x v="14"/>
    <n v="1280.74"/>
    <x v="627"/>
  </r>
  <r>
    <d v="2023-12-27T00:00:00"/>
    <x v="1"/>
    <x v="1"/>
    <x v="1"/>
    <x v="2"/>
    <n v="19"/>
    <x v="4"/>
    <x v="7"/>
    <n v="2513.27"/>
    <x v="628"/>
  </r>
  <r>
    <d v="2023-02-03T00:00:00"/>
    <x v="2"/>
    <x v="3"/>
    <x v="14"/>
    <x v="1"/>
    <n v="14"/>
    <x v="5"/>
    <x v="21"/>
    <n v="2371.85"/>
    <x v="629"/>
  </r>
  <r>
    <d v="2023-06-06T00:00:00"/>
    <x v="1"/>
    <x v="1"/>
    <x v="1"/>
    <x v="1"/>
    <n v="9"/>
    <x v="6"/>
    <x v="28"/>
    <n v="2438.9899999999998"/>
    <x v="630"/>
  </r>
  <r>
    <d v="2023-06-09T00:00:00"/>
    <x v="1"/>
    <x v="1"/>
    <x v="1"/>
    <x v="3"/>
    <n v="19"/>
    <x v="7"/>
    <x v="32"/>
    <n v="3044.32"/>
    <x v="631"/>
  </r>
  <r>
    <d v="2023-03-22T00:00:00"/>
    <x v="0"/>
    <x v="4"/>
    <x v="8"/>
    <x v="0"/>
    <n v="3"/>
    <x v="8"/>
    <x v="38"/>
    <n v="2880.4"/>
    <x v="632"/>
  </r>
  <r>
    <d v="2023-11-30T00:00:00"/>
    <x v="1"/>
    <x v="1"/>
    <x v="12"/>
    <x v="1"/>
    <n v="2"/>
    <x v="9"/>
    <x v="2"/>
    <n v="2087.14"/>
    <x v="633"/>
  </r>
  <r>
    <d v="2023-03-08T00:00:00"/>
    <x v="0"/>
    <x v="0"/>
    <x v="5"/>
    <x v="2"/>
    <n v="14"/>
    <x v="10"/>
    <x v="35"/>
    <n v="1694.59"/>
    <x v="634"/>
  </r>
  <r>
    <d v="2023-04-09T00:00:00"/>
    <x v="0"/>
    <x v="4"/>
    <x v="9"/>
    <x v="1"/>
    <n v="5"/>
    <x v="11"/>
    <x v="9"/>
    <n v="4182.07"/>
    <x v="635"/>
  </r>
  <r>
    <d v="2023-02-23T00:00:00"/>
    <x v="0"/>
    <x v="0"/>
    <x v="0"/>
    <x v="2"/>
    <n v="20"/>
    <x v="0"/>
    <x v="36"/>
    <n v="4638.2"/>
    <x v="636"/>
  </r>
  <r>
    <d v="2023-10-27T00:00:00"/>
    <x v="0"/>
    <x v="0"/>
    <x v="10"/>
    <x v="2"/>
    <n v="1"/>
    <x v="1"/>
    <x v="19"/>
    <n v="1999.98"/>
    <x v="637"/>
  </r>
  <r>
    <d v="2023-10-13T00:00:00"/>
    <x v="0"/>
    <x v="4"/>
    <x v="9"/>
    <x v="1"/>
    <n v="14"/>
    <x v="2"/>
    <x v="30"/>
    <n v="3931.74"/>
    <x v="638"/>
  </r>
  <r>
    <d v="2023-05-03T00:00:00"/>
    <x v="1"/>
    <x v="1"/>
    <x v="7"/>
    <x v="2"/>
    <n v="5"/>
    <x v="3"/>
    <x v="25"/>
    <n v="3898.88"/>
    <x v="639"/>
  </r>
  <r>
    <d v="2023-03-14T00:00:00"/>
    <x v="1"/>
    <x v="2"/>
    <x v="6"/>
    <x v="0"/>
    <n v="19"/>
    <x v="4"/>
    <x v="2"/>
    <n v="4134.01"/>
    <x v="640"/>
  </r>
  <r>
    <d v="2023-09-30T00:00:00"/>
    <x v="0"/>
    <x v="4"/>
    <x v="9"/>
    <x v="4"/>
    <n v="1"/>
    <x v="5"/>
    <x v="24"/>
    <n v="2571.59"/>
    <x v="641"/>
  </r>
  <r>
    <d v="2023-10-07T00:00:00"/>
    <x v="0"/>
    <x v="4"/>
    <x v="8"/>
    <x v="2"/>
    <n v="1"/>
    <x v="6"/>
    <x v="36"/>
    <n v="1286.1099999999999"/>
    <x v="642"/>
  </r>
  <r>
    <d v="2023-12-08T00:00:00"/>
    <x v="1"/>
    <x v="1"/>
    <x v="12"/>
    <x v="4"/>
    <n v="5"/>
    <x v="7"/>
    <x v="3"/>
    <n v="1372.78"/>
    <x v="643"/>
  </r>
  <r>
    <d v="2023-10-16T00:00:00"/>
    <x v="0"/>
    <x v="4"/>
    <x v="9"/>
    <x v="1"/>
    <n v="2"/>
    <x v="8"/>
    <x v="6"/>
    <n v="1673.1"/>
    <x v="644"/>
  </r>
  <r>
    <d v="2023-04-12T00:00:00"/>
    <x v="0"/>
    <x v="0"/>
    <x v="5"/>
    <x v="4"/>
    <n v="7"/>
    <x v="9"/>
    <x v="4"/>
    <n v="1576.4"/>
    <x v="645"/>
  </r>
  <r>
    <d v="2023-08-24T00:00:00"/>
    <x v="0"/>
    <x v="4"/>
    <x v="9"/>
    <x v="4"/>
    <n v="3"/>
    <x v="10"/>
    <x v="32"/>
    <n v="403.5"/>
    <x v="646"/>
  </r>
  <r>
    <d v="2023-09-24T00:00:00"/>
    <x v="0"/>
    <x v="0"/>
    <x v="0"/>
    <x v="2"/>
    <n v="10"/>
    <x v="11"/>
    <x v="0"/>
    <n v="2691.21"/>
    <x v="647"/>
  </r>
  <r>
    <d v="2023-02-28T00:00:00"/>
    <x v="1"/>
    <x v="1"/>
    <x v="12"/>
    <x v="4"/>
    <n v="8"/>
    <x v="0"/>
    <x v="9"/>
    <n v="372.22"/>
    <x v="648"/>
  </r>
  <r>
    <d v="2023-03-08T00:00:00"/>
    <x v="1"/>
    <x v="2"/>
    <x v="2"/>
    <x v="4"/>
    <n v="19"/>
    <x v="1"/>
    <x v="26"/>
    <n v="4642.84"/>
    <x v="649"/>
  </r>
  <r>
    <d v="2023-02-05T00:00:00"/>
    <x v="1"/>
    <x v="2"/>
    <x v="3"/>
    <x v="3"/>
    <n v="20"/>
    <x v="2"/>
    <x v="18"/>
    <n v="2860.11"/>
    <x v="650"/>
  </r>
  <r>
    <d v="2023-01-24T00:00:00"/>
    <x v="2"/>
    <x v="3"/>
    <x v="4"/>
    <x v="4"/>
    <n v="8"/>
    <x v="3"/>
    <x v="30"/>
    <n v="4986.3100000000004"/>
    <x v="651"/>
  </r>
  <r>
    <d v="2023-03-31T00:00:00"/>
    <x v="0"/>
    <x v="4"/>
    <x v="11"/>
    <x v="0"/>
    <n v="3"/>
    <x v="4"/>
    <x v="24"/>
    <n v="4888.03"/>
    <x v="652"/>
  </r>
  <r>
    <d v="2023-08-04T00:00:00"/>
    <x v="2"/>
    <x v="3"/>
    <x v="13"/>
    <x v="2"/>
    <n v="11"/>
    <x v="5"/>
    <x v="1"/>
    <n v="3011.73"/>
    <x v="653"/>
  </r>
  <r>
    <d v="2023-12-04T00:00:00"/>
    <x v="0"/>
    <x v="4"/>
    <x v="8"/>
    <x v="0"/>
    <n v="16"/>
    <x v="6"/>
    <x v="33"/>
    <n v="3082.84"/>
    <x v="654"/>
  </r>
  <r>
    <d v="2023-11-23T00:00:00"/>
    <x v="0"/>
    <x v="0"/>
    <x v="5"/>
    <x v="1"/>
    <n v="6"/>
    <x v="7"/>
    <x v="3"/>
    <n v="4908.9799999999996"/>
    <x v="655"/>
  </r>
  <r>
    <d v="2023-02-19T00:00:00"/>
    <x v="0"/>
    <x v="4"/>
    <x v="8"/>
    <x v="2"/>
    <n v="16"/>
    <x v="8"/>
    <x v="39"/>
    <n v="1514.31"/>
    <x v="656"/>
  </r>
  <r>
    <d v="2023-03-31T00:00:00"/>
    <x v="1"/>
    <x v="1"/>
    <x v="7"/>
    <x v="4"/>
    <n v="18"/>
    <x v="9"/>
    <x v="24"/>
    <n v="4450.2299999999996"/>
    <x v="657"/>
  </r>
  <r>
    <d v="2023-02-08T00:00:00"/>
    <x v="0"/>
    <x v="4"/>
    <x v="9"/>
    <x v="3"/>
    <n v="15"/>
    <x v="10"/>
    <x v="6"/>
    <n v="4678.57"/>
    <x v="658"/>
  </r>
  <r>
    <d v="2023-07-09T00:00:00"/>
    <x v="0"/>
    <x v="0"/>
    <x v="10"/>
    <x v="4"/>
    <n v="18"/>
    <x v="11"/>
    <x v="7"/>
    <n v="1177.8"/>
    <x v="659"/>
  </r>
  <r>
    <d v="2023-01-08T00:00:00"/>
    <x v="0"/>
    <x v="4"/>
    <x v="8"/>
    <x v="0"/>
    <n v="17"/>
    <x v="0"/>
    <x v="15"/>
    <n v="4136.3100000000004"/>
    <x v="660"/>
  </r>
  <r>
    <d v="2023-07-21T00:00:00"/>
    <x v="0"/>
    <x v="0"/>
    <x v="0"/>
    <x v="1"/>
    <n v="5"/>
    <x v="1"/>
    <x v="35"/>
    <n v="3156.9"/>
    <x v="661"/>
  </r>
  <r>
    <d v="2023-07-08T00:00:00"/>
    <x v="1"/>
    <x v="1"/>
    <x v="7"/>
    <x v="3"/>
    <n v="5"/>
    <x v="2"/>
    <x v="3"/>
    <n v="1185.45"/>
    <x v="662"/>
  </r>
  <r>
    <d v="2023-01-22T00:00:00"/>
    <x v="1"/>
    <x v="2"/>
    <x v="6"/>
    <x v="1"/>
    <n v="13"/>
    <x v="3"/>
    <x v="14"/>
    <n v="818.58"/>
    <x v="663"/>
  </r>
  <r>
    <d v="2023-11-11T00:00:00"/>
    <x v="1"/>
    <x v="1"/>
    <x v="12"/>
    <x v="2"/>
    <n v="10"/>
    <x v="4"/>
    <x v="2"/>
    <n v="2539.6799999999998"/>
    <x v="664"/>
  </r>
  <r>
    <d v="2023-10-30T00:00:00"/>
    <x v="1"/>
    <x v="2"/>
    <x v="6"/>
    <x v="4"/>
    <n v="7"/>
    <x v="5"/>
    <x v="39"/>
    <n v="1316.13"/>
    <x v="665"/>
  </r>
  <r>
    <d v="2023-03-07T00:00:00"/>
    <x v="1"/>
    <x v="1"/>
    <x v="1"/>
    <x v="2"/>
    <n v="5"/>
    <x v="6"/>
    <x v="6"/>
    <n v="1991.64"/>
    <x v="666"/>
  </r>
  <r>
    <d v="2023-06-24T00:00:00"/>
    <x v="1"/>
    <x v="1"/>
    <x v="7"/>
    <x v="2"/>
    <n v="12"/>
    <x v="7"/>
    <x v="2"/>
    <n v="4572.79"/>
    <x v="667"/>
  </r>
  <r>
    <d v="2023-04-12T00:00:00"/>
    <x v="1"/>
    <x v="1"/>
    <x v="7"/>
    <x v="2"/>
    <n v="2"/>
    <x v="8"/>
    <x v="3"/>
    <n v="2493.06"/>
    <x v="668"/>
  </r>
  <r>
    <d v="2023-01-31T00:00:00"/>
    <x v="1"/>
    <x v="1"/>
    <x v="1"/>
    <x v="4"/>
    <n v="15"/>
    <x v="9"/>
    <x v="35"/>
    <n v="3270.81"/>
    <x v="669"/>
  </r>
  <r>
    <d v="2023-12-23T00:00:00"/>
    <x v="0"/>
    <x v="4"/>
    <x v="8"/>
    <x v="0"/>
    <n v="8"/>
    <x v="10"/>
    <x v="30"/>
    <n v="4009.51"/>
    <x v="670"/>
  </r>
  <r>
    <d v="2023-02-19T00:00:00"/>
    <x v="0"/>
    <x v="4"/>
    <x v="8"/>
    <x v="2"/>
    <n v="1"/>
    <x v="11"/>
    <x v="7"/>
    <n v="302.02"/>
    <x v="671"/>
  </r>
  <r>
    <d v="2023-12-31T00:00:00"/>
    <x v="0"/>
    <x v="0"/>
    <x v="10"/>
    <x v="0"/>
    <n v="10"/>
    <x v="0"/>
    <x v="28"/>
    <n v="4995.74"/>
    <x v="672"/>
  </r>
  <r>
    <d v="2023-01-01T00:00:00"/>
    <x v="0"/>
    <x v="0"/>
    <x v="0"/>
    <x v="0"/>
    <n v="9"/>
    <x v="1"/>
    <x v="36"/>
    <n v="4858.75"/>
    <x v="673"/>
  </r>
  <r>
    <d v="2023-03-16T00:00:00"/>
    <x v="0"/>
    <x v="4"/>
    <x v="11"/>
    <x v="4"/>
    <n v="2"/>
    <x v="2"/>
    <x v="39"/>
    <n v="1971"/>
    <x v="674"/>
  </r>
  <r>
    <d v="2023-11-15T00:00:00"/>
    <x v="0"/>
    <x v="0"/>
    <x v="5"/>
    <x v="4"/>
    <n v="12"/>
    <x v="3"/>
    <x v="27"/>
    <n v="4713.26"/>
    <x v="675"/>
  </r>
  <r>
    <d v="2023-10-27T00:00:00"/>
    <x v="2"/>
    <x v="3"/>
    <x v="4"/>
    <x v="1"/>
    <n v="5"/>
    <x v="4"/>
    <x v="14"/>
    <n v="4993.87"/>
    <x v="676"/>
  </r>
  <r>
    <d v="2023-06-23T00:00:00"/>
    <x v="0"/>
    <x v="4"/>
    <x v="8"/>
    <x v="4"/>
    <n v="12"/>
    <x v="5"/>
    <x v="11"/>
    <n v="255.59"/>
    <x v="677"/>
  </r>
  <r>
    <d v="2023-09-04T00:00:00"/>
    <x v="1"/>
    <x v="1"/>
    <x v="1"/>
    <x v="4"/>
    <n v="11"/>
    <x v="6"/>
    <x v="34"/>
    <n v="1169.3"/>
    <x v="678"/>
  </r>
  <r>
    <d v="2023-03-29T00:00:00"/>
    <x v="0"/>
    <x v="0"/>
    <x v="10"/>
    <x v="1"/>
    <n v="12"/>
    <x v="7"/>
    <x v="37"/>
    <n v="593.52"/>
    <x v="679"/>
  </r>
  <r>
    <d v="2023-12-20T00:00:00"/>
    <x v="0"/>
    <x v="0"/>
    <x v="10"/>
    <x v="0"/>
    <n v="7"/>
    <x v="8"/>
    <x v="4"/>
    <n v="1711.81"/>
    <x v="680"/>
  </r>
  <r>
    <d v="2023-10-02T00:00:00"/>
    <x v="1"/>
    <x v="1"/>
    <x v="7"/>
    <x v="3"/>
    <n v="12"/>
    <x v="9"/>
    <x v="32"/>
    <n v="4945.7700000000004"/>
    <x v="681"/>
  </r>
  <r>
    <d v="2023-07-20T00:00:00"/>
    <x v="2"/>
    <x v="3"/>
    <x v="4"/>
    <x v="3"/>
    <n v="17"/>
    <x v="10"/>
    <x v="24"/>
    <n v="4502.3900000000003"/>
    <x v="682"/>
  </r>
  <r>
    <d v="2023-06-19T00:00:00"/>
    <x v="0"/>
    <x v="0"/>
    <x v="5"/>
    <x v="0"/>
    <n v="3"/>
    <x v="11"/>
    <x v="5"/>
    <n v="264.98"/>
    <x v="683"/>
  </r>
  <r>
    <d v="2023-09-02T00:00:00"/>
    <x v="1"/>
    <x v="1"/>
    <x v="12"/>
    <x v="1"/>
    <n v="11"/>
    <x v="0"/>
    <x v="28"/>
    <n v="4758.46"/>
    <x v="684"/>
  </r>
  <r>
    <d v="2023-04-14T00:00:00"/>
    <x v="0"/>
    <x v="0"/>
    <x v="10"/>
    <x v="1"/>
    <n v="1"/>
    <x v="1"/>
    <x v="36"/>
    <n v="2517.3200000000002"/>
    <x v="685"/>
  </r>
  <r>
    <d v="2023-05-26T00:00:00"/>
    <x v="1"/>
    <x v="1"/>
    <x v="12"/>
    <x v="2"/>
    <n v="16"/>
    <x v="2"/>
    <x v="26"/>
    <n v="2231.67"/>
    <x v="686"/>
  </r>
  <r>
    <d v="2023-09-22T00:00:00"/>
    <x v="1"/>
    <x v="2"/>
    <x v="2"/>
    <x v="4"/>
    <n v="20"/>
    <x v="3"/>
    <x v="26"/>
    <n v="4710.8500000000004"/>
    <x v="687"/>
  </r>
  <r>
    <d v="2023-05-20T00:00:00"/>
    <x v="2"/>
    <x v="3"/>
    <x v="13"/>
    <x v="0"/>
    <n v="13"/>
    <x v="4"/>
    <x v="0"/>
    <n v="3423.36"/>
    <x v="688"/>
  </r>
  <r>
    <d v="2023-04-29T00:00:00"/>
    <x v="0"/>
    <x v="0"/>
    <x v="10"/>
    <x v="3"/>
    <n v="12"/>
    <x v="5"/>
    <x v="25"/>
    <n v="3686.27"/>
    <x v="689"/>
  </r>
  <r>
    <d v="2023-02-07T00:00:00"/>
    <x v="1"/>
    <x v="2"/>
    <x v="2"/>
    <x v="3"/>
    <n v="8"/>
    <x v="6"/>
    <x v="20"/>
    <n v="562.98"/>
    <x v="690"/>
  </r>
  <r>
    <d v="2023-07-15T00:00:00"/>
    <x v="1"/>
    <x v="1"/>
    <x v="12"/>
    <x v="2"/>
    <n v="11"/>
    <x v="7"/>
    <x v="28"/>
    <n v="3590.89"/>
    <x v="691"/>
  </r>
  <r>
    <d v="2023-12-26T00:00:00"/>
    <x v="0"/>
    <x v="0"/>
    <x v="10"/>
    <x v="0"/>
    <n v="12"/>
    <x v="8"/>
    <x v="20"/>
    <n v="4765.33"/>
    <x v="692"/>
  </r>
  <r>
    <d v="2023-10-23T00:00:00"/>
    <x v="1"/>
    <x v="2"/>
    <x v="3"/>
    <x v="1"/>
    <n v="18"/>
    <x v="9"/>
    <x v="7"/>
    <n v="913.13"/>
    <x v="693"/>
  </r>
  <r>
    <d v="2023-02-09T00:00:00"/>
    <x v="2"/>
    <x v="3"/>
    <x v="14"/>
    <x v="2"/>
    <n v="18"/>
    <x v="10"/>
    <x v="21"/>
    <n v="497.68"/>
    <x v="694"/>
  </r>
  <r>
    <d v="2023-11-27T00:00:00"/>
    <x v="0"/>
    <x v="4"/>
    <x v="11"/>
    <x v="1"/>
    <n v="4"/>
    <x v="11"/>
    <x v="30"/>
    <n v="1303.8800000000001"/>
    <x v="695"/>
  </r>
  <r>
    <d v="2023-07-07T00:00:00"/>
    <x v="1"/>
    <x v="1"/>
    <x v="12"/>
    <x v="2"/>
    <n v="15"/>
    <x v="0"/>
    <x v="31"/>
    <n v="2477.09"/>
    <x v="696"/>
  </r>
  <r>
    <d v="2023-07-11T00:00:00"/>
    <x v="1"/>
    <x v="2"/>
    <x v="2"/>
    <x v="1"/>
    <n v="13"/>
    <x v="1"/>
    <x v="13"/>
    <n v="4021.84"/>
    <x v="697"/>
  </r>
  <r>
    <d v="2023-08-28T00:00:00"/>
    <x v="1"/>
    <x v="1"/>
    <x v="12"/>
    <x v="0"/>
    <n v="7"/>
    <x v="2"/>
    <x v="34"/>
    <n v="4083.1"/>
    <x v="698"/>
  </r>
  <r>
    <d v="2023-03-08T00:00:00"/>
    <x v="1"/>
    <x v="2"/>
    <x v="2"/>
    <x v="2"/>
    <n v="17"/>
    <x v="3"/>
    <x v="1"/>
    <n v="2603.4899999999998"/>
    <x v="699"/>
  </r>
  <r>
    <d v="2023-10-23T00:00:00"/>
    <x v="1"/>
    <x v="1"/>
    <x v="12"/>
    <x v="4"/>
    <n v="19"/>
    <x v="4"/>
    <x v="38"/>
    <n v="2900.31"/>
    <x v="700"/>
  </r>
  <r>
    <d v="2023-07-20T00:00:00"/>
    <x v="0"/>
    <x v="4"/>
    <x v="9"/>
    <x v="3"/>
    <n v="2"/>
    <x v="5"/>
    <x v="20"/>
    <n v="1316.79"/>
    <x v="701"/>
  </r>
  <r>
    <d v="2023-07-03T00:00:00"/>
    <x v="0"/>
    <x v="0"/>
    <x v="10"/>
    <x v="0"/>
    <n v="5"/>
    <x v="6"/>
    <x v="2"/>
    <n v="4716.38"/>
    <x v="702"/>
  </r>
  <r>
    <d v="2023-09-16T00:00:00"/>
    <x v="1"/>
    <x v="2"/>
    <x v="6"/>
    <x v="1"/>
    <n v="4"/>
    <x v="7"/>
    <x v="35"/>
    <n v="4961.01"/>
    <x v="703"/>
  </r>
  <r>
    <d v="2023-03-09T00:00:00"/>
    <x v="0"/>
    <x v="4"/>
    <x v="8"/>
    <x v="2"/>
    <n v="7"/>
    <x v="8"/>
    <x v="5"/>
    <n v="1500.87"/>
    <x v="704"/>
  </r>
  <r>
    <d v="2023-01-27T00:00:00"/>
    <x v="0"/>
    <x v="4"/>
    <x v="11"/>
    <x v="2"/>
    <n v="5"/>
    <x v="9"/>
    <x v="28"/>
    <n v="879.82"/>
    <x v="705"/>
  </r>
  <r>
    <d v="2023-10-14T00:00:00"/>
    <x v="0"/>
    <x v="4"/>
    <x v="8"/>
    <x v="3"/>
    <n v="2"/>
    <x v="10"/>
    <x v="10"/>
    <n v="2400.5500000000002"/>
    <x v="706"/>
  </r>
  <r>
    <d v="2023-06-11T00:00:00"/>
    <x v="2"/>
    <x v="3"/>
    <x v="14"/>
    <x v="1"/>
    <n v="17"/>
    <x v="11"/>
    <x v="29"/>
    <n v="3878.66"/>
    <x v="707"/>
  </r>
  <r>
    <d v="2023-02-01T00:00:00"/>
    <x v="1"/>
    <x v="1"/>
    <x v="12"/>
    <x v="2"/>
    <n v="6"/>
    <x v="0"/>
    <x v="27"/>
    <n v="3116.12"/>
    <x v="708"/>
  </r>
  <r>
    <d v="2023-07-31T00:00:00"/>
    <x v="0"/>
    <x v="4"/>
    <x v="8"/>
    <x v="0"/>
    <n v="16"/>
    <x v="1"/>
    <x v="9"/>
    <n v="2747.36"/>
    <x v="709"/>
  </r>
  <r>
    <d v="2023-10-02T00:00:00"/>
    <x v="0"/>
    <x v="4"/>
    <x v="8"/>
    <x v="3"/>
    <n v="17"/>
    <x v="2"/>
    <x v="23"/>
    <n v="3971.7"/>
    <x v="710"/>
  </r>
  <r>
    <d v="2023-09-30T00:00:00"/>
    <x v="1"/>
    <x v="1"/>
    <x v="7"/>
    <x v="4"/>
    <n v="18"/>
    <x v="3"/>
    <x v="7"/>
    <n v="678.76"/>
    <x v="711"/>
  </r>
  <r>
    <d v="2023-10-25T00:00:00"/>
    <x v="1"/>
    <x v="1"/>
    <x v="7"/>
    <x v="0"/>
    <n v="18"/>
    <x v="4"/>
    <x v="34"/>
    <n v="4888.0200000000004"/>
    <x v="712"/>
  </r>
  <r>
    <d v="2023-02-21T00:00:00"/>
    <x v="0"/>
    <x v="4"/>
    <x v="9"/>
    <x v="4"/>
    <n v="17"/>
    <x v="5"/>
    <x v="36"/>
    <n v="2107.36"/>
    <x v="713"/>
  </r>
  <r>
    <d v="2023-03-09T00:00:00"/>
    <x v="2"/>
    <x v="3"/>
    <x v="14"/>
    <x v="4"/>
    <n v="4"/>
    <x v="6"/>
    <x v="12"/>
    <n v="1181.3900000000001"/>
    <x v="714"/>
  </r>
  <r>
    <d v="2023-08-10T00:00:00"/>
    <x v="1"/>
    <x v="1"/>
    <x v="1"/>
    <x v="3"/>
    <n v="1"/>
    <x v="7"/>
    <x v="33"/>
    <n v="3374.31"/>
    <x v="715"/>
  </r>
  <r>
    <d v="2023-02-18T00:00:00"/>
    <x v="2"/>
    <x v="3"/>
    <x v="4"/>
    <x v="1"/>
    <n v="19"/>
    <x v="8"/>
    <x v="32"/>
    <n v="609.63"/>
    <x v="716"/>
  </r>
  <r>
    <d v="2023-08-26T00:00:00"/>
    <x v="0"/>
    <x v="4"/>
    <x v="8"/>
    <x v="4"/>
    <n v="11"/>
    <x v="9"/>
    <x v="14"/>
    <n v="3538.83"/>
    <x v="717"/>
  </r>
  <r>
    <d v="2023-10-11T00:00:00"/>
    <x v="1"/>
    <x v="2"/>
    <x v="2"/>
    <x v="2"/>
    <n v="16"/>
    <x v="10"/>
    <x v="3"/>
    <n v="3155.43"/>
    <x v="718"/>
  </r>
  <r>
    <d v="2023-01-21T00:00:00"/>
    <x v="2"/>
    <x v="3"/>
    <x v="4"/>
    <x v="3"/>
    <n v="6"/>
    <x v="11"/>
    <x v="21"/>
    <n v="863.69"/>
    <x v="719"/>
  </r>
  <r>
    <d v="2023-12-22T00:00:00"/>
    <x v="2"/>
    <x v="3"/>
    <x v="13"/>
    <x v="4"/>
    <n v="4"/>
    <x v="0"/>
    <x v="14"/>
    <n v="1128.8900000000001"/>
    <x v="720"/>
  </r>
  <r>
    <d v="2023-06-23T00:00:00"/>
    <x v="0"/>
    <x v="4"/>
    <x v="9"/>
    <x v="4"/>
    <n v="8"/>
    <x v="1"/>
    <x v="3"/>
    <n v="4197.6400000000003"/>
    <x v="721"/>
  </r>
  <r>
    <d v="2023-03-08T00:00:00"/>
    <x v="1"/>
    <x v="2"/>
    <x v="6"/>
    <x v="2"/>
    <n v="11"/>
    <x v="2"/>
    <x v="35"/>
    <n v="3561.4"/>
    <x v="722"/>
  </r>
  <r>
    <d v="2023-08-03T00:00:00"/>
    <x v="2"/>
    <x v="3"/>
    <x v="14"/>
    <x v="2"/>
    <n v="16"/>
    <x v="3"/>
    <x v="26"/>
    <n v="3836.1"/>
    <x v="723"/>
  </r>
  <r>
    <d v="2023-07-14T00:00:00"/>
    <x v="0"/>
    <x v="4"/>
    <x v="8"/>
    <x v="2"/>
    <n v="18"/>
    <x v="4"/>
    <x v="25"/>
    <n v="3943.82"/>
    <x v="724"/>
  </r>
  <r>
    <d v="2023-07-11T00:00:00"/>
    <x v="0"/>
    <x v="4"/>
    <x v="9"/>
    <x v="4"/>
    <n v="15"/>
    <x v="5"/>
    <x v="26"/>
    <n v="3005.08"/>
    <x v="725"/>
  </r>
  <r>
    <d v="2023-05-24T00:00:00"/>
    <x v="1"/>
    <x v="1"/>
    <x v="1"/>
    <x v="1"/>
    <n v="17"/>
    <x v="6"/>
    <x v="8"/>
    <n v="3342.49"/>
    <x v="726"/>
  </r>
  <r>
    <d v="2023-11-08T00:00:00"/>
    <x v="0"/>
    <x v="0"/>
    <x v="10"/>
    <x v="3"/>
    <n v="11"/>
    <x v="7"/>
    <x v="7"/>
    <n v="212.86"/>
    <x v="727"/>
  </r>
  <r>
    <d v="2023-07-28T00:00:00"/>
    <x v="1"/>
    <x v="1"/>
    <x v="12"/>
    <x v="3"/>
    <n v="6"/>
    <x v="8"/>
    <x v="10"/>
    <n v="1872.18"/>
    <x v="728"/>
  </r>
  <r>
    <d v="2023-06-18T00:00:00"/>
    <x v="0"/>
    <x v="0"/>
    <x v="0"/>
    <x v="4"/>
    <n v="14"/>
    <x v="9"/>
    <x v="37"/>
    <n v="4428"/>
    <x v="729"/>
  </r>
  <r>
    <d v="2023-05-11T00:00:00"/>
    <x v="1"/>
    <x v="2"/>
    <x v="2"/>
    <x v="2"/>
    <n v="15"/>
    <x v="10"/>
    <x v="7"/>
    <n v="2905.47"/>
    <x v="730"/>
  </r>
  <r>
    <d v="2023-01-17T00:00:00"/>
    <x v="1"/>
    <x v="1"/>
    <x v="12"/>
    <x v="1"/>
    <n v="14"/>
    <x v="11"/>
    <x v="12"/>
    <n v="4200.9799999999996"/>
    <x v="731"/>
  </r>
  <r>
    <d v="2023-04-13T00:00:00"/>
    <x v="0"/>
    <x v="0"/>
    <x v="10"/>
    <x v="0"/>
    <n v="19"/>
    <x v="0"/>
    <x v="39"/>
    <n v="3927.27"/>
    <x v="732"/>
  </r>
  <r>
    <d v="2023-03-27T00:00:00"/>
    <x v="2"/>
    <x v="3"/>
    <x v="14"/>
    <x v="2"/>
    <n v="16"/>
    <x v="1"/>
    <x v="33"/>
    <n v="3788.36"/>
    <x v="733"/>
  </r>
  <r>
    <d v="2023-10-20T00:00:00"/>
    <x v="2"/>
    <x v="3"/>
    <x v="4"/>
    <x v="0"/>
    <n v="2"/>
    <x v="2"/>
    <x v="7"/>
    <n v="4527.13"/>
    <x v="734"/>
  </r>
  <r>
    <d v="2023-06-14T00:00:00"/>
    <x v="2"/>
    <x v="3"/>
    <x v="14"/>
    <x v="3"/>
    <n v="20"/>
    <x v="3"/>
    <x v="35"/>
    <n v="3753.15"/>
    <x v="735"/>
  </r>
  <r>
    <d v="2023-08-06T00:00:00"/>
    <x v="0"/>
    <x v="0"/>
    <x v="0"/>
    <x v="0"/>
    <n v="6"/>
    <x v="4"/>
    <x v="34"/>
    <n v="3363.77"/>
    <x v="736"/>
  </r>
  <r>
    <d v="2023-09-03T00:00:00"/>
    <x v="2"/>
    <x v="3"/>
    <x v="4"/>
    <x v="0"/>
    <n v="12"/>
    <x v="5"/>
    <x v="15"/>
    <n v="1973.14"/>
    <x v="737"/>
  </r>
  <r>
    <d v="2023-03-08T00:00:00"/>
    <x v="0"/>
    <x v="4"/>
    <x v="8"/>
    <x v="0"/>
    <n v="16"/>
    <x v="6"/>
    <x v="23"/>
    <n v="355.63"/>
    <x v="738"/>
  </r>
  <r>
    <d v="2023-06-24T00:00:00"/>
    <x v="2"/>
    <x v="3"/>
    <x v="13"/>
    <x v="0"/>
    <n v="7"/>
    <x v="7"/>
    <x v="20"/>
    <n v="4243.95"/>
    <x v="739"/>
  </r>
  <r>
    <d v="2023-03-19T00:00:00"/>
    <x v="2"/>
    <x v="3"/>
    <x v="14"/>
    <x v="3"/>
    <n v="15"/>
    <x v="8"/>
    <x v="39"/>
    <n v="3256.2"/>
    <x v="740"/>
  </r>
  <r>
    <d v="2023-05-19T00:00:00"/>
    <x v="0"/>
    <x v="4"/>
    <x v="9"/>
    <x v="4"/>
    <n v="13"/>
    <x v="9"/>
    <x v="10"/>
    <n v="4076.94"/>
    <x v="741"/>
  </r>
  <r>
    <d v="2023-04-07T00:00:00"/>
    <x v="1"/>
    <x v="2"/>
    <x v="6"/>
    <x v="0"/>
    <n v="17"/>
    <x v="10"/>
    <x v="9"/>
    <n v="3771.79"/>
    <x v="742"/>
  </r>
  <r>
    <d v="2023-07-07T00:00:00"/>
    <x v="1"/>
    <x v="1"/>
    <x v="1"/>
    <x v="0"/>
    <n v="7"/>
    <x v="11"/>
    <x v="10"/>
    <n v="2016.03"/>
    <x v="743"/>
  </r>
  <r>
    <d v="2023-10-05T00:00:00"/>
    <x v="0"/>
    <x v="4"/>
    <x v="8"/>
    <x v="2"/>
    <n v="9"/>
    <x v="0"/>
    <x v="1"/>
    <n v="722.4"/>
    <x v="744"/>
  </r>
  <r>
    <d v="2023-04-02T00:00:00"/>
    <x v="1"/>
    <x v="1"/>
    <x v="1"/>
    <x v="0"/>
    <n v="5"/>
    <x v="1"/>
    <x v="20"/>
    <n v="491.78"/>
    <x v="745"/>
  </r>
  <r>
    <d v="2023-02-20T00:00:00"/>
    <x v="0"/>
    <x v="4"/>
    <x v="8"/>
    <x v="1"/>
    <n v="19"/>
    <x v="2"/>
    <x v="34"/>
    <n v="2146.17"/>
    <x v="746"/>
  </r>
  <r>
    <d v="2023-05-24T00:00:00"/>
    <x v="0"/>
    <x v="4"/>
    <x v="8"/>
    <x v="3"/>
    <n v="14"/>
    <x v="3"/>
    <x v="0"/>
    <n v="2715.54"/>
    <x v="747"/>
  </r>
  <r>
    <d v="2023-04-10T00:00:00"/>
    <x v="0"/>
    <x v="0"/>
    <x v="0"/>
    <x v="4"/>
    <n v="11"/>
    <x v="4"/>
    <x v="32"/>
    <n v="1708.99"/>
    <x v="748"/>
  </r>
  <r>
    <d v="2023-02-12T00:00:00"/>
    <x v="0"/>
    <x v="4"/>
    <x v="8"/>
    <x v="3"/>
    <n v="1"/>
    <x v="5"/>
    <x v="31"/>
    <n v="1898.15"/>
    <x v="749"/>
  </r>
  <r>
    <d v="2023-10-14T00:00:00"/>
    <x v="1"/>
    <x v="2"/>
    <x v="3"/>
    <x v="0"/>
    <n v="1"/>
    <x v="6"/>
    <x v="39"/>
    <n v="648.88"/>
    <x v="750"/>
  </r>
  <r>
    <d v="2023-12-24T00:00:00"/>
    <x v="1"/>
    <x v="1"/>
    <x v="1"/>
    <x v="0"/>
    <n v="8"/>
    <x v="7"/>
    <x v="27"/>
    <n v="4516.82"/>
    <x v="751"/>
  </r>
  <r>
    <d v="2023-11-24T00:00:00"/>
    <x v="2"/>
    <x v="3"/>
    <x v="14"/>
    <x v="1"/>
    <n v="7"/>
    <x v="8"/>
    <x v="37"/>
    <n v="1102.48"/>
    <x v="752"/>
  </r>
  <r>
    <d v="2023-05-30T00:00:00"/>
    <x v="1"/>
    <x v="2"/>
    <x v="3"/>
    <x v="0"/>
    <n v="4"/>
    <x v="9"/>
    <x v="7"/>
    <n v="2830.6"/>
    <x v="753"/>
  </r>
  <r>
    <d v="2023-08-21T00:00:00"/>
    <x v="1"/>
    <x v="1"/>
    <x v="12"/>
    <x v="4"/>
    <n v="9"/>
    <x v="10"/>
    <x v="7"/>
    <n v="515.97"/>
    <x v="754"/>
  </r>
  <r>
    <d v="2023-01-19T00:00:00"/>
    <x v="2"/>
    <x v="3"/>
    <x v="4"/>
    <x v="4"/>
    <n v="8"/>
    <x v="11"/>
    <x v="3"/>
    <n v="2019.04"/>
    <x v="755"/>
  </r>
  <r>
    <d v="2023-03-31T00:00:00"/>
    <x v="0"/>
    <x v="0"/>
    <x v="10"/>
    <x v="2"/>
    <n v="1"/>
    <x v="0"/>
    <x v="3"/>
    <n v="1889.5"/>
    <x v="756"/>
  </r>
  <r>
    <d v="2023-06-19T00:00:00"/>
    <x v="0"/>
    <x v="0"/>
    <x v="0"/>
    <x v="4"/>
    <n v="2"/>
    <x v="1"/>
    <x v="27"/>
    <n v="3239.94"/>
    <x v="757"/>
  </r>
  <r>
    <d v="2023-01-20T00:00:00"/>
    <x v="1"/>
    <x v="2"/>
    <x v="6"/>
    <x v="0"/>
    <n v="11"/>
    <x v="2"/>
    <x v="7"/>
    <n v="2426.48"/>
    <x v="758"/>
  </r>
  <r>
    <d v="2023-12-15T00:00:00"/>
    <x v="1"/>
    <x v="1"/>
    <x v="1"/>
    <x v="2"/>
    <n v="3"/>
    <x v="3"/>
    <x v="38"/>
    <n v="1043.3900000000001"/>
    <x v="759"/>
  </r>
  <r>
    <d v="2023-02-02T00:00:00"/>
    <x v="0"/>
    <x v="4"/>
    <x v="11"/>
    <x v="4"/>
    <n v="6"/>
    <x v="4"/>
    <x v="8"/>
    <n v="3350.51"/>
    <x v="760"/>
  </r>
  <r>
    <d v="2023-01-08T00:00:00"/>
    <x v="0"/>
    <x v="4"/>
    <x v="11"/>
    <x v="0"/>
    <n v="11"/>
    <x v="5"/>
    <x v="10"/>
    <n v="1278.32"/>
    <x v="761"/>
  </r>
  <r>
    <d v="2023-02-17T00:00:00"/>
    <x v="0"/>
    <x v="4"/>
    <x v="11"/>
    <x v="3"/>
    <n v="20"/>
    <x v="6"/>
    <x v="14"/>
    <n v="1353.54"/>
    <x v="762"/>
  </r>
  <r>
    <d v="2023-01-29T00:00:00"/>
    <x v="0"/>
    <x v="0"/>
    <x v="5"/>
    <x v="4"/>
    <n v="17"/>
    <x v="7"/>
    <x v="35"/>
    <n v="1457.07"/>
    <x v="763"/>
  </r>
  <r>
    <d v="2023-07-20T00:00:00"/>
    <x v="1"/>
    <x v="1"/>
    <x v="12"/>
    <x v="4"/>
    <n v="14"/>
    <x v="8"/>
    <x v="9"/>
    <n v="4894.84"/>
    <x v="764"/>
  </r>
  <r>
    <d v="2023-09-13T00:00:00"/>
    <x v="1"/>
    <x v="2"/>
    <x v="3"/>
    <x v="2"/>
    <n v="8"/>
    <x v="9"/>
    <x v="35"/>
    <n v="4651.3"/>
    <x v="765"/>
  </r>
  <r>
    <d v="2023-12-28T00:00:00"/>
    <x v="0"/>
    <x v="0"/>
    <x v="10"/>
    <x v="0"/>
    <n v="1"/>
    <x v="10"/>
    <x v="13"/>
    <n v="1520.22"/>
    <x v="766"/>
  </r>
  <r>
    <d v="2023-09-30T00:00:00"/>
    <x v="1"/>
    <x v="1"/>
    <x v="7"/>
    <x v="0"/>
    <n v="1"/>
    <x v="11"/>
    <x v="39"/>
    <n v="3754.28"/>
    <x v="767"/>
  </r>
  <r>
    <d v="2023-05-22T00:00:00"/>
    <x v="1"/>
    <x v="2"/>
    <x v="3"/>
    <x v="3"/>
    <n v="17"/>
    <x v="0"/>
    <x v="1"/>
    <n v="947.7"/>
    <x v="768"/>
  </r>
  <r>
    <d v="2023-09-12T00:00:00"/>
    <x v="1"/>
    <x v="1"/>
    <x v="12"/>
    <x v="2"/>
    <n v="6"/>
    <x v="1"/>
    <x v="33"/>
    <n v="2207.64"/>
    <x v="769"/>
  </r>
  <r>
    <d v="2023-01-10T00:00:00"/>
    <x v="0"/>
    <x v="0"/>
    <x v="10"/>
    <x v="2"/>
    <n v="8"/>
    <x v="2"/>
    <x v="3"/>
    <n v="4146.82"/>
    <x v="770"/>
  </r>
  <r>
    <d v="2023-02-05T00:00:00"/>
    <x v="1"/>
    <x v="2"/>
    <x v="6"/>
    <x v="0"/>
    <n v="14"/>
    <x v="3"/>
    <x v="14"/>
    <n v="1273.8399999999999"/>
    <x v="771"/>
  </r>
  <r>
    <d v="2023-02-21T00:00:00"/>
    <x v="1"/>
    <x v="2"/>
    <x v="6"/>
    <x v="2"/>
    <n v="4"/>
    <x v="4"/>
    <x v="4"/>
    <n v="4878.16"/>
    <x v="772"/>
  </r>
  <r>
    <d v="2023-04-19T00:00:00"/>
    <x v="0"/>
    <x v="4"/>
    <x v="11"/>
    <x v="0"/>
    <n v="11"/>
    <x v="5"/>
    <x v="7"/>
    <n v="3072.59"/>
    <x v="773"/>
  </r>
  <r>
    <d v="2023-09-22T00:00:00"/>
    <x v="1"/>
    <x v="1"/>
    <x v="12"/>
    <x v="2"/>
    <n v="12"/>
    <x v="6"/>
    <x v="9"/>
    <n v="549.84"/>
    <x v="774"/>
  </r>
  <r>
    <d v="2023-11-30T00:00:00"/>
    <x v="1"/>
    <x v="1"/>
    <x v="7"/>
    <x v="3"/>
    <n v="7"/>
    <x v="7"/>
    <x v="29"/>
    <n v="3402.48"/>
    <x v="775"/>
  </r>
  <r>
    <d v="2023-12-28T00:00:00"/>
    <x v="1"/>
    <x v="1"/>
    <x v="7"/>
    <x v="4"/>
    <n v="1"/>
    <x v="8"/>
    <x v="8"/>
    <n v="979.17"/>
    <x v="776"/>
  </r>
  <r>
    <d v="2023-09-18T00:00:00"/>
    <x v="0"/>
    <x v="4"/>
    <x v="8"/>
    <x v="3"/>
    <n v="14"/>
    <x v="9"/>
    <x v="29"/>
    <n v="3433.55"/>
    <x v="777"/>
  </r>
  <r>
    <d v="2023-05-21T00:00:00"/>
    <x v="1"/>
    <x v="1"/>
    <x v="7"/>
    <x v="1"/>
    <n v="5"/>
    <x v="10"/>
    <x v="9"/>
    <n v="1757.01"/>
    <x v="778"/>
  </r>
  <r>
    <d v="2023-07-12T00:00:00"/>
    <x v="0"/>
    <x v="4"/>
    <x v="8"/>
    <x v="2"/>
    <n v="16"/>
    <x v="11"/>
    <x v="37"/>
    <n v="4858.3100000000004"/>
    <x v="779"/>
  </r>
  <r>
    <d v="2023-07-18T00:00:00"/>
    <x v="1"/>
    <x v="1"/>
    <x v="7"/>
    <x v="3"/>
    <n v="8"/>
    <x v="0"/>
    <x v="23"/>
    <n v="1366.18"/>
    <x v="780"/>
  </r>
  <r>
    <d v="2023-05-06T00:00:00"/>
    <x v="1"/>
    <x v="2"/>
    <x v="6"/>
    <x v="1"/>
    <n v="4"/>
    <x v="1"/>
    <x v="33"/>
    <n v="2425.52"/>
    <x v="781"/>
  </r>
  <r>
    <d v="2023-07-07T00:00:00"/>
    <x v="1"/>
    <x v="1"/>
    <x v="1"/>
    <x v="3"/>
    <n v="19"/>
    <x v="2"/>
    <x v="5"/>
    <n v="4421.6899999999996"/>
    <x v="782"/>
  </r>
  <r>
    <d v="2023-03-16T00:00:00"/>
    <x v="1"/>
    <x v="2"/>
    <x v="3"/>
    <x v="0"/>
    <n v="15"/>
    <x v="3"/>
    <x v="2"/>
    <n v="4724.91"/>
    <x v="783"/>
  </r>
  <r>
    <d v="2023-02-02T00:00:00"/>
    <x v="0"/>
    <x v="4"/>
    <x v="11"/>
    <x v="2"/>
    <n v="15"/>
    <x v="4"/>
    <x v="29"/>
    <n v="3555.88"/>
    <x v="784"/>
  </r>
  <r>
    <d v="2023-08-16T00:00:00"/>
    <x v="1"/>
    <x v="2"/>
    <x v="2"/>
    <x v="1"/>
    <n v="12"/>
    <x v="5"/>
    <x v="28"/>
    <n v="2557.5700000000002"/>
    <x v="785"/>
  </r>
  <r>
    <d v="2023-08-02T00:00:00"/>
    <x v="0"/>
    <x v="4"/>
    <x v="9"/>
    <x v="1"/>
    <n v="5"/>
    <x v="6"/>
    <x v="17"/>
    <n v="1997.76"/>
    <x v="786"/>
  </r>
  <r>
    <d v="2023-04-05T00:00:00"/>
    <x v="1"/>
    <x v="2"/>
    <x v="6"/>
    <x v="3"/>
    <n v="9"/>
    <x v="7"/>
    <x v="26"/>
    <n v="704.39"/>
    <x v="787"/>
  </r>
  <r>
    <d v="2023-07-26T00:00:00"/>
    <x v="1"/>
    <x v="2"/>
    <x v="6"/>
    <x v="4"/>
    <n v="20"/>
    <x v="8"/>
    <x v="10"/>
    <n v="2446.31"/>
    <x v="788"/>
  </r>
  <r>
    <d v="2023-09-11T00:00:00"/>
    <x v="0"/>
    <x v="0"/>
    <x v="5"/>
    <x v="1"/>
    <n v="10"/>
    <x v="9"/>
    <x v="23"/>
    <n v="2853.88"/>
    <x v="789"/>
  </r>
  <r>
    <d v="2023-03-27T00:00:00"/>
    <x v="0"/>
    <x v="4"/>
    <x v="11"/>
    <x v="0"/>
    <n v="15"/>
    <x v="10"/>
    <x v="17"/>
    <n v="1098.31"/>
    <x v="790"/>
  </r>
  <r>
    <d v="2023-08-01T00:00:00"/>
    <x v="1"/>
    <x v="2"/>
    <x v="3"/>
    <x v="3"/>
    <n v="11"/>
    <x v="11"/>
    <x v="17"/>
    <n v="968.17"/>
    <x v="791"/>
  </r>
  <r>
    <d v="2023-04-19T00:00:00"/>
    <x v="2"/>
    <x v="3"/>
    <x v="14"/>
    <x v="3"/>
    <n v="10"/>
    <x v="0"/>
    <x v="13"/>
    <n v="373.54"/>
    <x v="792"/>
  </r>
  <r>
    <d v="2023-02-03T00:00:00"/>
    <x v="2"/>
    <x v="3"/>
    <x v="13"/>
    <x v="1"/>
    <n v="4"/>
    <x v="1"/>
    <x v="33"/>
    <n v="1938.6"/>
    <x v="793"/>
  </r>
  <r>
    <d v="2023-10-30T00:00:00"/>
    <x v="1"/>
    <x v="2"/>
    <x v="3"/>
    <x v="4"/>
    <n v="9"/>
    <x v="2"/>
    <x v="19"/>
    <n v="3643.26"/>
    <x v="794"/>
  </r>
  <r>
    <d v="2023-05-09T00:00:00"/>
    <x v="0"/>
    <x v="0"/>
    <x v="5"/>
    <x v="4"/>
    <n v="19"/>
    <x v="3"/>
    <x v="11"/>
    <n v="3374.33"/>
    <x v="795"/>
  </r>
  <r>
    <d v="2023-10-25T00:00:00"/>
    <x v="2"/>
    <x v="3"/>
    <x v="14"/>
    <x v="3"/>
    <n v="4"/>
    <x v="4"/>
    <x v="19"/>
    <n v="700.07"/>
    <x v="796"/>
  </r>
  <r>
    <d v="2023-09-18T00:00:00"/>
    <x v="1"/>
    <x v="1"/>
    <x v="7"/>
    <x v="4"/>
    <n v="11"/>
    <x v="5"/>
    <x v="22"/>
    <n v="2677.03"/>
    <x v="797"/>
  </r>
  <r>
    <d v="2023-08-02T00:00:00"/>
    <x v="1"/>
    <x v="2"/>
    <x v="3"/>
    <x v="4"/>
    <n v="13"/>
    <x v="6"/>
    <x v="17"/>
    <n v="1220.76"/>
    <x v="798"/>
  </r>
  <r>
    <d v="2023-06-22T00:00:00"/>
    <x v="0"/>
    <x v="0"/>
    <x v="5"/>
    <x v="0"/>
    <n v="1"/>
    <x v="7"/>
    <x v="28"/>
    <n v="4640.17"/>
    <x v="799"/>
  </r>
  <r>
    <d v="2023-02-08T00:00:00"/>
    <x v="1"/>
    <x v="2"/>
    <x v="2"/>
    <x v="2"/>
    <n v="12"/>
    <x v="8"/>
    <x v="4"/>
    <n v="1608.11"/>
    <x v="800"/>
  </r>
  <r>
    <d v="2023-10-19T00:00:00"/>
    <x v="0"/>
    <x v="0"/>
    <x v="5"/>
    <x v="4"/>
    <n v="8"/>
    <x v="9"/>
    <x v="33"/>
    <n v="3615.06"/>
    <x v="801"/>
  </r>
  <r>
    <d v="2023-05-25T00:00:00"/>
    <x v="0"/>
    <x v="0"/>
    <x v="5"/>
    <x v="3"/>
    <n v="7"/>
    <x v="10"/>
    <x v="36"/>
    <n v="4238.07"/>
    <x v="802"/>
  </r>
  <r>
    <d v="2023-11-09T00:00:00"/>
    <x v="1"/>
    <x v="1"/>
    <x v="12"/>
    <x v="0"/>
    <n v="16"/>
    <x v="11"/>
    <x v="18"/>
    <n v="3981.76"/>
    <x v="803"/>
  </r>
  <r>
    <d v="2023-01-17T00:00:00"/>
    <x v="2"/>
    <x v="3"/>
    <x v="4"/>
    <x v="3"/>
    <n v="6"/>
    <x v="0"/>
    <x v="13"/>
    <n v="3671.84"/>
    <x v="804"/>
  </r>
  <r>
    <d v="2023-10-15T00:00:00"/>
    <x v="1"/>
    <x v="2"/>
    <x v="6"/>
    <x v="3"/>
    <n v="3"/>
    <x v="1"/>
    <x v="29"/>
    <n v="1046.06"/>
    <x v="805"/>
  </r>
  <r>
    <d v="2023-12-10T00:00:00"/>
    <x v="1"/>
    <x v="2"/>
    <x v="3"/>
    <x v="1"/>
    <n v="8"/>
    <x v="2"/>
    <x v="20"/>
    <n v="1595.76"/>
    <x v="806"/>
  </r>
  <r>
    <d v="2023-09-22T00:00:00"/>
    <x v="2"/>
    <x v="3"/>
    <x v="4"/>
    <x v="4"/>
    <n v="8"/>
    <x v="3"/>
    <x v="17"/>
    <n v="4866.58"/>
    <x v="807"/>
  </r>
  <r>
    <d v="2023-09-25T00:00:00"/>
    <x v="0"/>
    <x v="4"/>
    <x v="11"/>
    <x v="2"/>
    <n v="2"/>
    <x v="4"/>
    <x v="18"/>
    <n v="4176.99"/>
    <x v="808"/>
  </r>
  <r>
    <d v="2023-10-04T00:00:00"/>
    <x v="2"/>
    <x v="3"/>
    <x v="4"/>
    <x v="4"/>
    <n v="16"/>
    <x v="5"/>
    <x v="37"/>
    <n v="4860.07"/>
    <x v="809"/>
  </r>
  <r>
    <d v="2023-07-19T00:00:00"/>
    <x v="1"/>
    <x v="1"/>
    <x v="7"/>
    <x v="1"/>
    <n v="4"/>
    <x v="6"/>
    <x v="17"/>
    <n v="277.45"/>
    <x v="810"/>
  </r>
  <r>
    <d v="2023-02-08T00:00:00"/>
    <x v="1"/>
    <x v="1"/>
    <x v="7"/>
    <x v="2"/>
    <n v="13"/>
    <x v="7"/>
    <x v="27"/>
    <n v="1030.9000000000001"/>
    <x v="811"/>
  </r>
  <r>
    <d v="2023-11-28T00:00:00"/>
    <x v="1"/>
    <x v="1"/>
    <x v="12"/>
    <x v="3"/>
    <n v="16"/>
    <x v="8"/>
    <x v="6"/>
    <n v="2573.33"/>
    <x v="812"/>
  </r>
  <r>
    <d v="2023-01-16T00:00:00"/>
    <x v="1"/>
    <x v="2"/>
    <x v="2"/>
    <x v="0"/>
    <n v="18"/>
    <x v="9"/>
    <x v="28"/>
    <n v="1134.8800000000001"/>
    <x v="813"/>
  </r>
  <r>
    <d v="2023-12-23T00:00:00"/>
    <x v="2"/>
    <x v="3"/>
    <x v="13"/>
    <x v="3"/>
    <n v="13"/>
    <x v="10"/>
    <x v="11"/>
    <n v="802.18"/>
    <x v="814"/>
  </r>
  <r>
    <d v="2023-12-28T00:00:00"/>
    <x v="1"/>
    <x v="2"/>
    <x v="6"/>
    <x v="0"/>
    <n v="10"/>
    <x v="11"/>
    <x v="31"/>
    <n v="568.6"/>
    <x v="815"/>
  </r>
  <r>
    <d v="2023-09-23T00:00:00"/>
    <x v="0"/>
    <x v="0"/>
    <x v="5"/>
    <x v="1"/>
    <n v="7"/>
    <x v="0"/>
    <x v="24"/>
    <n v="1801.74"/>
    <x v="816"/>
  </r>
  <r>
    <d v="2023-07-31T00:00:00"/>
    <x v="1"/>
    <x v="1"/>
    <x v="12"/>
    <x v="1"/>
    <n v="13"/>
    <x v="1"/>
    <x v="29"/>
    <n v="968.18"/>
    <x v="817"/>
  </r>
  <r>
    <d v="2023-04-18T00:00:00"/>
    <x v="1"/>
    <x v="1"/>
    <x v="1"/>
    <x v="0"/>
    <n v="6"/>
    <x v="2"/>
    <x v="32"/>
    <n v="3439.83"/>
    <x v="818"/>
  </r>
  <r>
    <d v="2023-08-08T00:00:00"/>
    <x v="1"/>
    <x v="1"/>
    <x v="7"/>
    <x v="2"/>
    <n v="15"/>
    <x v="3"/>
    <x v="38"/>
    <n v="3943.63"/>
    <x v="819"/>
  </r>
  <r>
    <d v="2023-09-03T00:00:00"/>
    <x v="2"/>
    <x v="3"/>
    <x v="14"/>
    <x v="0"/>
    <n v="11"/>
    <x v="4"/>
    <x v="6"/>
    <n v="1418.67"/>
    <x v="820"/>
  </r>
  <r>
    <d v="2023-01-12T00:00:00"/>
    <x v="1"/>
    <x v="1"/>
    <x v="7"/>
    <x v="3"/>
    <n v="16"/>
    <x v="5"/>
    <x v="24"/>
    <n v="2976.17"/>
    <x v="821"/>
  </r>
  <r>
    <d v="2023-07-02T00:00:00"/>
    <x v="2"/>
    <x v="3"/>
    <x v="13"/>
    <x v="1"/>
    <n v="4"/>
    <x v="6"/>
    <x v="1"/>
    <n v="2984.27"/>
    <x v="822"/>
  </r>
  <r>
    <d v="2023-03-12T00:00:00"/>
    <x v="1"/>
    <x v="1"/>
    <x v="7"/>
    <x v="2"/>
    <n v="2"/>
    <x v="7"/>
    <x v="30"/>
    <n v="1888.47"/>
    <x v="823"/>
  </r>
  <r>
    <d v="2023-11-04T00:00:00"/>
    <x v="0"/>
    <x v="4"/>
    <x v="11"/>
    <x v="0"/>
    <n v="18"/>
    <x v="8"/>
    <x v="2"/>
    <n v="651.22"/>
    <x v="824"/>
  </r>
  <r>
    <d v="2023-06-12T00:00:00"/>
    <x v="1"/>
    <x v="2"/>
    <x v="6"/>
    <x v="0"/>
    <n v="3"/>
    <x v="9"/>
    <x v="10"/>
    <n v="3109.18"/>
    <x v="825"/>
  </r>
  <r>
    <d v="2023-08-05T00:00:00"/>
    <x v="0"/>
    <x v="0"/>
    <x v="10"/>
    <x v="0"/>
    <n v="11"/>
    <x v="10"/>
    <x v="7"/>
    <n v="587.46"/>
    <x v="826"/>
  </r>
  <r>
    <d v="2023-02-15T00:00:00"/>
    <x v="2"/>
    <x v="3"/>
    <x v="13"/>
    <x v="1"/>
    <n v="1"/>
    <x v="11"/>
    <x v="39"/>
    <n v="2466.0100000000002"/>
    <x v="827"/>
  </r>
  <r>
    <d v="2023-10-24T00:00:00"/>
    <x v="0"/>
    <x v="4"/>
    <x v="8"/>
    <x v="3"/>
    <n v="19"/>
    <x v="0"/>
    <x v="7"/>
    <n v="3907.56"/>
    <x v="828"/>
  </r>
  <r>
    <d v="2023-07-22T00:00:00"/>
    <x v="2"/>
    <x v="3"/>
    <x v="4"/>
    <x v="1"/>
    <n v="5"/>
    <x v="1"/>
    <x v="4"/>
    <n v="2463.9499999999998"/>
    <x v="829"/>
  </r>
  <r>
    <d v="2023-01-07T00:00:00"/>
    <x v="1"/>
    <x v="1"/>
    <x v="1"/>
    <x v="0"/>
    <n v="7"/>
    <x v="2"/>
    <x v="18"/>
    <n v="410.28"/>
    <x v="830"/>
  </r>
  <r>
    <d v="2023-05-23T00:00:00"/>
    <x v="0"/>
    <x v="4"/>
    <x v="9"/>
    <x v="2"/>
    <n v="16"/>
    <x v="3"/>
    <x v="10"/>
    <n v="704.88"/>
    <x v="831"/>
  </r>
  <r>
    <d v="2023-01-06T00:00:00"/>
    <x v="1"/>
    <x v="2"/>
    <x v="2"/>
    <x v="2"/>
    <n v="2"/>
    <x v="4"/>
    <x v="38"/>
    <n v="779.35"/>
    <x v="832"/>
  </r>
  <r>
    <d v="2023-07-28T00:00:00"/>
    <x v="2"/>
    <x v="3"/>
    <x v="14"/>
    <x v="1"/>
    <n v="18"/>
    <x v="5"/>
    <x v="39"/>
    <n v="276.35000000000002"/>
    <x v="833"/>
  </r>
  <r>
    <d v="2023-02-23T00:00:00"/>
    <x v="1"/>
    <x v="1"/>
    <x v="7"/>
    <x v="2"/>
    <n v="12"/>
    <x v="6"/>
    <x v="32"/>
    <n v="4964.87"/>
    <x v="834"/>
  </r>
  <r>
    <d v="2023-06-15T00:00:00"/>
    <x v="0"/>
    <x v="4"/>
    <x v="9"/>
    <x v="2"/>
    <n v="10"/>
    <x v="7"/>
    <x v="13"/>
    <n v="1979.32"/>
    <x v="835"/>
  </r>
  <r>
    <d v="2023-09-05T00:00:00"/>
    <x v="0"/>
    <x v="4"/>
    <x v="9"/>
    <x v="3"/>
    <n v="7"/>
    <x v="8"/>
    <x v="27"/>
    <n v="978.46"/>
    <x v="836"/>
  </r>
  <r>
    <d v="2023-06-05T00:00:00"/>
    <x v="2"/>
    <x v="3"/>
    <x v="13"/>
    <x v="4"/>
    <n v="1"/>
    <x v="9"/>
    <x v="0"/>
    <n v="1591.88"/>
    <x v="837"/>
  </r>
  <r>
    <d v="2023-03-01T00:00:00"/>
    <x v="1"/>
    <x v="2"/>
    <x v="6"/>
    <x v="2"/>
    <n v="12"/>
    <x v="10"/>
    <x v="36"/>
    <n v="4403.8500000000004"/>
    <x v="838"/>
  </r>
  <r>
    <d v="2023-02-20T00:00:00"/>
    <x v="1"/>
    <x v="2"/>
    <x v="3"/>
    <x v="1"/>
    <n v="8"/>
    <x v="11"/>
    <x v="22"/>
    <n v="1481.04"/>
    <x v="839"/>
  </r>
  <r>
    <d v="2023-07-02T00:00:00"/>
    <x v="1"/>
    <x v="1"/>
    <x v="7"/>
    <x v="3"/>
    <n v="20"/>
    <x v="0"/>
    <x v="15"/>
    <n v="722.13"/>
    <x v="840"/>
  </r>
  <r>
    <d v="2023-02-06T00:00:00"/>
    <x v="2"/>
    <x v="3"/>
    <x v="13"/>
    <x v="1"/>
    <n v="6"/>
    <x v="1"/>
    <x v="21"/>
    <n v="2772.51"/>
    <x v="841"/>
  </r>
  <r>
    <d v="2023-05-29T00:00:00"/>
    <x v="1"/>
    <x v="1"/>
    <x v="12"/>
    <x v="3"/>
    <n v="4"/>
    <x v="2"/>
    <x v="9"/>
    <n v="1993.97"/>
    <x v="842"/>
  </r>
  <r>
    <d v="2023-02-03T00:00:00"/>
    <x v="0"/>
    <x v="4"/>
    <x v="8"/>
    <x v="3"/>
    <n v="4"/>
    <x v="3"/>
    <x v="8"/>
    <n v="2514.88"/>
    <x v="843"/>
  </r>
  <r>
    <d v="2023-07-26T00:00:00"/>
    <x v="0"/>
    <x v="4"/>
    <x v="11"/>
    <x v="3"/>
    <n v="15"/>
    <x v="4"/>
    <x v="23"/>
    <n v="2006.04"/>
    <x v="844"/>
  </r>
  <r>
    <d v="2023-07-21T00:00:00"/>
    <x v="0"/>
    <x v="0"/>
    <x v="5"/>
    <x v="1"/>
    <n v="16"/>
    <x v="5"/>
    <x v="6"/>
    <n v="4780.7700000000004"/>
    <x v="845"/>
  </r>
  <r>
    <d v="2023-02-23T00:00:00"/>
    <x v="0"/>
    <x v="4"/>
    <x v="11"/>
    <x v="2"/>
    <n v="19"/>
    <x v="6"/>
    <x v="29"/>
    <n v="1067.6199999999999"/>
    <x v="846"/>
  </r>
  <r>
    <d v="2023-08-30T00:00:00"/>
    <x v="1"/>
    <x v="2"/>
    <x v="3"/>
    <x v="3"/>
    <n v="3"/>
    <x v="7"/>
    <x v="14"/>
    <n v="4363.3"/>
    <x v="847"/>
  </r>
  <r>
    <d v="2023-11-12T00:00:00"/>
    <x v="0"/>
    <x v="0"/>
    <x v="0"/>
    <x v="0"/>
    <n v="14"/>
    <x v="8"/>
    <x v="18"/>
    <n v="492.06"/>
    <x v="848"/>
  </r>
  <r>
    <d v="2023-09-01T00:00:00"/>
    <x v="0"/>
    <x v="4"/>
    <x v="9"/>
    <x v="2"/>
    <n v="19"/>
    <x v="9"/>
    <x v="8"/>
    <n v="3326.91"/>
    <x v="849"/>
  </r>
  <r>
    <d v="2023-10-24T00:00:00"/>
    <x v="1"/>
    <x v="1"/>
    <x v="12"/>
    <x v="2"/>
    <n v="11"/>
    <x v="10"/>
    <x v="29"/>
    <n v="841.99"/>
    <x v="850"/>
  </r>
  <r>
    <d v="2023-11-12T00:00:00"/>
    <x v="0"/>
    <x v="0"/>
    <x v="0"/>
    <x v="4"/>
    <n v="7"/>
    <x v="11"/>
    <x v="26"/>
    <n v="1458"/>
    <x v="851"/>
  </r>
  <r>
    <d v="2023-08-29T00:00:00"/>
    <x v="0"/>
    <x v="0"/>
    <x v="5"/>
    <x v="2"/>
    <n v="5"/>
    <x v="0"/>
    <x v="26"/>
    <n v="3342.48"/>
    <x v="852"/>
  </r>
  <r>
    <d v="2023-03-10T00:00:00"/>
    <x v="1"/>
    <x v="1"/>
    <x v="12"/>
    <x v="0"/>
    <n v="5"/>
    <x v="1"/>
    <x v="9"/>
    <n v="4300.7"/>
    <x v="853"/>
  </r>
  <r>
    <d v="2023-05-06T00:00:00"/>
    <x v="2"/>
    <x v="3"/>
    <x v="4"/>
    <x v="0"/>
    <n v="18"/>
    <x v="2"/>
    <x v="1"/>
    <n v="4861.3100000000004"/>
    <x v="854"/>
  </r>
  <r>
    <d v="2023-11-08T00:00:00"/>
    <x v="2"/>
    <x v="3"/>
    <x v="4"/>
    <x v="4"/>
    <n v="17"/>
    <x v="3"/>
    <x v="28"/>
    <n v="2216.38"/>
    <x v="855"/>
  </r>
  <r>
    <d v="2023-08-30T00:00:00"/>
    <x v="2"/>
    <x v="3"/>
    <x v="4"/>
    <x v="2"/>
    <n v="18"/>
    <x v="4"/>
    <x v="26"/>
    <n v="448.42"/>
    <x v="856"/>
  </r>
  <r>
    <d v="2023-11-28T00:00:00"/>
    <x v="0"/>
    <x v="0"/>
    <x v="10"/>
    <x v="2"/>
    <n v="20"/>
    <x v="5"/>
    <x v="8"/>
    <n v="4226.93"/>
    <x v="857"/>
  </r>
  <r>
    <d v="2023-07-24T00:00:00"/>
    <x v="0"/>
    <x v="0"/>
    <x v="10"/>
    <x v="2"/>
    <n v="16"/>
    <x v="6"/>
    <x v="6"/>
    <n v="1575.89"/>
    <x v="858"/>
  </r>
  <r>
    <d v="2023-04-09T00:00:00"/>
    <x v="1"/>
    <x v="1"/>
    <x v="12"/>
    <x v="0"/>
    <n v="8"/>
    <x v="7"/>
    <x v="3"/>
    <n v="1968.58"/>
    <x v="859"/>
  </r>
  <r>
    <d v="2023-09-14T00:00:00"/>
    <x v="0"/>
    <x v="4"/>
    <x v="8"/>
    <x v="2"/>
    <n v="4"/>
    <x v="8"/>
    <x v="15"/>
    <n v="3377.27"/>
    <x v="860"/>
  </r>
  <r>
    <d v="2023-02-22T00:00:00"/>
    <x v="1"/>
    <x v="1"/>
    <x v="12"/>
    <x v="0"/>
    <n v="2"/>
    <x v="9"/>
    <x v="24"/>
    <n v="296.52999999999997"/>
    <x v="861"/>
  </r>
  <r>
    <d v="2023-11-27T00:00:00"/>
    <x v="0"/>
    <x v="4"/>
    <x v="9"/>
    <x v="1"/>
    <n v="12"/>
    <x v="10"/>
    <x v="27"/>
    <n v="749.68"/>
    <x v="862"/>
  </r>
  <r>
    <d v="2023-03-03T00:00:00"/>
    <x v="0"/>
    <x v="0"/>
    <x v="5"/>
    <x v="4"/>
    <n v="11"/>
    <x v="11"/>
    <x v="27"/>
    <n v="3584.06"/>
    <x v="863"/>
  </r>
  <r>
    <d v="2023-11-02T00:00:00"/>
    <x v="0"/>
    <x v="0"/>
    <x v="5"/>
    <x v="2"/>
    <n v="15"/>
    <x v="0"/>
    <x v="28"/>
    <n v="2869.14"/>
    <x v="864"/>
  </r>
  <r>
    <d v="2023-02-04T00:00:00"/>
    <x v="0"/>
    <x v="0"/>
    <x v="0"/>
    <x v="4"/>
    <n v="17"/>
    <x v="1"/>
    <x v="12"/>
    <n v="4100.2700000000004"/>
    <x v="865"/>
  </r>
  <r>
    <d v="2023-10-28T00:00:00"/>
    <x v="1"/>
    <x v="2"/>
    <x v="2"/>
    <x v="3"/>
    <n v="3"/>
    <x v="2"/>
    <x v="35"/>
    <n v="2756.83"/>
    <x v="866"/>
  </r>
  <r>
    <d v="2023-12-18T00:00:00"/>
    <x v="1"/>
    <x v="2"/>
    <x v="3"/>
    <x v="1"/>
    <n v="13"/>
    <x v="3"/>
    <x v="2"/>
    <n v="2829.47"/>
    <x v="867"/>
  </r>
  <r>
    <d v="2023-04-16T00:00:00"/>
    <x v="0"/>
    <x v="4"/>
    <x v="9"/>
    <x v="2"/>
    <n v="17"/>
    <x v="4"/>
    <x v="2"/>
    <n v="1340.98"/>
    <x v="868"/>
  </r>
  <r>
    <d v="2023-02-28T00:00:00"/>
    <x v="1"/>
    <x v="1"/>
    <x v="1"/>
    <x v="0"/>
    <n v="10"/>
    <x v="5"/>
    <x v="19"/>
    <n v="429.69"/>
    <x v="869"/>
  </r>
  <r>
    <d v="2023-06-28T00:00:00"/>
    <x v="0"/>
    <x v="0"/>
    <x v="5"/>
    <x v="0"/>
    <n v="17"/>
    <x v="6"/>
    <x v="4"/>
    <n v="4982.8100000000004"/>
    <x v="870"/>
  </r>
  <r>
    <d v="2023-05-03T00:00:00"/>
    <x v="0"/>
    <x v="0"/>
    <x v="0"/>
    <x v="1"/>
    <n v="19"/>
    <x v="7"/>
    <x v="15"/>
    <n v="4137.4399999999996"/>
    <x v="871"/>
  </r>
  <r>
    <d v="2023-10-06T00:00:00"/>
    <x v="2"/>
    <x v="3"/>
    <x v="4"/>
    <x v="4"/>
    <n v="4"/>
    <x v="8"/>
    <x v="11"/>
    <n v="1147.06"/>
    <x v="872"/>
  </r>
  <r>
    <d v="2023-02-18T00:00:00"/>
    <x v="1"/>
    <x v="1"/>
    <x v="1"/>
    <x v="2"/>
    <n v="15"/>
    <x v="9"/>
    <x v="32"/>
    <n v="1972.75"/>
    <x v="873"/>
  </r>
  <r>
    <d v="2023-07-14T00:00:00"/>
    <x v="2"/>
    <x v="3"/>
    <x v="4"/>
    <x v="4"/>
    <n v="16"/>
    <x v="10"/>
    <x v="20"/>
    <n v="1192.3800000000001"/>
    <x v="874"/>
  </r>
  <r>
    <d v="2023-07-06T00:00:00"/>
    <x v="0"/>
    <x v="0"/>
    <x v="5"/>
    <x v="0"/>
    <n v="5"/>
    <x v="11"/>
    <x v="28"/>
    <n v="2545.9299999999998"/>
    <x v="875"/>
  </r>
  <r>
    <d v="2023-05-28T00:00:00"/>
    <x v="1"/>
    <x v="2"/>
    <x v="6"/>
    <x v="4"/>
    <n v="20"/>
    <x v="0"/>
    <x v="1"/>
    <n v="2860.96"/>
    <x v="876"/>
  </r>
  <r>
    <d v="2023-04-23T00:00:00"/>
    <x v="0"/>
    <x v="0"/>
    <x v="0"/>
    <x v="4"/>
    <n v="14"/>
    <x v="1"/>
    <x v="4"/>
    <n v="2775.33"/>
    <x v="877"/>
  </r>
  <r>
    <d v="2023-04-23T00:00:00"/>
    <x v="1"/>
    <x v="1"/>
    <x v="12"/>
    <x v="0"/>
    <n v="15"/>
    <x v="2"/>
    <x v="0"/>
    <n v="3285.68"/>
    <x v="878"/>
  </r>
  <r>
    <d v="2023-10-26T00:00:00"/>
    <x v="1"/>
    <x v="1"/>
    <x v="12"/>
    <x v="3"/>
    <n v="18"/>
    <x v="3"/>
    <x v="14"/>
    <n v="1132.04"/>
    <x v="879"/>
  </r>
  <r>
    <d v="2023-06-06T00:00:00"/>
    <x v="0"/>
    <x v="0"/>
    <x v="0"/>
    <x v="3"/>
    <n v="6"/>
    <x v="4"/>
    <x v="17"/>
    <n v="1205.3599999999999"/>
    <x v="880"/>
  </r>
  <r>
    <d v="2023-08-06T00:00:00"/>
    <x v="0"/>
    <x v="4"/>
    <x v="9"/>
    <x v="2"/>
    <n v="20"/>
    <x v="5"/>
    <x v="7"/>
    <n v="4944.01"/>
    <x v="881"/>
  </r>
  <r>
    <d v="2023-09-12T00:00:00"/>
    <x v="1"/>
    <x v="1"/>
    <x v="7"/>
    <x v="0"/>
    <n v="11"/>
    <x v="6"/>
    <x v="26"/>
    <n v="268.13"/>
    <x v="882"/>
  </r>
  <r>
    <d v="2023-07-05T00:00:00"/>
    <x v="2"/>
    <x v="3"/>
    <x v="4"/>
    <x v="0"/>
    <n v="14"/>
    <x v="7"/>
    <x v="7"/>
    <n v="564.63"/>
    <x v="883"/>
  </r>
  <r>
    <d v="2023-06-13T00:00:00"/>
    <x v="2"/>
    <x v="3"/>
    <x v="13"/>
    <x v="2"/>
    <n v="5"/>
    <x v="8"/>
    <x v="30"/>
    <n v="1412.08"/>
    <x v="884"/>
  </r>
  <r>
    <d v="2023-05-28T00:00:00"/>
    <x v="1"/>
    <x v="1"/>
    <x v="7"/>
    <x v="3"/>
    <n v="2"/>
    <x v="9"/>
    <x v="19"/>
    <n v="4019.4"/>
    <x v="885"/>
  </r>
  <r>
    <d v="2023-06-27T00:00:00"/>
    <x v="0"/>
    <x v="0"/>
    <x v="10"/>
    <x v="1"/>
    <n v="12"/>
    <x v="10"/>
    <x v="28"/>
    <n v="3076.03"/>
    <x v="886"/>
  </r>
  <r>
    <d v="2023-03-23T00:00:00"/>
    <x v="2"/>
    <x v="3"/>
    <x v="4"/>
    <x v="1"/>
    <n v="2"/>
    <x v="11"/>
    <x v="29"/>
    <n v="233.75"/>
    <x v="887"/>
  </r>
  <r>
    <d v="2023-04-11T00:00:00"/>
    <x v="0"/>
    <x v="0"/>
    <x v="0"/>
    <x v="0"/>
    <n v="9"/>
    <x v="0"/>
    <x v="32"/>
    <n v="2376.12"/>
    <x v="888"/>
  </r>
  <r>
    <d v="2023-06-30T00:00:00"/>
    <x v="1"/>
    <x v="1"/>
    <x v="12"/>
    <x v="3"/>
    <n v="20"/>
    <x v="1"/>
    <x v="14"/>
    <n v="603.49"/>
    <x v="889"/>
  </r>
  <r>
    <d v="2023-05-23T00:00:00"/>
    <x v="1"/>
    <x v="1"/>
    <x v="1"/>
    <x v="2"/>
    <n v="15"/>
    <x v="2"/>
    <x v="36"/>
    <n v="4269.32"/>
    <x v="890"/>
  </r>
  <r>
    <d v="2023-09-23T00:00:00"/>
    <x v="0"/>
    <x v="0"/>
    <x v="0"/>
    <x v="4"/>
    <n v="6"/>
    <x v="3"/>
    <x v="10"/>
    <n v="686.38"/>
    <x v="891"/>
  </r>
  <r>
    <d v="2023-07-01T00:00:00"/>
    <x v="2"/>
    <x v="3"/>
    <x v="14"/>
    <x v="3"/>
    <n v="14"/>
    <x v="4"/>
    <x v="14"/>
    <n v="2429.23"/>
    <x v="892"/>
  </r>
  <r>
    <d v="2023-02-03T00:00:00"/>
    <x v="0"/>
    <x v="4"/>
    <x v="11"/>
    <x v="2"/>
    <n v="5"/>
    <x v="5"/>
    <x v="34"/>
    <n v="3770.46"/>
    <x v="893"/>
  </r>
  <r>
    <d v="2023-12-18T00:00:00"/>
    <x v="0"/>
    <x v="4"/>
    <x v="11"/>
    <x v="0"/>
    <n v="5"/>
    <x v="6"/>
    <x v="32"/>
    <n v="2162.08"/>
    <x v="894"/>
  </r>
  <r>
    <d v="2023-07-21T00:00:00"/>
    <x v="2"/>
    <x v="3"/>
    <x v="14"/>
    <x v="2"/>
    <n v="6"/>
    <x v="7"/>
    <x v="34"/>
    <n v="1366.98"/>
    <x v="895"/>
  </r>
  <r>
    <d v="2023-09-17T00:00:00"/>
    <x v="2"/>
    <x v="3"/>
    <x v="4"/>
    <x v="1"/>
    <n v="7"/>
    <x v="8"/>
    <x v="6"/>
    <n v="3063.53"/>
    <x v="896"/>
  </r>
  <r>
    <d v="2023-03-25T00:00:00"/>
    <x v="1"/>
    <x v="2"/>
    <x v="6"/>
    <x v="2"/>
    <n v="17"/>
    <x v="9"/>
    <x v="1"/>
    <n v="578.88"/>
    <x v="897"/>
  </r>
  <r>
    <d v="2023-06-30T00:00:00"/>
    <x v="2"/>
    <x v="3"/>
    <x v="14"/>
    <x v="4"/>
    <n v="12"/>
    <x v="10"/>
    <x v="16"/>
    <n v="3981.34"/>
    <x v="898"/>
  </r>
  <r>
    <d v="2023-02-22T00:00:00"/>
    <x v="1"/>
    <x v="1"/>
    <x v="1"/>
    <x v="1"/>
    <n v="20"/>
    <x v="11"/>
    <x v="1"/>
    <n v="2750.28"/>
    <x v="899"/>
  </r>
  <r>
    <d v="2023-09-07T00:00:00"/>
    <x v="0"/>
    <x v="0"/>
    <x v="0"/>
    <x v="1"/>
    <n v="13"/>
    <x v="0"/>
    <x v="35"/>
    <n v="2809.29"/>
    <x v="900"/>
  </r>
  <r>
    <d v="2023-01-21T00:00:00"/>
    <x v="1"/>
    <x v="2"/>
    <x v="3"/>
    <x v="0"/>
    <n v="14"/>
    <x v="1"/>
    <x v="5"/>
    <n v="1487.12"/>
    <x v="901"/>
  </r>
  <r>
    <d v="2023-12-25T00:00:00"/>
    <x v="1"/>
    <x v="2"/>
    <x v="2"/>
    <x v="4"/>
    <n v="18"/>
    <x v="2"/>
    <x v="7"/>
    <n v="1279.4100000000001"/>
    <x v="902"/>
  </r>
  <r>
    <d v="2023-01-25T00:00:00"/>
    <x v="0"/>
    <x v="0"/>
    <x v="10"/>
    <x v="3"/>
    <n v="2"/>
    <x v="3"/>
    <x v="33"/>
    <n v="4439.5"/>
    <x v="903"/>
  </r>
  <r>
    <d v="2023-04-07T00:00:00"/>
    <x v="0"/>
    <x v="0"/>
    <x v="0"/>
    <x v="0"/>
    <n v="13"/>
    <x v="4"/>
    <x v="32"/>
    <n v="4850.17"/>
    <x v="904"/>
  </r>
  <r>
    <d v="2023-05-24T00:00:00"/>
    <x v="0"/>
    <x v="0"/>
    <x v="5"/>
    <x v="3"/>
    <n v="4"/>
    <x v="5"/>
    <x v="0"/>
    <n v="2792.23"/>
    <x v="905"/>
  </r>
  <r>
    <d v="2023-08-02T00:00:00"/>
    <x v="0"/>
    <x v="4"/>
    <x v="8"/>
    <x v="0"/>
    <n v="17"/>
    <x v="6"/>
    <x v="12"/>
    <n v="4953.04"/>
    <x v="906"/>
  </r>
  <r>
    <d v="2023-09-29T00:00:00"/>
    <x v="1"/>
    <x v="1"/>
    <x v="1"/>
    <x v="0"/>
    <n v="14"/>
    <x v="7"/>
    <x v="24"/>
    <n v="4192.8599999999997"/>
    <x v="907"/>
  </r>
  <r>
    <d v="2023-07-27T00:00:00"/>
    <x v="1"/>
    <x v="1"/>
    <x v="12"/>
    <x v="3"/>
    <n v="19"/>
    <x v="8"/>
    <x v="7"/>
    <n v="2848.96"/>
    <x v="908"/>
  </r>
  <r>
    <d v="2023-09-30T00:00:00"/>
    <x v="0"/>
    <x v="0"/>
    <x v="0"/>
    <x v="0"/>
    <n v="12"/>
    <x v="9"/>
    <x v="23"/>
    <n v="1352.89"/>
    <x v="909"/>
  </r>
  <r>
    <d v="2023-06-24T00:00:00"/>
    <x v="1"/>
    <x v="2"/>
    <x v="6"/>
    <x v="3"/>
    <n v="14"/>
    <x v="10"/>
    <x v="3"/>
    <n v="264.60000000000002"/>
    <x v="910"/>
  </r>
  <r>
    <d v="2023-07-08T00:00:00"/>
    <x v="1"/>
    <x v="1"/>
    <x v="1"/>
    <x v="0"/>
    <n v="17"/>
    <x v="11"/>
    <x v="0"/>
    <n v="2316.09"/>
    <x v="911"/>
  </r>
  <r>
    <d v="2023-07-16T00:00:00"/>
    <x v="0"/>
    <x v="0"/>
    <x v="10"/>
    <x v="0"/>
    <n v="8"/>
    <x v="0"/>
    <x v="10"/>
    <n v="1371.28"/>
    <x v="912"/>
  </r>
  <r>
    <d v="2023-02-01T00:00:00"/>
    <x v="2"/>
    <x v="3"/>
    <x v="4"/>
    <x v="1"/>
    <n v="10"/>
    <x v="1"/>
    <x v="32"/>
    <n v="4298.32"/>
    <x v="913"/>
  </r>
  <r>
    <d v="2023-03-04T00:00:00"/>
    <x v="1"/>
    <x v="1"/>
    <x v="12"/>
    <x v="1"/>
    <n v="19"/>
    <x v="2"/>
    <x v="10"/>
    <n v="636.20000000000005"/>
    <x v="914"/>
  </r>
  <r>
    <d v="2023-06-15T00:00:00"/>
    <x v="2"/>
    <x v="3"/>
    <x v="4"/>
    <x v="3"/>
    <n v="15"/>
    <x v="3"/>
    <x v="9"/>
    <n v="3218.59"/>
    <x v="915"/>
  </r>
  <r>
    <d v="2023-09-11T00:00:00"/>
    <x v="0"/>
    <x v="0"/>
    <x v="10"/>
    <x v="2"/>
    <n v="9"/>
    <x v="4"/>
    <x v="18"/>
    <n v="2660.79"/>
    <x v="916"/>
  </r>
  <r>
    <d v="2023-08-30T00:00:00"/>
    <x v="2"/>
    <x v="3"/>
    <x v="4"/>
    <x v="2"/>
    <n v="5"/>
    <x v="5"/>
    <x v="13"/>
    <n v="334.29"/>
    <x v="917"/>
  </r>
  <r>
    <d v="2023-04-16T00:00:00"/>
    <x v="1"/>
    <x v="2"/>
    <x v="3"/>
    <x v="3"/>
    <n v="10"/>
    <x v="6"/>
    <x v="34"/>
    <n v="2861.62"/>
    <x v="918"/>
  </r>
  <r>
    <d v="2023-04-22T00:00:00"/>
    <x v="1"/>
    <x v="2"/>
    <x v="6"/>
    <x v="4"/>
    <n v="4"/>
    <x v="7"/>
    <x v="18"/>
    <n v="4782.74"/>
    <x v="919"/>
  </r>
  <r>
    <d v="2023-06-20T00:00:00"/>
    <x v="1"/>
    <x v="2"/>
    <x v="6"/>
    <x v="1"/>
    <n v="19"/>
    <x v="8"/>
    <x v="29"/>
    <n v="2304.92"/>
    <x v="920"/>
  </r>
  <r>
    <d v="2023-07-07T00:00:00"/>
    <x v="1"/>
    <x v="2"/>
    <x v="6"/>
    <x v="4"/>
    <n v="1"/>
    <x v="9"/>
    <x v="37"/>
    <n v="1355.14"/>
    <x v="921"/>
  </r>
  <r>
    <d v="2023-02-20T00:00:00"/>
    <x v="0"/>
    <x v="0"/>
    <x v="10"/>
    <x v="1"/>
    <n v="19"/>
    <x v="10"/>
    <x v="14"/>
    <n v="3683.04"/>
    <x v="922"/>
  </r>
  <r>
    <d v="2023-07-26T00:00:00"/>
    <x v="1"/>
    <x v="2"/>
    <x v="6"/>
    <x v="1"/>
    <n v="5"/>
    <x v="11"/>
    <x v="35"/>
    <n v="4281.1499999999996"/>
    <x v="923"/>
  </r>
  <r>
    <d v="2023-08-18T00:00:00"/>
    <x v="1"/>
    <x v="2"/>
    <x v="3"/>
    <x v="0"/>
    <n v="3"/>
    <x v="0"/>
    <x v="38"/>
    <n v="1577.9"/>
    <x v="924"/>
  </r>
  <r>
    <d v="2023-03-11T00:00:00"/>
    <x v="1"/>
    <x v="2"/>
    <x v="3"/>
    <x v="1"/>
    <n v="19"/>
    <x v="1"/>
    <x v="32"/>
    <n v="2814.94"/>
    <x v="925"/>
  </r>
  <r>
    <d v="2023-12-20T00:00:00"/>
    <x v="1"/>
    <x v="1"/>
    <x v="1"/>
    <x v="2"/>
    <n v="13"/>
    <x v="2"/>
    <x v="13"/>
    <n v="512.69000000000005"/>
    <x v="926"/>
  </r>
  <r>
    <d v="2023-04-08T00:00:00"/>
    <x v="2"/>
    <x v="3"/>
    <x v="14"/>
    <x v="2"/>
    <n v="6"/>
    <x v="3"/>
    <x v="38"/>
    <n v="4939.09"/>
    <x v="927"/>
  </r>
  <r>
    <d v="2023-03-18T00:00:00"/>
    <x v="2"/>
    <x v="3"/>
    <x v="4"/>
    <x v="1"/>
    <n v="6"/>
    <x v="4"/>
    <x v="21"/>
    <n v="4984.92"/>
    <x v="928"/>
  </r>
  <r>
    <d v="2023-09-29T00:00:00"/>
    <x v="0"/>
    <x v="0"/>
    <x v="10"/>
    <x v="0"/>
    <n v="9"/>
    <x v="5"/>
    <x v="22"/>
    <n v="1001.37"/>
    <x v="929"/>
  </r>
  <r>
    <d v="2023-03-31T00:00:00"/>
    <x v="1"/>
    <x v="2"/>
    <x v="2"/>
    <x v="1"/>
    <n v="17"/>
    <x v="6"/>
    <x v="10"/>
    <n v="4515.21"/>
    <x v="930"/>
  </r>
  <r>
    <d v="2023-11-13T00:00:00"/>
    <x v="2"/>
    <x v="3"/>
    <x v="13"/>
    <x v="3"/>
    <n v="19"/>
    <x v="7"/>
    <x v="36"/>
    <n v="2532.7800000000002"/>
    <x v="931"/>
  </r>
  <r>
    <d v="2023-11-30T00:00:00"/>
    <x v="1"/>
    <x v="2"/>
    <x v="3"/>
    <x v="3"/>
    <n v="17"/>
    <x v="8"/>
    <x v="9"/>
    <n v="4890.5"/>
    <x v="932"/>
  </r>
  <r>
    <d v="2023-08-23T00:00:00"/>
    <x v="1"/>
    <x v="2"/>
    <x v="3"/>
    <x v="2"/>
    <n v="3"/>
    <x v="9"/>
    <x v="30"/>
    <n v="1076.57"/>
    <x v="933"/>
  </r>
  <r>
    <d v="2023-10-05T00:00:00"/>
    <x v="1"/>
    <x v="1"/>
    <x v="12"/>
    <x v="2"/>
    <n v="10"/>
    <x v="10"/>
    <x v="6"/>
    <n v="3540.6"/>
    <x v="934"/>
  </r>
  <r>
    <d v="2023-03-14T00:00:00"/>
    <x v="0"/>
    <x v="4"/>
    <x v="11"/>
    <x v="4"/>
    <n v="13"/>
    <x v="11"/>
    <x v="20"/>
    <n v="2163.4"/>
    <x v="935"/>
  </r>
  <r>
    <d v="2023-07-15T00:00:00"/>
    <x v="0"/>
    <x v="0"/>
    <x v="0"/>
    <x v="1"/>
    <n v="20"/>
    <x v="0"/>
    <x v="35"/>
    <n v="1977"/>
    <x v="936"/>
  </r>
  <r>
    <d v="2023-04-16T00:00:00"/>
    <x v="2"/>
    <x v="3"/>
    <x v="14"/>
    <x v="1"/>
    <n v="2"/>
    <x v="1"/>
    <x v="4"/>
    <n v="528.62"/>
    <x v="937"/>
  </r>
  <r>
    <d v="2023-03-15T00:00:00"/>
    <x v="2"/>
    <x v="3"/>
    <x v="13"/>
    <x v="0"/>
    <n v="19"/>
    <x v="2"/>
    <x v="29"/>
    <n v="1093.8900000000001"/>
    <x v="938"/>
  </r>
  <r>
    <d v="2023-08-07T00:00:00"/>
    <x v="1"/>
    <x v="2"/>
    <x v="3"/>
    <x v="0"/>
    <n v="15"/>
    <x v="3"/>
    <x v="8"/>
    <n v="3897.39"/>
    <x v="939"/>
  </r>
  <r>
    <d v="2023-09-12T00:00:00"/>
    <x v="0"/>
    <x v="4"/>
    <x v="8"/>
    <x v="3"/>
    <n v="17"/>
    <x v="4"/>
    <x v="20"/>
    <n v="3791.82"/>
    <x v="940"/>
  </r>
  <r>
    <d v="2023-03-26T00:00:00"/>
    <x v="0"/>
    <x v="4"/>
    <x v="8"/>
    <x v="3"/>
    <n v="18"/>
    <x v="5"/>
    <x v="20"/>
    <n v="1137.05"/>
    <x v="941"/>
  </r>
  <r>
    <d v="2023-03-01T00:00:00"/>
    <x v="1"/>
    <x v="2"/>
    <x v="6"/>
    <x v="0"/>
    <n v="5"/>
    <x v="6"/>
    <x v="22"/>
    <n v="1192.82"/>
    <x v="942"/>
  </r>
  <r>
    <d v="2023-05-02T00:00:00"/>
    <x v="1"/>
    <x v="1"/>
    <x v="1"/>
    <x v="4"/>
    <n v="12"/>
    <x v="7"/>
    <x v="31"/>
    <n v="3358.78"/>
    <x v="943"/>
  </r>
  <r>
    <d v="2023-02-22T00:00:00"/>
    <x v="2"/>
    <x v="3"/>
    <x v="13"/>
    <x v="0"/>
    <n v="1"/>
    <x v="8"/>
    <x v="17"/>
    <n v="4511.88"/>
    <x v="944"/>
  </r>
  <r>
    <d v="2023-04-14T00:00:00"/>
    <x v="0"/>
    <x v="0"/>
    <x v="5"/>
    <x v="3"/>
    <n v="10"/>
    <x v="9"/>
    <x v="26"/>
    <n v="3882.87"/>
    <x v="945"/>
  </r>
  <r>
    <d v="2023-12-05T00:00:00"/>
    <x v="0"/>
    <x v="0"/>
    <x v="5"/>
    <x v="1"/>
    <n v="4"/>
    <x v="10"/>
    <x v="33"/>
    <n v="4020.65"/>
    <x v="946"/>
  </r>
  <r>
    <d v="2023-05-25T00:00:00"/>
    <x v="1"/>
    <x v="2"/>
    <x v="3"/>
    <x v="2"/>
    <n v="4"/>
    <x v="11"/>
    <x v="31"/>
    <n v="430.91"/>
    <x v="947"/>
  </r>
  <r>
    <d v="2023-01-09T00:00:00"/>
    <x v="0"/>
    <x v="4"/>
    <x v="8"/>
    <x v="0"/>
    <n v="7"/>
    <x v="0"/>
    <x v="19"/>
    <n v="4508.28"/>
    <x v="948"/>
  </r>
  <r>
    <d v="2023-04-28T00:00:00"/>
    <x v="2"/>
    <x v="3"/>
    <x v="14"/>
    <x v="2"/>
    <n v="5"/>
    <x v="1"/>
    <x v="18"/>
    <n v="438.69"/>
    <x v="949"/>
  </r>
  <r>
    <d v="2023-08-13T00:00:00"/>
    <x v="1"/>
    <x v="1"/>
    <x v="1"/>
    <x v="1"/>
    <n v="10"/>
    <x v="2"/>
    <x v="14"/>
    <n v="3439.35"/>
    <x v="950"/>
  </r>
  <r>
    <d v="2023-11-03T00:00:00"/>
    <x v="0"/>
    <x v="0"/>
    <x v="0"/>
    <x v="0"/>
    <n v="16"/>
    <x v="3"/>
    <x v="3"/>
    <n v="2563.69"/>
    <x v="951"/>
  </r>
  <r>
    <d v="2023-06-06T00:00:00"/>
    <x v="1"/>
    <x v="1"/>
    <x v="1"/>
    <x v="3"/>
    <n v="5"/>
    <x v="4"/>
    <x v="18"/>
    <n v="975.39"/>
    <x v="952"/>
  </r>
  <r>
    <d v="2023-09-10T00:00:00"/>
    <x v="0"/>
    <x v="0"/>
    <x v="5"/>
    <x v="1"/>
    <n v="7"/>
    <x v="5"/>
    <x v="15"/>
    <n v="2384.5100000000002"/>
    <x v="953"/>
  </r>
  <r>
    <d v="2023-10-20T00:00:00"/>
    <x v="0"/>
    <x v="4"/>
    <x v="11"/>
    <x v="3"/>
    <n v="20"/>
    <x v="6"/>
    <x v="13"/>
    <n v="3470.23"/>
    <x v="954"/>
  </r>
  <r>
    <d v="2023-04-22T00:00:00"/>
    <x v="1"/>
    <x v="1"/>
    <x v="12"/>
    <x v="1"/>
    <n v="1"/>
    <x v="7"/>
    <x v="29"/>
    <n v="3964.08"/>
    <x v="955"/>
  </r>
  <r>
    <d v="2023-10-04T00:00:00"/>
    <x v="2"/>
    <x v="3"/>
    <x v="14"/>
    <x v="2"/>
    <n v="7"/>
    <x v="8"/>
    <x v="23"/>
    <n v="2227.0700000000002"/>
    <x v="956"/>
  </r>
  <r>
    <d v="2023-03-07T00:00:00"/>
    <x v="1"/>
    <x v="2"/>
    <x v="3"/>
    <x v="1"/>
    <n v="5"/>
    <x v="9"/>
    <x v="38"/>
    <n v="1460.84"/>
    <x v="957"/>
  </r>
  <r>
    <d v="2023-01-05T00:00:00"/>
    <x v="1"/>
    <x v="1"/>
    <x v="12"/>
    <x v="3"/>
    <n v="13"/>
    <x v="10"/>
    <x v="20"/>
    <n v="914.82"/>
    <x v="958"/>
  </r>
  <r>
    <d v="2023-12-14T00:00:00"/>
    <x v="1"/>
    <x v="1"/>
    <x v="7"/>
    <x v="1"/>
    <n v="8"/>
    <x v="11"/>
    <x v="27"/>
    <n v="1794.45"/>
    <x v="959"/>
  </r>
  <r>
    <d v="2023-02-12T00:00:00"/>
    <x v="2"/>
    <x v="3"/>
    <x v="13"/>
    <x v="2"/>
    <n v="9"/>
    <x v="0"/>
    <x v="2"/>
    <n v="593.01"/>
    <x v="960"/>
  </r>
  <r>
    <d v="2023-01-05T00:00:00"/>
    <x v="0"/>
    <x v="4"/>
    <x v="9"/>
    <x v="2"/>
    <n v="2"/>
    <x v="1"/>
    <x v="28"/>
    <n v="2704.98"/>
    <x v="961"/>
  </r>
  <r>
    <d v="2023-09-15T00:00:00"/>
    <x v="2"/>
    <x v="3"/>
    <x v="13"/>
    <x v="2"/>
    <n v="1"/>
    <x v="2"/>
    <x v="28"/>
    <n v="1981.82"/>
    <x v="962"/>
  </r>
  <r>
    <d v="2023-09-05T00:00:00"/>
    <x v="1"/>
    <x v="2"/>
    <x v="6"/>
    <x v="4"/>
    <n v="20"/>
    <x v="3"/>
    <x v="10"/>
    <n v="774.07"/>
    <x v="963"/>
  </r>
  <r>
    <d v="2023-09-28T00:00:00"/>
    <x v="1"/>
    <x v="2"/>
    <x v="3"/>
    <x v="1"/>
    <n v="11"/>
    <x v="4"/>
    <x v="18"/>
    <n v="146.47"/>
    <x v="964"/>
  </r>
  <r>
    <d v="2023-07-29T00:00:00"/>
    <x v="0"/>
    <x v="0"/>
    <x v="5"/>
    <x v="1"/>
    <n v="12"/>
    <x v="5"/>
    <x v="39"/>
    <n v="283.86"/>
    <x v="965"/>
  </r>
  <r>
    <d v="2023-05-20T00:00:00"/>
    <x v="0"/>
    <x v="0"/>
    <x v="0"/>
    <x v="4"/>
    <n v="8"/>
    <x v="6"/>
    <x v="31"/>
    <n v="4576.97"/>
    <x v="966"/>
  </r>
  <r>
    <d v="2023-05-30T00:00:00"/>
    <x v="0"/>
    <x v="0"/>
    <x v="10"/>
    <x v="3"/>
    <n v="4"/>
    <x v="7"/>
    <x v="25"/>
    <n v="4368.46"/>
    <x v="967"/>
  </r>
  <r>
    <d v="2023-03-26T00:00:00"/>
    <x v="1"/>
    <x v="1"/>
    <x v="7"/>
    <x v="2"/>
    <n v="17"/>
    <x v="8"/>
    <x v="17"/>
    <n v="4825.24"/>
    <x v="968"/>
  </r>
  <r>
    <d v="2023-04-09T00:00:00"/>
    <x v="0"/>
    <x v="4"/>
    <x v="11"/>
    <x v="4"/>
    <n v="18"/>
    <x v="9"/>
    <x v="31"/>
    <n v="3982.89"/>
    <x v="969"/>
  </r>
  <r>
    <d v="2023-01-28T00:00:00"/>
    <x v="2"/>
    <x v="3"/>
    <x v="13"/>
    <x v="1"/>
    <n v="4"/>
    <x v="10"/>
    <x v="7"/>
    <n v="2169.61"/>
    <x v="970"/>
  </r>
  <r>
    <d v="2023-12-14T00:00:00"/>
    <x v="2"/>
    <x v="3"/>
    <x v="14"/>
    <x v="4"/>
    <n v="18"/>
    <x v="11"/>
    <x v="38"/>
    <n v="1601.74"/>
    <x v="971"/>
  </r>
  <r>
    <d v="2023-01-16T00:00:00"/>
    <x v="2"/>
    <x v="3"/>
    <x v="13"/>
    <x v="0"/>
    <n v="8"/>
    <x v="0"/>
    <x v="13"/>
    <n v="4334.41"/>
    <x v="972"/>
  </r>
  <r>
    <d v="2023-09-24T00:00:00"/>
    <x v="1"/>
    <x v="2"/>
    <x v="3"/>
    <x v="4"/>
    <n v="17"/>
    <x v="1"/>
    <x v="25"/>
    <n v="3933.92"/>
    <x v="973"/>
  </r>
  <r>
    <d v="2023-04-03T00:00:00"/>
    <x v="1"/>
    <x v="1"/>
    <x v="7"/>
    <x v="2"/>
    <n v="6"/>
    <x v="2"/>
    <x v="5"/>
    <n v="3466.7"/>
    <x v="974"/>
  </r>
  <r>
    <d v="2023-03-15T00:00:00"/>
    <x v="0"/>
    <x v="4"/>
    <x v="8"/>
    <x v="4"/>
    <n v="3"/>
    <x v="3"/>
    <x v="20"/>
    <n v="4083.59"/>
    <x v="975"/>
  </r>
  <r>
    <d v="2023-05-25T00:00:00"/>
    <x v="1"/>
    <x v="2"/>
    <x v="3"/>
    <x v="0"/>
    <n v="14"/>
    <x v="4"/>
    <x v="20"/>
    <n v="1972.22"/>
    <x v="976"/>
  </r>
  <r>
    <d v="2023-12-21T00:00:00"/>
    <x v="1"/>
    <x v="1"/>
    <x v="12"/>
    <x v="3"/>
    <n v="4"/>
    <x v="5"/>
    <x v="19"/>
    <n v="722.05"/>
    <x v="977"/>
  </r>
  <r>
    <d v="2023-02-15T00:00:00"/>
    <x v="2"/>
    <x v="3"/>
    <x v="13"/>
    <x v="3"/>
    <n v="7"/>
    <x v="6"/>
    <x v="1"/>
    <n v="4803.62"/>
    <x v="978"/>
  </r>
  <r>
    <d v="2023-08-18T00:00:00"/>
    <x v="1"/>
    <x v="2"/>
    <x v="2"/>
    <x v="2"/>
    <n v="1"/>
    <x v="7"/>
    <x v="32"/>
    <n v="1094.8800000000001"/>
    <x v="979"/>
  </r>
  <r>
    <d v="2023-03-03T00:00:00"/>
    <x v="1"/>
    <x v="2"/>
    <x v="2"/>
    <x v="1"/>
    <n v="16"/>
    <x v="8"/>
    <x v="23"/>
    <n v="2640.08"/>
    <x v="980"/>
  </r>
  <r>
    <d v="2023-09-20T00:00:00"/>
    <x v="1"/>
    <x v="1"/>
    <x v="1"/>
    <x v="2"/>
    <n v="15"/>
    <x v="9"/>
    <x v="2"/>
    <n v="1259.1600000000001"/>
    <x v="981"/>
  </r>
  <r>
    <d v="2023-10-15T00:00:00"/>
    <x v="1"/>
    <x v="2"/>
    <x v="6"/>
    <x v="2"/>
    <n v="20"/>
    <x v="10"/>
    <x v="35"/>
    <n v="2487.65"/>
    <x v="982"/>
  </r>
  <r>
    <d v="2023-01-30T00:00:00"/>
    <x v="0"/>
    <x v="4"/>
    <x v="11"/>
    <x v="1"/>
    <n v="3"/>
    <x v="11"/>
    <x v="15"/>
    <n v="4678.38"/>
    <x v="983"/>
  </r>
  <r>
    <d v="2023-06-18T00:00:00"/>
    <x v="1"/>
    <x v="2"/>
    <x v="3"/>
    <x v="4"/>
    <n v="8"/>
    <x v="0"/>
    <x v="8"/>
    <n v="308.68"/>
    <x v="984"/>
  </r>
  <r>
    <d v="2023-07-06T00:00:00"/>
    <x v="0"/>
    <x v="4"/>
    <x v="8"/>
    <x v="3"/>
    <n v="19"/>
    <x v="1"/>
    <x v="6"/>
    <n v="4348.7299999999996"/>
    <x v="985"/>
  </r>
  <r>
    <d v="2023-11-14T00:00:00"/>
    <x v="0"/>
    <x v="4"/>
    <x v="9"/>
    <x v="1"/>
    <n v="8"/>
    <x v="2"/>
    <x v="12"/>
    <n v="758.58"/>
    <x v="986"/>
  </r>
  <r>
    <d v="2023-06-07T00:00:00"/>
    <x v="1"/>
    <x v="2"/>
    <x v="2"/>
    <x v="1"/>
    <n v="13"/>
    <x v="3"/>
    <x v="16"/>
    <n v="857.86"/>
    <x v="987"/>
  </r>
  <r>
    <d v="2023-01-18T00:00:00"/>
    <x v="0"/>
    <x v="4"/>
    <x v="9"/>
    <x v="3"/>
    <n v="16"/>
    <x v="4"/>
    <x v="8"/>
    <n v="4614.01"/>
    <x v="988"/>
  </r>
  <r>
    <d v="2023-04-03T00:00:00"/>
    <x v="1"/>
    <x v="1"/>
    <x v="7"/>
    <x v="3"/>
    <n v="14"/>
    <x v="5"/>
    <x v="30"/>
    <n v="1658.39"/>
    <x v="989"/>
  </r>
  <r>
    <d v="2023-11-16T00:00:00"/>
    <x v="0"/>
    <x v="0"/>
    <x v="5"/>
    <x v="0"/>
    <n v="12"/>
    <x v="6"/>
    <x v="38"/>
    <n v="3028.88"/>
    <x v="990"/>
  </r>
  <r>
    <d v="2023-11-05T00:00:00"/>
    <x v="2"/>
    <x v="3"/>
    <x v="13"/>
    <x v="0"/>
    <n v="7"/>
    <x v="7"/>
    <x v="11"/>
    <n v="1501.06"/>
    <x v="991"/>
  </r>
  <r>
    <d v="2023-02-23T00:00:00"/>
    <x v="2"/>
    <x v="3"/>
    <x v="4"/>
    <x v="3"/>
    <n v="5"/>
    <x v="8"/>
    <x v="1"/>
    <n v="3404.87"/>
    <x v="992"/>
  </r>
  <r>
    <d v="2023-02-06T00:00:00"/>
    <x v="1"/>
    <x v="1"/>
    <x v="12"/>
    <x v="0"/>
    <n v="8"/>
    <x v="9"/>
    <x v="31"/>
    <n v="2112.66"/>
    <x v="993"/>
  </r>
  <r>
    <d v="2023-11-01T00:00:00"/>
    <x v="1"/>
    <x v="2"/>
    <x v="2"/>
    <x v="1"/>
    <n v="1"/>
    <x v="10"/>
    <x v="27"/>
    <n v="1520.97"/>
    <x v="994"/>
  </r>
  <r>
    <d v="2023-11-10T00:00:00"/>
    <x v="0"/>
    <x v="4"/>
    <x v="8"/>
    <x v="3"/>
    <n v="5"/>
    <x v="11"/>
    <x v="6"/>
    <n v="172.99"/>
    <x v="995"/>
  </r>
  <r>
    <d v="2023-10-02T00:00:00"/>
    <x v="1"/>
    <x v="1"/>
    <x v="7"/>
    <x v="0"/>
    <n v="9"/>
    <x v="0"/>
    <x v="39"/>
    <n v="4781.72"/>
    <x v="996"/>
  </r>
  <r>
    <d v="2023-03-27T00:00:00"/>
    <x v="1"/>
    <x v="1"/>
    <x v="12"/>
    <x v="1"/>
    <n v="6"/>
    <x v="1"/>
    <x v="19"/>
    <n v="4894.41"/>
    <x v="997"/>
  </r>
  <r>
    <d v="2023-03-02T00:00:00"/>
    <x v="0"/>
    <x v="4"/>
    <x v="8"/>
    <x v="2"/>
    <n v="19"/>
    <x v="2"/>
    <x v="10"/>
    <n v="1199.24"/>
    <x v="998"/>
  </r>
  <r>
    <d v="2023-08-02T00:00:00"/>
    <x v="1"/>
    <x v="1"/>
    <x v="12"/>
    <x v="2"/>
    <n v="16"/>
    <x v="3"/>
    <x v="1"/>
    <n v="317.82"/>
    <x v="999"/>
  </r>
  <r>
    <d v="2024-11-11T00:00:00"/>
    <x v="0"/>
    <x v="0"/>
    <x v="0"/>
    <x v="0"/>
    <n v="3"/>
    <x v="0"/>
    <x v="0"/>
    <n v="4210.7700000000004"/>
    <x v="0"/>
  </r>
  <r>
    <d v="2024-11-12T00:00:00"/>
    <x v="1"/>
    <x v="1"/>
    <x v="1"/>
    <x v="1"/>
    <n v="19"/>
    <x v="12"/>
    <x v="1"/>
    <n v="2873.83"/>
    <x v="1"/>
  </r>
  <r>
    <d v="2024-11-13T00:00:00"/>
    <x v="1"/>
    <x v="2"/>
    <x v="2"/>
    <x v="2"/>
    <n v="1"/>
    <x v="13"/>
    <x v="2"/>
    <n v="267.32"/>
    <x v="2"/>
  </r>
  <r>
    <d v="2024-11-14T00:00:00"/>
    <x v="1"/>
    <x v="2"/>
    <x v="3"/>
    <x v="0"/>
    <n v="9"/>
    <x v="14"/>
    <x v="3"/>
    <n v="1378.65"/>
    <x v="3"/>
  </r>
  <r>
    <d v="2024-11-15T00:00:00"/>
    <x v="2"/>
    <x v="3"/>
    <x v="4"/>
    <x v="0"/>
    <n v="9"/>
    <x v="15"/>
    <x v="4"/>
    <n v="1161.02"/>
    <x v="4"/>
  </r>
  <r>
    <d v="2024-11-16T00:00:00"/>
    <x v="0"/>
    <x v="0"/>
    <x v="5"/>
    <x v="1"/>
    <n v="5"/>
    <x v="5"/>
    <x v="5"/>
    <n v="3732.82"/>
    <x v="5"/>
  </r>
  <r>
    <d v="2024-11-17T00:00:00"/>
    <x v="2"/>
    <x v="3"/>
    <x v="4"/>
    <x v="3"/>
    <n v="4"/>
    <x v="0"/>
    <x v="6"/>
    <n v="961.38"/>
    <x v="6"/>
  </r>
  <r>
    <d v="2024-11-18T00:00:00"/>
    <x v="2"/>
    <x v="3"/>
    <x v="4"/>
    <x v="2"/>
    <n v="14"/>
    <x v="12"/>
    <x v="7"/>
    <n v="4457.21"/>
    <x v="7"/>
  </r>
  <r>
    <d v="2024-11-19T00:00:00"/>
    <x v="1"/>
    <x v="2"/>
    <x v="6"/>
    <x v="1"/>
    <n v="6"/>
    <x v="13"/>
    <x v="8"/>
    <n v="2463.6799999999998"/>
    <x v="8"/>
  </r>
  <r>
    <d v="2024-11-20T00:00:00"/>
    <x v="1"/>
    <x v="1"/>
    <x v="7"/>
    <x v="2"/>
    <n v="13"/>
    <x v="14"/>
    <x v="4"/>
    <n v="4226.47"/>
    <x v="9"/>
  </r>
  <r>
    <d v="2024-11-21T00:00:00"/>
    <x v="1"/>
    <x v="2"/>
    <x v="3"/>
    <x v="4"/>
    <n v="11"/>
    <x v="15"/>
    <x v="9"/>
    <n v="2852.22"/>
    <x v="10"/>
  </r>
  <r>
    <d v="2024-11-22T00:00:00"/>
    <x v="2"/>
    <x v="3"/>
    <x v="4"/>
    <x v="2"/>
    <n v="2"/>
    <x v="5"/>
    <x v="10"/>
    <n v="4059.61"/>
    <x v="11"/>
  </r>
  <r>
    <d v="2024-11-23T00:00:00"/>
    <x v="2"/>
    <x v="3"/>
    <x v="4"/>
    <x v="0"/>
    <n v="13"/>
    <x v="0"/>
    <x v="11"/>
    <n v="1965.63"/>
    <x v="12"/>
  </r>
  <r>
    <d v="2024-11-24T00:00:00"/>
    <x v="2"/>
    <x v="3"/>
    <x v="4"/>
    <x v="4"/>
    <n v="4"/>
    <x v="12"/>
    <x v="12"/>
    <n v="1020.23"/>
    <x v="13"/>
  </r>
  <r>
    <d v="2024-11-25T00:00:00"/>
    <x v="2"/>
    <x v="3"/>
    <x v="4"/>
    <x v="3"/>
    <n v="16"/>
    <x v="13"/>
    <x v="13"/>
    <n v="2178.7800000000002"/>
    <x v="14"/>
  </r>
  <r>
    <d v="2024-11-26T00:00:00"/>
    <x v="2"/>
    <x v="3"/>
    <x v="4"/>
    <x v="4"/>
    <n v="3"/>
    <x v="14"/>
    <x v="11"/>
    <n v="4229.84"/>
    <x v="15"/>
  </r>
  <r>
    <d v="2024-11-27T00:00:00"/>
    <x v="0"/>
    <x v="4"/>
    <x v="8"/>
    <x v="0"/>
    <n v="11"/>
    <x v="15"/>
    <x v="14"/>
    <n v="255.3"/>
    <x v="16"/>
  </r>
  <r>
    <d v="2024-11-28T00:00:00"/>
    <x v="0"/>
    <x v="4"/>
    <x v="9"/>
    <x v="1"/>
    <n v="1"/>
    <x v="5"/>
    <x v="15"/>
    <n v="4557.0600000000004"/>
    <x v="17"/>
  </r>
  <r>
    <d v="2024-11-29T00:00:00"/>
    <x v="0"/>
    <x v="4"/>
    <x v="8"/>
    <x v="4"/>
    <n v="10"/>
    <x v="0"/>
    <x v="4"/>
    <n v="843.5"/>
    <x v="18"/>
  </r>
  <r>
    <d v="2024-11-30T00:00:00"/>
    <x v="0"/>
    <x v="0"/>
    <x v="0"/>
    <x v="0"/>
    <n v="5"/>
    <x v="12"/>
    <x v="2"/>
    <n v="4987.7"/>
    <x v="19"/>
  </r>
  <r>
    <d v="2024-12-01T00:00:00"/>
    <x v="0"/>
    <x v="4"/>
    <x v="9"/>
    <x v="1"/>
    <n v="5"/>
    <x v="13"/>
    <x v="8"/>
    <n v="3860.73"/>
    <x v="20"/>
  </r>
  <r>
    <d v="2024-12-02T00:00:00"/>
    <x v="0"/>
    <x v="0"/>
    <x v="0"/>
    <x v="3"/>
    <n v="14"/>
    <x v="14"/>
    <x v="10"/>
    <n v="4649.53"/>
    <x v="21"/>
  </r>
  <r>
    <d v="2024-12-03T00:00:00"/>
    <x v="2"/>
    <x v="3"/>
    <x v="4"/>
    <x v="1"/>
    <n v="3"/>
    <x v="15"/>
    <x v="16"/>
    <n v="144.38999999999999"/>
    <x v="22"/>
  </r>
  <r>
    <d v="2024-12-04T00:00:00"/>
    <x v="1"/>
    <x v="1"/>
    <x v="7"/>
    <x v="3"/>
    <n v="15"/>
    <x v="5"/>
    <x v="17"/>
    <n v="4402.43"/>
    <x v="23"/>
  </r>
  <r>
    <d v="2024-12-05T00:00:00"/>
    <x v="0"/>
    <x v="0"/>
    <x v="10"/>
    <x v="1"/>
    <n v="8"/>
    <x v="0"/>
    <x v="12"/>
    <n v="1461.31"/>
    <x v="24"/>
  </r>
  <r>
    <d v="2024-12-06T00:00:00"/>
    <x v="0"/>
    <x v="0"/>
    <x v="5"/>
    <x v="0"/>
    <n v="9"/>
    <x v="12"/>
    <x v="1"/>
    <n v="3318.1"/>
    <x v="25"/>
  </r>
  <r>
    <d v="2024-12-07T00:00:00"/>
    <x v="0"/>
    <x v="4"/>
    <x v="11"/>
    <x v="1"/>
    <n v="13"/>
    <x v="13"/>
    <x v="18"/>
    <n v="2475.98"/>
    <x v="26"/>
  </r>
  <r>
    <d v="2024-12-08T00:00:00"/>
    <x v="1"/>
    <x v="2"/>
    <x v="2"/>
    <x v="4"/>
    <n v="3"/>
    <x v="14"/>
    <x v="19"/>
    <n v="4132.17"/>
    <x v="27"/>
  </r>
  <r>
    <d v="2024-12-09T00:00:00"/>
    <x v="1"/>
    <x v="1"/>
    <x v="1"/>
    <x v="1"/>
    <n v="12"/>
    <x v="15"/>
    <x v="20"/>
    <n v="835.83"/>
    <x v="28"/>
  </r>
  <r>
    <d v="2024-12-10T00:00:00"/>
    <x v="2"/>
    <x v="3"/>
    <x v="4"/>
    <x v="3"/>
    <n v="12"/>
    <x v="5"/>
    <x v="9"/>
    <n v="1377.41"/>
    <x v="29"/>
  </r>
  <r>
    <d v="2024-12-11T00:00:00"/>
    <x v="1"/>
    <x v="2"/>
    <x v="6"/>
    <x v="4"/>
    <n v="2"/>
    <x v="0"/>
    <x v="9"/>
    <n v="1983.93"/>
    <x v="30"/>
  </r>
  <r>
    <d v="2024-12-12T00:00:00"/>
    <x v="0"/>
    <x v="0"/>
    <x v="0"/>
    <x v="3"/>
    <n v="8"/>
    <x v="12"/>
    <x v="21"/>
    <n v="4621.75"/>
    <x v="31"/>
  </r>
  <r>
    <d v="2024-12-13T00:00:00"/>
    <x v="1"/>
    <x v="1"/>
    <x v="12"/>
    <x v="2"/>
    <n v="8"/>
    <x v="13"/>
    <x v="7"/>
    <n v="2342.02"/>
    <x v="32"/>
  </r>
  <r>
    <d v="2024-12-14T00:00:00"/>
    <x v="0"/>
    <x v="0"/>
    <x v="0"/>
    <x v="3"/>
    <n v="9"/>
    <x v="14"/>
    <x v="2"/>
    <n v="489.27"/>
    <x v="33"/>
  </r>
  <r>
    <d v="2024-12-15T00:00:00"/>
    <x v="1"/>
    <x v="2"/>
    <x v="6"/>
    <x v="3"/>
    <n v="3"/>
    <x v="15"/>
    <x v="22"/>
    <n v="2444.6"/>
    <x v="34"/>
  </r>
  <r>
    <d v="2024-12-16T00:00:00"/>
    <x v="1"/>
    <x v="2"/>
    <x v="2"/>
    <x v="0"/>
    <n v="5"/>
    <x v="5"/>
    <x v="17"/>
    <n v="1346.45"/>
    <x v="35"/>
  </r>
  <r>
    <d v="2024-12-17T00:00:00"/>
    <x v="0"/>
    <x v="0"/>
    <x v="10"/>
    <x v="3"/>
    <n v="17"/>
    <x v="0"/>
    <x v="1"/>
    <n v="1333.71"/>
    <x v="36"/>
  </r>
  <r>
    <d v="2024-12-18T00:00:00"/>
    <x v="1"/>
    <x v="1"/>
    <x v="12"/>
    <x v="4"/>
    <n v="2"/>
    <x v="12"/>
    <x v="23"/>
    <n v="2287.09"/>
    <x v="37"/>
  </r>
  <r>
    <d v="2024-12-19T00:00:00"/>
    <x v="0"/>
    <x v="4"/>
    <x v="8"/>
    <x v="4"/>
    <n v="12"/>
    <x v="13"/>
    <x v="18"/>
    <n v="2384.1"/>
    <x v="38"/>
  </r>
  <r>
    <d v="2024-12-20T00:00:00"/>
    <x v="0"/>
    <x v="4"/>
    <x v="9"/>
    <x v="0"/>
    <n v="2"/>
    <x v="14"/>
    <x v="17"/>
    <n v="3037.55"/>
    <x v="39"/>
  </r>
  <r>
    <d v="2024-12-21T00:00:00"/>
    <x v="0"/>
    <x v="0"/>
    <x v="0"/>
    <x v="0"/>
    <n v="7"/>
    <x v="15"/>
    <x v="23"/>
    <n v="3163.37"/>
    <x v="40"/>
  </r>
  <r>
    <d v="2024-12-22T00:00:00"/>
    <x v="0"/>
    <x v="0"/>
    <x v="10"/>
    <x v="0"/>
    <n v="13"/>
    <x v="5"/>
    <x v="3"/>
    <n v="4985.82"/>
    <x v="41"/>
  </r>
  <r>
    <d v="2024-12-23T00:00:00"/>
    <x v="0"/>
    <x v="4"/>
    <x v="11"/>
    <x v="3"/>
    <n v="8"/>
    <x v="0"/>
    <x v="22"/>
    <n v="285.94"/>
    <x v="4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3"/>
    <x v="0"/>
    <x v="0"/>
    <n v="4210.7700000000004"/>
    <x v="0"/>
  </r>
  <r>
    <x v="1"/>
    <x v="1"/>
    <x v="1"/>
    <x v="1"/>
    <x v="1"/>
    <n v="19"/>
    <x v="1"/>
    <x v="1"/>
    <n v="2873.83"/>
    <x v="1"/>
  </r>
  <r>
    <x v="2"/>
    <x v="1"/>
    <x v="2"/>
    <x v="2"/>
    <x v="2"/>
    <n v="1"/>
    <x v="2"/>
    <x v="2"/>
    <n v="267.32"/>
    <x v="2"/>
  </r>
  <r>
    <x v="3"/>
    <x v="1"/>
    <x v="2"/>
    <x v="3"/>
    <x v="0"/>
    <n v="9"/>
    <x v="3"/>
    <x v="3"/>
    <n v="1378.65"/>
    <x v="3"/>
  </r>
  <r>
    <x v="4"/>
    <x v="2"/>
    <x v="3"/>
    <x v="4"/>
    <x v="0"/>
    <n v="9"/>
    <x v="4"/>
    <x v="4"/>
    <n v="1161.02"/>
    <x v="4"/>
  </r>
  <r>
    <x v="5"/>
    <x v="0"/>
    <x v="0"/>
    <x v="5"/>
    <x v="1"/>
    <n v="5"/>
    <x v="5"/>
    <x v="5"/>
    <n v="3732.82"/>
    <x v="5"/>
  </r>
  <r>
    <x v="6"/>
    <x v="2"/>
    <x v="3"/>
    <x v="4"/>
    <x v="3"/>
    <n v="4"/>
    <x v="6"/>
    <x v="6"/>
    <n v="961.38"/>
    <x v="6"/>
  </r>
  <r>
    <x v="7"/>
    <x v="2"/>
    <x v="3"/>
    <x v="4"/>
    <x v="2"/>
    <n v="14"/>
    <x v="7"/>
    <x v="7"/>
    <n v="4457.21"/>
    <x v="7"/>
  </r>
  <r>
    <x v="8"/>
    <x v="1"/>
    <x v="2"/>
    <x v="6"/>
    <x v="1"/>
    <n v="6"/>
    <x v="8"/>
    <x v="8"/>
    <n v="2463.6799999999998"/>
    <x v="8"/>
  </r>
  <r>
    <x v="9"/>
    <x v="1"/>
    <x v="1"/>
    <x v="7"/>
    <x v="2"/>
    <n v="13"/>
    <x v="9"/>
    <x v="4"/>
    <n v="4226.47"/>
    <x v="9"/>
  </r>
  <r>
    <x v="10"/>
    <x v="1"/>
    <x v="2"/>
    <x v="3"/>
    <x v="4"/>
    <n v="11"/>
    <x v="10"/>
    <x v="9"/>
    <n v="2852.22"/>
    <x v="10"/>
  </r>
  <r>
    <x v="11"/>
    <x v="2"/>
    <x v="3"/>
    <x v="4"/>
    <x v="2"/>
    <n v="2"/>
    <x v="11"/>
    <x v="10"/>
    <n v="4059.61"/>
    <x v="11"/>
  </r>
  <r>
    <x v="12"/>
    <x v="2"/>
    <x v="3"/>
    <x v="4"/>
    <x v="0"/>
    <n v="13"/>
    <x v="0"/>
    <x v="11"/>
    <n v="1965.63"/>
    <x v="12"/>
  </r>
  <r>
    <x v="13"/>
    <x v="2"/>
    <x v="3"/>
    <x v="4"/>
    <x v="4"/>
    <n v="4"/>
    <x v="1"/>
    <x v="12"/>
    <n v="1020.23"/>
    <x v="13"/>
  </r>
  <r>
    <x v="14"/>
    <x v="2"/>
    <x v="3"/>
    <x v="4"/>
    <x v="3"/>
    <n v="16"/>
    <x v="2"/>
    <x v="13"/>
    <n v="2178.7800000000002"/>
    <x v="14"/>
  </r>
  <r>
    <x v="15"/>
    <x v="2"/>
    <x v="3"/>
    <x v="4"/>
    <x v="4"/>
    <n v="3"/>
    <x v="3"/>
    <x v="11"/>
    <n v="4229.84"/>
    <x v="15"/>
  </r>
  <r>
    <x v="16"/>
    <x v="0"/>
    <x v="4"/>
    <x v="8"/>
    <x v="0"/>
    <n v="11"/>
    <x v="4"/>
    <x v="14"/>
    <n v="255.3"/>
    <x v="16"/>
  </r>
  <r>
    <x v="17"/>
    <x v="0"/>
    <x v="4"/>
    <x v="9"/>
    <x v="1"/>
    <n v="1"/>
    <x v="5"/>
    <x v="15"/>
    <n v="4557.0600000000004"/>
    <x v="17"/>
  </r>
  <r>
    <x v="18"/>
    <x v="0"/>
    <x v="4"/>
    <x v="8"/>
    <x v="4"/>
    <n v="10"/>
    <x v="6"/>
    <x v="4"/>
    <n v="843.5"/>
    <x v="18"/>
  </r>
  <r>
    <x v="19"/>
    <x v="0"/>
    <x v="0"/>
    <x v="0"/>
    <x v="0"/>
    <n v="5"/>
    <x v="7"/>
    <x v="2"/>
    <n v="4987.7"/>
    <x v="19"/>
  </r>
  <r>
    <x v="20"/>
    <x v="0"/>
    <x v="4"/>
    <x v="9"/>
    <x v="1"/>
    <n v="5"/>
    <x v="8"/>
    <x v="8"/>
    <n v="3860.73"/>
    <x v="20"/>
  </r>
  <r>
    <x v="21"/>
    <x v="0"/>
    <x v="0"/>
    <x v="0"/>
    <x v="3"/>
    <n v="14"/>
    <x v="9"/>
    <x v="10"/>
    <n v="4649.53"/>
    <x v="21"/>
  </r>
  <r>
    <x v="22"/>
    <x v="2"/>
    <x v="3"/>
    <x v="4"/>
    <x v="1"/>
    <n v="3"/>
    <x v="10"/>
    <x v="16"/>
    <n v="144.38999999999999"/>
    <x v="22"/>
  </r>
  <r>
    <x v="23"/>
    <x v="1"/>
    <x v="1"/>
    <x v="7"/>
    <x v="3"/>
    <n v="15"/>
    <x v="11"/>
    <x v="17"/>
    <n v="4402.43"/>
    <x v="23"/>
  </r>
  <r>
    <x v="24"/>
    <x v="0"/>
    <x v="0"/>
    <x v="10"/>
    <x v="1"/>
    <n v="8"/>
    <x v="0"/>
    <x v="12"/>
    <n v="1461.31"/>
    <x v="24"/>
  </r>
  <r>
    <x v="25"/>
    <x v="0"/>
    <x v="0"/>
    <x v="5"/>
    <x v="0"/>
    <n v="9"/>
    <x v="1"/>
    <x v="1"/>
    <n v="3318.1"/>
    <x v="25"/>
  </r>
  <r>
    <x v="26"/>
    <x v="0"/>
    <x v="4"/>
    <x v="11"/>
    <x v="1"/>
    <n v="13"/>
    <x v="2"/>
    <x v="18"/>
    <n v="2475.98"/>
    <x v="26"/>
  </r>
  <r>
    <x v="27"/>
    <x v="1"/>
    <x v="2"/>
    <x v="2"/>
    <x v="4"/>
    <n v="3"/>
    <x v="3"/>
    <x v="19"/>
    <n v="4132.17"/>
    <x v="27"/>
  </r>
  <r>
    <x v="28"/>
    <x v="1"/>
    <x v="1"/>
    <x v="1"/>
    <x v="1"/>
    <n v="12"/>
    <x v="4"/>
    <x v="20"/>
    <n v="835.83"/>
    <x v="28"/>
  </r>
  <r>
    <x v="29"/>
    <x v="2"/>
    <x v="3"/>
    <x v="4"/>
    <x v="3"/>
    <n v="12"/>
    <x v="5"/>
    <x v="9"/>
    <n v="1377.41"/>
    <x v="29"/>
  </r>
  <r>
    <x v="30"/>
    <x v="1"/>
    <x v="2"/>
    <x v="6"/>
    <x v="4"/>
    <n v="2"/>
    <x v="6"/>
    <x v="9"/>
    <n v="1983.93"/>
    <x v="30"/>
  </r>
  <r>
    <x v="31"/>
    <x v="0"/>
    <x v="0"/>
    <x v="0"/>
    <x v="3"/>
    <n v="8"/>
    <x v="7"/>
    <x v="21"/>
    <n v="4621.75"/>
    <x v="31"/>
  </r>
  <r>
    <x v="32"/>
    <x v="1"/>
    <x v="1"/>
    <x v="12"/>
    <x v="2"/>
    <n v="8"/>
    <x v="8"/>
    <x v="7"/>
    <n v="2342.02"/>
    <x v="32"/>
  </r>
  <r>
    <x v="24"/>
    <x v="0"/>
    <x v="0"/>
    <x v="0"/>
    <x v="3"/>
    <n v="9"/>
    <x v="9"/>
    <x v="2"/>
    <n v="489.27"/>
    <x v="33"/>
  </r>
  <r>
    <x v="33"/>
    <x v="1"/>
    <x v="2"/>
    <x v="6"/>
    <x v="3"/>
    <n v="3"/>
    <x v="10"/>
    <x v="22"/>
    <n v="2444.6"/>
    <x v="34"/>
  </r>
  <r>
    <x v="34"/>
    <x v="1"/>
    <x v="2"/>
    <x v="2"/>
    <x v="0"/>
    <n v="5"/>
    <x v="11"/>
    <x v="17"/>
    <n v="1346.45"/>
    <x v="35"/>
  </r>
  <r>
    <x v="35"/>
    <x v="0"/>
    <x v="0"/>
    <x v="10"/>
    <x v="3"/>
    <n v="17"/>
    <x v="0"/>
    <x v="1"/>
    <n v="1333.71"/>
    <x v="36"/>
  </r>
  <r>
    <x v="36"/>
    <x v="1"/>
    <x v="1"/>
    <x v="12"/>
    <x v="4"/>
    <n v="2"/>
    <x v="1"/>
    <x v="23"/>
    <n v="2287.09"/>
    <x v="37"/>
  </r>
  <r>
    <x v="33"/>
    <x v="0"/>
    <x v="4"/>
    <x v="8"/>
    <x v="4"/>
    <n v="12"/>
    <x v="2"/>
    <x v="18"/>
    <n v="2384.1"/>
    <x v="38"/>
  </r>
  <r>
    <x v="37"/>
    <x v="0"/>
    <x v="4"/>
    <x v="9"/>
    <x v="0"/>
    <n v="2"/>
    <x v="3"/>
    <x v="17"/>
    <n v="3037.55"/>
    <x v="39"/>
  </r>
  <r>
    <x v="38"/>
    <x v="0"/>
    <x v="0"/>
    <x v="0"/>
    <x v="0"/>
    <n v="7"/>
    <x v="4"/>
    <x v="23"/>
    <n v="3163.37"/>
    <x v="40"/>
  </r>
  <r>
    <x v="4"/>
    <x v="0"/>
    <x v="0"/>
    <x v="10"/>
    <x v="0"/>
    <n v="13"/>
    <x v="5"/>
    <x v="3"/>
    <n v="4985.82"/>
    <x v="41"/>
  </r>
  <r>
    <x v="39"/>
    <x v="0"/>
    <x v="4"/>
    <x v="11"/>
    <x v="3"/>
    <n v="8"/>
    <x v="6"/>
    <x v="22"/>
    <n v="285.94"/>
    <x v="42"/>
  </r>
  <r>
    <x v="40"/>
    <x v="1"/>
    <x v="1"/>
    <x v="1"/>
    <x v="3"/>
    <n v="11"/>
    <x v="7"/>
    <x v="1"/>
    <n v="1905.7"/>
    <x v="43"/>
  </r>
  <r>
    <x v="41"/>
    <x v="1"/>
    <x v="1"/>
    <x v="7"/>
    <x v="3"/>
    <n v="20"/>
    <x v="8"/>
    <x v="13"/>
    <n v="1310.3699999999999"/>
    <x v="44"/>
  </r>
  <r>
    <x v="42"/>
    <x v="0"/>
    <x v="4"/>
    <x v="9"/>
    <x v="2"/>
    <n v="8"/>
    <x v="9"/>
    <x v="13"/>
    <n v="1185.17"/>
    <x v="45"/>
  </r>
  <r>
    <x v="43"/>
    <x v="2"/>
    <x v="3"/>
    <x v="4"/>
    <x v="1"/>
    <n v="6"/>
    <x v="10"/>
    <x v="21"/>
    <n v="4100.9799999999996"/>
    <x v="46"/>
  </r>
  <r>
    <x v="44"/>
    <x v="1"/>
    <x v="1"/>
    <x v="7"/>
    <x v="2"/>
    <n v="16"/>
    <x v="11"/>
    <x v="24"/>
    <n v="2619.73"/>
    <x v="47"/>
  </r>
  <r>
    <x v="45"/>
    <x v="1"/>
    <x v="1"/>
    <x v="7"/>
    <x v="3"/>
    <n v="5"/>
    <x v="0"/>
    <x v="25"/>
    <n v="3103.12"/>
    <x v="48"/>
  </r>
  <r>
    <x v="46"/>
    <x v="1"/>
    <x v="2"/>
    <x v="6"/>
    <x v="3"/>
    <n v="19"/>
    <x v="1"/>
    <x v="9"/>
    <n v="3074.32"/>
    <x v="49"/>
  </r>
  <r>
    <x v="47"/>
    <x v="1"/>
    <x v="2"/>
    <x v="6"/>
    <x v="1"/>
    <n v="20"/>
    <x v="2"/>
    <x v="10"/>
    <n v="3331.04"/>
    <x v="50"/>
  </r>
  <r>
    <x v="3"/>
    <x v="2"/>
    <x v="3"/>
    <x v="4"/>
    <x v="0"/>
    <n v="7"/>
    <x v="3"/>
    <x v="26"/>
    <n v="4813.28"/>
    <x v="51"/>
  </r>
  <r>
    <x v="48"/>
    <x v="0"/>
    <x v="4"/>
    <x v="8"/>
    <x v="3"/>
    <n v="18"/>
    <x v="4"/>
    <x v="13"/>
    <n v="1376.52"/>
    <x v="52"/>
  </r>
  <r>
    <x v="49"/>
    <x v="0"/>
    <x v="0"/>
    <x v="0"/>
    <x v="1"/>
    <n v="12"/>
    <x v="5"/>
    <x v="25"/>
    <n v="3400.71"/>
    <x v="53"/>
  </r>
  <r>
    <x v="50"/>
    <x v="1"/>
    <x v="1"/>
    <x v="7"/>
    <x v="0"/>
    <n v="2"/>
    <x v="6"/>
    <x v="27"/>
    <n v="4762.71"/>
    <x v="54"/>
  </r>
  <r>
    <x v="51"/>
    <x v="2"/>
    <x v="3"/>
    <x v="13"/>
    <x v="1"/>
    <n v="18"/>
    <x v="7"/>
    <x v="28"/>
    <n v="2149.9899999999998"/>
    <x v="55"/>
  </r>
  <r>
    <x v="52"/>
    <x v="0"/>
    <x v="4"/>
    <x v="8"/>
    <x v="0"/>
    <n v="13"/>
    <x v="8"/>
    <x v="29"/>
    <n v="2665.15"/>
    <x v="56"/>
  </r>
  <r>
    <x v="53"/>
    <x v="2"/>
    <x v="3"/>
    <x v="4"/>
    <x v="4"/>
    <n v="15"/>
    <x v="9"/>
    <x v="15"/>
    <n v="1543.85"/>
    <x v="57"/>
  </r>
  <r>
    <x v="54"/>
    <x v="2"/>
    <x v="3"/>
    <x v="4"/>
    <x v="1"/>
    <n v="3"/>
    <x v="10"/>
    <x v="7"/>
    <n v="3366.66"/>
    <x v="58"/>
  </r>
  <r>
    <x v="55"/>
    <x v="0"/>
    <x v="4"/>
    <x v="11"/>
    <x v="4"/>
    <n v="19"/>
    <x v="11"/>
    <x v="8"/>
    <n v="1809.9"/>
    <x v="59"/>
  </r>
  <r>
    <x v="56"/>
    <x v="1"/>
    <x v="1"/>
    <x v="12"/>
    <x v="0"/>
    <n v="7"/>
    <x v="0"/>
    <x v="16"/>
    <n v="1774.74"/>
    <x v="60"/>
  </r>
  <r>
    <x v="35"/>
    <x v="0"/>
    <x v="0"/>
    <x v="10"/>
    <x v="2"/>
    <n v="1"/>
    <x v="1"/>
    <x v="14"/>
    <n v="3459.33"/>
    <x v="61"/>
  </r>
  <r>
    <x v="55"/>
    <x v="2"/>
    <x v="3"/>
    <x v="4"/>
    <x v="4"/>
    <n v="13"/>
    <x v="2"/>
    <x v="12"/>
    <n v="4339.46"/>
    <x v="62"/>
  </r>
  <r>
    <x v="57"/>
    <x v="1"/>
    <x v="1"/>
    <x v="1"/>
    <x v="2"/>
    <n v="17"/>
    <x v="3"/>
    <x v="11"/>
    <n v="269.7"/>
    <x v="63"/>
  </r>
  <r>
    <x v="58"/>
    <x v="1"/>
    <x v="2"/>
    <x v="2"/>
    <x v="0"/>
    <n v="18"/>
    <x v="4"/>
    <x v="20"/>
    <n v="4103.6099999999997"/>
    <x v="64"/>
  </r>
  <r>
    <x v="50"/>
    <x v="0"/>
    <x v="0"/>
    <x v="5"/>
    <x v="1"/>
    <n v="14"/>
    <x v="5"/>
    <x v="30"/>
    <n v="2785.95"/>
    <x v="65"/>
  </r>
  <r>
    <x v="59"/>
    <x v="0"/>
    <x v="0"/>
    <x v="0"/>
    <x v="0"/>
    <n v="15"/>
    <x v="6"/>
    <x v="31"/>
    <n v="2330.62"/>
    <x v="66"/>
  </r>
  <r>
    <x v="60"/>
    <x v="0"/>
    <x v="0"/>
    <x v="10"/>
    <x v="2"/>
    <n v="1"/>
    <x v="7"/>
    <x v="19"/>
    <n v="3698.2"/>
    <x v="67"/>
  </r>
  <r>
    <x v="61"/>
    <x v="1"/>
    <x v="2"/>
    <x v="6"/>
    <x v="1"/>
    <n v="16"/>
    <x v="8"/>
    <x v="31"/>
    <n v="3586.87"/>
    <x v="68"/>
  </r>
  <r>
    <x v="62"/>
    <x v="1"/>
    <x v="1"/>
    <x v="7"/>
    <x v="1"/>
    <n v="4"/>
    <x v="9"/>
    <x v="6"/>
    <n v="1434.97"/>
    <x v="69"/>
  </r>
  <r>
    <x v="63"/>
    <x v="1"/>
    <x v="2"/>
    <x v="3"/>
    <x v="1"/>
    <n v="18"/>
    <x v="10"/>
    <x v="25"/>
    <n v="4168.59"/>
    <x v="70"/>
  </r>
  <r>
    <x v="64"/>
    <x v="1"/>
    <x v="2"/>
    <x v="3"/>
    <x v="3"/>
    <n v="7"/>
    <x v="11"/>
    <x v="14"/>
    <n v="2706.33"/>
    <x v="71"/>
  </r>
  <r>
    <x v="65"/>
    <x v="0"/>
    <x v="4"/>
    <x v="9"/>
    <x v="2"/>
    <n v="6"/>
    <x v="0"/>
    <x v="28"/>
    <n v="4042.16"/>
    <x v="72"/>
  </r>
  <r>
    <x v="66"/>
    <x v="1"/>
    <x v="2"/>
    <x v="6"/>
    <x v="3"/>
    <n v="10"/>
    <x v="1"/>
    <x v="32"/>
    <n v="4496.3900000000003"/>
    <x v="73"/>
  </r>
  <r>
    <x v="67"/>
    <x v="1"/>
    <x v="2"/>
    <x v="2"/>
    <x v="2"/>
    <n v="9"/>
    <x v="2"/>
    <x v="7"/>
    <n v="4638.57"/>
    <x v="74"/>
  </r>
  <r>
    <x v="60"/>
    <x v="0"/>
    <x v="0"/>
    <x v="5"/>
    <x v="0"/>
    <n v="16"/>
    <x v="3"/>
    <x v="33"/>
    <n v="494.05"/>
    <x v="75"/>
  </r>
  <r>
    <x v="68"/>
    <x v="1"/>
    <x v="1"/>
    <x v="7"/>
    <x v="4"/>
    <n v="12"/>
    <x v="4"/>
    <x v="22"/>
    <n v="1061.49"/>
    <x v="76"/>
  </r>
  <r>
    <x v="35"/>
    <x v="1"/>
    <x v="1"/>
    <x v="12"/>
    <x v="2"/>
    <n v="16"/>
    <x v="5"/>
    <x v="8"/>
    <n v="795.17"/>
    <x v="77"/>
  </r>
  <r>
    <x v="69"/>
    <x v="1"/>
    <x v="2"/>
    <x v="2"/>
    <x v="0"/>
    <n v="14"/>
    <x v="6"/>
    <x v="27"/>
    <n v="771.61"/>
    <x v="78"/>
  </r>
  <r>
    <x v="70"/>
    <x v="0"/>
    <x v="0"/>
    <x v="10"/>
    <x v="0"/>
    <n v="16"/>
    <x v="7"/>
    <x v="19"/>
    <n v="3702.43"/>
    <x v="79"/>
  </r>
  <r>
    <x v="42"/>
    <x v="1"/>
    <x v="1"/>
    <x v="1"/>
    <x v="0"/>
    <n v="4"/>
    <x v="8"/>
    <x v="33"/>
    <n v="1456.19"/>
    <x v="80"/>
  </r>
  <r>
    <x v="71"/>
    <x v="1"/>
    <x v="2"/>
    <x v="6"/>
    <x v="2"/>
    <n v="14"/>
    <x v="9"/>
    <x v="20"/>
    <n v="2808.58"/>
    <x v="81"/>
  </r>
  <r>
    <x v="72"/>
    <x v="0"/>
    <x v="0"/>
    <x v="0"/>
    <x v="0"/>
    <n v="4"/>
    <x v="10"/>
    <x v="31"/>
    <n v="1640.54"/>
    <x v="82"/>
  </r>
  <r>
    <x v="73"/>
    <x v="1"/>
    <x v="2"/>
    <x v="2"/>
    <x v="0"/>
    <n v="15"/>
    <x v="11"/>
    <x v="2"/>
    <n v="3909.42"/>
    <x v="83"/>
  </r>
  <r>
    <x v="74"/>
    <x v="1"/>
    <x v="1"/>
    <x v="7"/>
    <x v="1"/>
    <n v="17"/>
    <x v="0"/>
    <x v="15"/>
    <n v="4517.78"/>
    <x v="84"/>
  </r>
  <r>
    <x v="26"/>
    <x v="0"/>
    <x v="0"/>
    <x v="10"/>
    <x v="3"/>
    <n v="5"/>
    <x v="1"/>
    <x v="34"/>
    <n v="4198.97"/>
    <x v="85"/>
  </r>
  <r>
    <x v="75"/>
    <x v="0"/>
    <x v="4"/>
    <x v="9"/>
    <x v="3"/>
    <n v="14"/>
    <x v="2"/>
    <x v="31"/>
    <n v="4839.1099999999997"/>
    <x v="86"/>
  </r>
  <r>
    <x v="76"/>
    <x v="0"/>
    <x v="0"/>
    <x v="5"/>
    <x v="0"/>
    <n v="18"/>
    <x v="3"/>
    <x v="6"/>
    <n v="4022.66"/>
    <x v="87"/>
  </r>
  <r>
    <x v="77"/>
    <x v="0"/>
    <x v="4"/>
    <x v="11"/>
    <x v="4"/>
    <n v="11"/>
    <x v="4"/>
    <x v="27"/>
    <n v="1798.54"/>
    <x v="88"/>
  </r>
  <r>
    <x v="78"/>
    <x v="0"/>
    <x v="4"/>
    <x v="9"/>
    <x v="1"/>
    <n v="10"/>
    <x v="5"/>
    <x v="24"/>
    <n v="3205.57"/>
    <x v="89"/>
  </r>
  <r>
    <x v="75"/>
    <x v="1"/>
    <x v="2"/>
    <x v="6"/>
    <x v="0"/>
    <n v="5"/>
    <x v="6"/>
    <x v="33"/>
    <n v="4987.84"/>
    <x v="90"/>
  </r>
  <r>
    <x v="79"/>
    <x v="1"/>
    <x v="2"/>
    <x v="6"/>
    <x v="3"/>
    <n v="14"/>
    <x v="7"/>
    <x v="35"/>
    <n v="1507.19"/>
    <x v="91"/>
  </r>
  <r>
    <x v="33"/>
    <x v="0"/>
    <x v="0"/>
    <x v="0"/>
    <x v="0"/>
    <n v="17"/>
    <x v="8"/>
    <x v="28"/>
    <n v="3490.72"/>
    <x v="92"/>
  </r>
  <r>
    <x v="80"/>
    <x v="1"/>
    <x v="2"/>
    <x v="6"/>
    <x v="1"/>
    <n v="5"/>
    <x v="9"/>
    <x v="6"/>
    <n v="3786.28"/>
    <x v="93"/>
  </r>
  <r>
    <x v="81"/>
    <x v="1"/>
    <x v="1"/>
    <x v="7"/>
    <x v="2"/>
    <n v="10"/>
    <x v="10"/>
    <x v="11"/>
    <n v="4196.24"/>
    <x v="94"/>
  </r>
  <r>
    <x v="81"/>
    <x v="1"/>
    <x v="1"/>
    <x v="12"/>
    <x v="2"/>
    <n v="4"/>
    <x v="11"/>
    <x v="19"/>
    <n v="1493.04"/>
    <x v="95"/>
  </r>
  <r>
    <x v="82"/>
    <x v="2"/>
    <x v="3"/>
    <x v="14"/>
    <x v="3"/>
    <n v="16"/>
    <x v="0"/>
    <x v="12"/>
    <n v="2502.5700000000002"/>
    <x v="96"/>
  </r>
  <r>
    <x v="83"/>
    <x v="1"/>
    <x v="2"/>
    <x v="6"/>
    <x v="2"/>
    <n v="19"/>
    <x v="1"/>
    <x v="36"/>
    <n v="548.70000000000005"/>
    <x v="97"/>
  </r>
  <r>
    <x v="84"/>
    <x v="1"/>
    <x v="2"/>
    <x v="3"/>
    <x v="1"/>
    <n v="19"/>
    <x v="2"/>
    <x v="4"/>
    <n v="1309.6500000000001"/>
    <x v="98"/>
  </r>
  <r>
    <x v="85"/>
    <x v="0"/>
    <x v="0"/>
    <x v="5"/>
    <x v="0"/>
    <n v="2"/>
    <x v="3"/>
    <x v="31"/>
    <n v="741.33"/>
    <x v="99"/>
  </r>
  <r>
    <x v="26"/>
    <x v="0"/>
    <x v="0"/>
    <x v="0"/>
    <x v="3"/>
    <n v="3"/>
    <x v="4"/>
    <x v="8"/>
    <n v="3957.38"/>
    <x v="100"/>
  </r>
  <r>
    <x v="86"/>
    <x v="0"/>
    <x v="0"/>
    <x v="10"/>
    <x v="1"/>
    <n v="18"/>
    <x v="5"/>
    <x v="11"/>
    <n v="2777.65"/>
    <x v="101"/>
  </r>
  <r>
    <x v="87"/>
    <x v="0"/>
    <x v="4"/>
    <x v="11"/>
    <x v="2"/>
    <n v="15"/>
    <x v="6"/>
    <x v="15"/>
    <n v="2586.8000000000002"/>
    <x v="102"/>
  </r>
  <r>
    <x v="88"/>
    <x v="1"/>
    <x v="1"/>
    <x v="1"/>
    <x v="1"/>
    <n v="13"/>
    <x v="7"/>
    <x v="12"/>
    <n v="4337.22"/>
    <x v="103"/>
  </r>
  <r>
    <x v="89"/>
    <x v="1"/>
    <x v="2"/>
    <x v="2"/>
    <x v="2"/>
    <n v="5"/>
    <x v="8"/>
    <x v="37"/>
    <n v="4499.88"/>
    <x v="104"/>
  </r>
  <r>
    <x v="90"/>
    <x v="0"/>
    <x v="0"/>
    <x v="5"/>
    <x v="0"/>
    <n v="13"/>
    <x v="9"/>
    <x v="32"/>
    <n v="4357.0200000000004"/>
    <x v="105"/>
  </r>
  <r>
    <x v="2"/>
    <x v="0"/>
    <x v="0"/>
    <x v="0"/>
    <x v="1"/>
    <n v="9"/>
    <x v="10"/>
    <x v="2"/>
    <n v="808.93"/>
    <x v="106"/>
  </r>
  <r>
    <x v="8"/>
    <x v="0"/>
    <x v="0"/>
    <x v="10"/>
    <x v="0"/>
    <n v="9"/>
    <x v="11"/>
    <x v="8"/>
    <n v="2267.7199999999998"/>
    <x v="107"/>
  </r>
  <r>
    <x v="91"/>
    <x v="1"/>
    <x v="1"/>
    <x v="12"/>
    <x v="4"/>
    <n v="13"/>
    <x v="0"/>
    <x v="16"/>
    <n v="2238.96"/>
    <x v="108"/>
  </r>
  <r>
    <x v="30"/>
    <x v="0"/>
    <x v="4"/>
    <x v="11"/>
    <x v="0"/>
    <n v="3"/>
    <x v="1"/>
    <x v="29"/>
    <n v="4195.66"/>
    <x v="109"/>
  </r>
  <r>
    <x v="92"/>
    <x v="2"/>
    <x v="3"/>
    <x v="13"/>
    <x v="3"/>
    <n v="6"/>
    <x v="2"/>
    <x v="31"/>
    <n v="1508.35"/>
    <x v="110"/>
  </r>
  <r>
    <x v="93"/>
    <x v="2"/>
    <x v="3"/>
    <x v="13"/>
    <x v="3"/>
    <n v="8"/>
    <x v="3"/>
    <x v="11"/>
    <n v="1314.71"/>
    <x v="111"/>
  </r>
  <r>
    <x v="94"/>
    <x v="0"/>
    <x v="4"/>
    <x v="11"/>
    <x v="2"/>
    <n v="11"/>
    <x v="4"/>
    <x v="8"/>
    <n v="1435.18"/>
    <x v="112"/>
  </r>
  <r>
    <x v="95"/>
    <x v="0"/>
    <x v="4"/>
    <x v="11"/>
    <x v="3"/>
    <n v="11"/>
    <x v="5"/>
    <x v="32"/>
    <n v="4188.37"/>
    <x v="113"/>
  </r>
  <r>
    <x v="96"/>
    <x v="2"/>
    <x v="3"/>
    <x v="13"/>
    <x v="3"/>
    <n v="1"/>
    <x v="6"/>
    <x v="30"/>
    <n v="4859.6499999999996"/>
    <x v="114"/>
  </r>
  <r>
    <x v="59"/>
    <x v="1"/>
    <x v="1"/>
    <x v="12"/>
    <x v="1"/>
    <n v="18"/>
    <x v="7"/>
    <x v="18"/>
    <n v="3913.42"/>
    <x v="115"/>
  </r>
  <r>
    <x v="97"/>
    <x v="1"/>
    <x v="1"/>
    <x v="12"/>
    <x v="4"/>
    <n v="8"/>
    <x v="8"/>
    <x v="30"/>
    <n v="4402.3599999999997"/>
    <x v="116"/>
  </r>
  <r>
    <x v="98"/>
    <x v="0"/>
    <x v="0"/>
    <x v="0"/>
    <x v="1"/>
    <n v="19"/>
    <x v="9"/>
    <x v="38"/>
    <n v="1965.12"/>
    <x v="117"/>
  </r>
  <r>
    <x v="99"/>
    <x v="0"/>
    <x v="4"/>
    <x v="11"/>
    <x v="3"/>
    <n v="11"/>
    <x v="10"/>
    <x v="21"/>
    <n v="2522.63"/>
    <x v="118"/>
  </r>
  <r>
    <x v="100"/>
    <x v="0"/>
    <x v="4"/>
    <x v="9"/>
    <x v="4"/>
    <n v="19"/>
    <x v="11"/>
    <x v="6"/>
    <n v="2493.0300000000002"/>
    <x v="119"/>
  </r>
  <r>
    <x v="101"/>
    <x v="1"/>
    <x v="1"/>
    <x v="12"/>
    <x v="2"/>
    <n v="16"/>
    <x v="0"/>
    <x v="13"/>
    <n v="3895.18"/>
    <x v="120"/>
  </r>
  <r>
    <x v="46"/>
    <x v="1"/>
    <x v="1"/>
    <x v="12"/>
    <x v="1"/>
    <n v="2"/>
    <x v="1"/>
    <x v="20"/>
    <n v="1827.28"/>
    <x v="121"/>
  </r>
  <r>
    <x v="102"/>
    <x v="0"/>
    <x v="4"/>
    <x v="8"/>
    <x v="4"/>
    <n v="13"/>
    <x v="2"/>
    <x v="33"/>
    <n v="1753.48"/>
    <x v="122"/>
  </r>
  <r>
    <x v="103"/>
    <x v="1"/>
    <x v="1"/>
    <x v="12"/>
    <x v="3"/>
    <n v="16"/>
    <x v="3"/>
    <x v="8"/>
    <n v="971.39"/>
    <x v="123"/>
  </r>
  <r>
    <x v="104"/>
    <x v="1"/>
    <x v="2"/>
    <x v="3"/>
    <x v="4"/>
    <n v="15"/>
    <x v="4"/>
    <x v="31"/>
    <n v="346.45"/>
    <x v="124"/>
  </r>
  <r>
    <x v="51"/>
    <x v="0"/>
    <x v="4"/>
    <x v="9"/>
    <x v="0"/>
    <n v="12"/>
    <x v="5"/>
    <x v="10"/>
    <n v="186.62"/>
    <x v="125"/>
  </r>
  <r>
    <x v="105"/>
    <x v="2"/>
    <x v="3"/>
    <x v="4"/>
    <x v="2"/>
    <n v="4"/>
    <x v="6"/>
    <x v="4"/>
    <n v="431.75"/>
    <x v="126"/>
  </r>
  <r>
    <x v="23"/>
    <x v="1"/>
    <x v="1"/>
    <x v="7"/>
    <x v="3"/>
    <n v="19"/>
    <x v="7"/>
    <x v="29"/>
    <n v="4411.57"/>
    <x v="127"/>
  </r>
  <r>
    <x v="106"/>
    <x v="1"/>
    <x v="1"/>
    <x v="1"/>
    <x v="4"/>
    <n v="8"/>
    <x v="8"/>
    <x v="37"/>
    <n v="918.76"/>
    <x v="128"/>
  </r>
  <r>
    <x v="107"/>
    <x v="0"/>
    <x v="4"/>
    <x v="11"/>
    <x v="0"/>
    <n v="13"/>
    <x v="9"/>
    <x v="5"/>
    <n v="1767.86"/>
    <x v="129"/>
  </r>
  <r>
    <x v="108"/>
    <x v="1"/>
    <x v="1"/>
    <x v="12"/>
    <x v="3"/>
    <n v="13"/>
    <x v="10"/>
    <x v="14"/>
    <n v="4650.74"/>
    <x v="130"/>
  </r>
  <r>
    <x v="109"/>
    <x v="1"/>
    <x v="1"/>
    <x v="12"/>
    <x v="3"/>
    <n v="3"/>
    <x v="11"/>
    <x v="35"/>
    <n v="4876.51"/>
    <x v="131"/>
  </r>
  <r>
    <x v="110"/>
    <x v="1"/>
    <x v="1"/>
    <x v="12"/>
    <x v="2"/>
    <n v="16"/>
    <x v="0"/>
    <x v="5"/>
    <n v="4354.03"/>
    <x v="132"/>
  </r>
  <r>
    <x v="28"/>
    <x v="1"/>
    <x v="2"/>
    <x v="2"/>
    <x v="0"/>
    <n v="16"/>
    <x v="1"/>
    <x v="14"/>
    <n v="2682.3"/>
    <x v="133"/>
  </r>
  <r>
    <x v="105"/>
    <x v="0"/>
    <x v="0"/>
    <x v="10"/>
    <x v="0"/>
    <n v="16"/>
    <x v="2"/>
    <x v="29"/>
    <n v="328.65"/>
    <x v="134"/>
  </r>
  <r>
    <x v="111"/>
    <x v="0"/>
    <x v="0"/>
    <x v="5"/>
    <x v="1"/>
    <n v="13"/>
    <x v="3"/>
    <x v="13"/>
    <n v="1198.5"/>
    <x v="135"/>
  </r>
  <r>
    <x v="112"/>
    <x v="2"/>
    <x v="3"/>
    <x v="4"/>
    <x v="1"/>
    <n v="17"/>
    <x v="4"/>
    <x v="16"/>
    <n v="3679.89"/>
    <x v="136"/>
  </r>
  <r>
    <x v="113"/>
    <x v="1"/>
    <x v="2"/>
    <x v="2"/>
    <x v="1"/>
    <n v="1"/>
    <x v="5"/>
    <x v="15"/>
    <n v="696.38"/>
    <x v="137"/>
  </r>
  <r>
    <x v="29"/>
    <x v="1"/>
    <x v="2"/>
    <x v="2"/>
    <x v="0"/>
    <n v="13"/>
    <x v="6"/>
    <x v="37"/>
    <n v="3551.21"/>
    <x v="138"/>
  </r>
  <r>
    <x v="114"/>
    <x v="1"/>
    <x v="2"/>
    <x v="6"/>
    <x v="4"/>
    <n v="18"/>
    <x v="7"/>
    <x v="31"/>
    <n v="262.12"/>
    <x v="139"/>
  </r>
  <r>
    <x v="75"/>
    <x v="1"/>
    <x v="1"/>
    <x v="1"/>
    <x v="4"/>
    <n v="16"/>
    <x v="8"/>
    <x v="20"/>
    <n v="3897.57"/>
    <x v="140"/>
  </r>
  <r>
    <x v="115"/>
    <x v="1"/>
    <x v="1"/>
    <x v="7"/>
    <x v="1"/>
    <n v="1"/>
    <x v="9"/>
    <x v="23"/>
    <n v="3042.8"/>
    <x v="141"/>
  </r>
  <r>
    <x v="116"/>
    <x v="0"/>
    <x v="4"/>
    <x v="11"/>
    <x v="3"/>
    <n v="20"/>
    <x v="10"/>
    <x v="19"/>
    <n v="4066.74"/>
    <x v="142"/>
  </r>
  <r>
    <x v="44"/>
    <x v="1"/>
    <x v="1"/>
    <x v="12"/>
    <x v="0"/>
    <n v="11"/>
    <x v="11"/>
    <x v="21"/>
    <n v="4066.2"/>
    <x v="143"/>
  </r>
  <r>
    <x v="117"/>
    <x v="1"/>
    <x v="1"/>
    <x v="1"/>
    <x v="3"/>
    <n v="19"/>
    <x v="0"/>
    <x v="24"/>
    <n v="1398.49"/>
    <x v="144"/>
  </r>
  <r>
    <x v="118"/>
    <x v="0"/>
    <x v="0"/>
    <x v="0"/>
    <x v="3"/>
    <n v="11"/>
    <x v="1"/>
    <x v="28"/>
    <n v="3969.39"/>
    <x v="145"/>
  </r>
  <r>
    <x v="40"/>
    <x v="1"/>
    <x v="2"/>
    <x v="3"/>
    <x v="3"/>
    <n v="7"/>
    <x v="2"/>
    <x v="26"/>
    <n v="4720.63"/>
    <x v="146"/>
  </r>
  <r>
    <x v="104"/>
    <x v="0"/>
    <x v="4"/>
    <x v="11"/>
    <x v="1"/>
    <n v="1"/>
    <x v="3"/>
    <x v="14"/>
    <n v="3658.84"/>
    <x v="147"/>
  </r>
  <r>
    <x v="119"/>
    <x v="0"/>
    <x v="0"/>
    <x v="5"/>
    <x v="1"/>
    <n v="1"/>
    <x v="4"/>
    <x v="1"/>
    <n v="4681.07"/>
    <x v="148"/>
  </r>
  <r>
    <x v="120"/>
    <x v="1"/>
    <x v="2"/>
    <x v="6"/>
    <x v="0"/>
    <n v="11"/>
    <x v="5"/>
    <x v="1"/>
    <n v="4089.16"/>
    <x v="149"/>
  </r>
  <r>
    <x v="121"/>
    <x v="2"/>
    <x v="3"/>
    <x v="4"/>
    <x v="3"/>
    <n v="13"/>
    <x v="6"/>
    <x v="27"/>
    <n v="3069.28"/>
    <x v="150"/>
  </r>
  <r>
    <x v="122"/>
    <x v="1"/>
    <x v="2"/>
    <x v="3"/>
    <x v="1"/>
    <n v="4"/>
    <x v="7"/>
    <x v="36"/>
    <n v="1385.95"/>
    <x v="151"/>
  </r>
  <r>
    <x v="71"/>
    <x v="1"/>
    <x v="2"/>
    <x v="6"/>
    <x v="1"/>
    <n v="14"/>
    <x v="8"/>
    <x v="34"/>
    <n v="1770.36"/>
    <x v="152"/>
  </r>
  <r>
    <x v="123"/>
    <x v="2"/>
    <x v="3"/>
    <x v="14"/>
    <x v="4"/>
    <n v="3"/>
    <x v="9"/>
    <x v="11"/>
    <n v="4020.68"/>
    <x v="153"/>
  </r>
  <r>
    <x v="124"/>
    <x v="0"/>
    <x v="0"/>
    <x v="5"/>
    <x v="4"/>
    <n v="9"/>
    <x v="10"/>
    <x v="37"/>
    <n v="4953.3999999999996"/>
    <x v="154"/>
  </r>
  <r>
    <x v="73"/>
    <x v="0"/>
    <x v="4"/>
    <x v="9"/>
    <x v="4"/>
    <n v="7"/>
    <x v="11"/>
    <x v="30"/>
    <n v="1729.24"/>
    <x v="155"/>
  </r>
  <r>
    <x v="125"/>
    <x v="1"/>
    <x v="1"/>
    <x v="1"/>
    <x v="2"/>
    <n v="15"/>
    <x v="0"/>
    <x v="6"/>
    <n v="534.41999999999996"/>
    <x v="156"/>
  </r>
  <r>
    <x v="126"/>
    <x v="2"/>
    <x v="3"/>
    <x v="14"/>
    <x v="2"/>
    <n v="12"/>
    <x v="1"/>
    <x v="21"/>
    <n v="4378.41"/>
    <x v="157"/>
  </r>
  <r>
    <x v="127"/>
    <x v="1"/>
    <x v="1"/>
    <x v="12"/>
    <x v="2"/>
    <n v="16"/>
    <x v="2"/>
    <x v="13"/>
    <n v="3931.95"/>
    <x v="158"/>
  </r>
  <r>
    <x v="128"/>
    <x v="1"/>
    <x v="2"/>
    <x v="6"/>
    <x v="1"/>
    <n v="20"/>
    <x v="3"/>
    <x v="27"/>
    <n v="3751.01"/>
    <x v="159"/>
  </r>
  <r>
    <x v="129"/>
    <x v="2"/>
    <x v="3"/>
    <x v="13"/>
    <x v="1"/>
    <n v="20"/>
    <x v="4"/>
    <x v="18"/>
    <n v="2580.02"/>
    <x v="160"/>
  </r>
  <r>
    <x v="130"/>
    <x v="1"/>
    <x v="1"/>
    <x v="12"/>
    <x v="1"/>
    <n v="3"/>
    <x v="5"/>
    <x v="18"/>
    <n v="468.7"/>
    <x v="161"/>
  </r>
  <r>
    <x v="105"/>
    <x v="2"/>
    <x v="3"/>
    <x v="14"/>
    <x v="1"/>
    <n v="6"/>
    <x v="6"/>
    <x v="21"/>
    <n v="3125.31"/>
    <x v="162"/>
  </r>
  <r>
    <x v="131"/>
    <x v="0"/>
    <x v="4"/>
    <x v="9"/>
    <x v="1"/>
    <n v="19"/>
    <x v="7"/>
    <x v="17"/>
    <n v="1641.98"/>
    <x v="163"/>
  </r>
  <r>
    <x v="132"/>
    <x v="1"/>
    <x v="2"/>
    <x v="6"/>
    <x v="1"/>
    <n v="17"/>
    <x v="8"/>
    <x v="8"/>
    <n v="463.54"/>
    <x v="164"/>
  </r>
  <r>
    <x v="133"/>
    <x v="1"/>
    <x v="1"/>
    <x v="12"/>
    <x v="1"/>
    <n v="17"/>
    <x v="9"/>
    <x v="10"/>
    <n v="4088.77"/>
    <x v="165"/>
  </r>
  <r>
    <x v="134"/>
    <x v="1"/>
    <x v="1"/>
    <x v="1"/>
    <x v="4"/>
    <n v="17"/>
    <x v="10"/>
    <x v="25"/>
    <n v="1194.33"/>
    <x v="166"/>
  </r>
  <r>
    <x v="135"/>
    <x v="0"/>
    <x v="4"/>
    <x v="8"/>
    <x v="4"/>
    <n v="14"/>
    <x v="11"/>
    <x v="24"/>
    <n v="1215.6199999999999"/>
    <x v="167"/>
  </r>
  <r>
    <x v="59"/>
    <x v="1"/>
    <x v="2"/>
    <x v="2"/>
    <x v="0"/>
    <n v="5"/>
    <x v="0"/>
    <x v="8"/>
    <n v="4619.16"/>
    <x v="168"/>
  </r>
  <r>
    <x v="57"/>
    <x v="1"/>
    <x v="1"/>
    <x v="12"/>
    <x v="0"/>
    <n v="6"/>
    <x v="1"/>
    <x v="28"/>
    <n v="3277.95"/>
    <x v="169"/>
  </r>
  <r>
    <x v="136"/>
    <x v="0"/>
    <x v="4"/>
    <x v="8"/>
    <x v="3"/>
    <n v="11"/>
    <x v="2"/>
    <x v="1"/>
    <n v="4205.55"/>
    <x v="170"/>
  </r>
  <r>
    <x v="137"/>
    <x v="0"/>
    <x v="0"/>
    <x v="0"/>
    <x v="2"/>
    <n v="5"/>
    <x v="3"/>
    <x v="25"/>
    <n v="800.88"/>
    <x v="171"/>
  </r>
  <r>
    <x v="112"/>
    <x v="1"/>
    <x v="2"/>
    <x v="2"/>
    <x v="4"/>
    <n v="4"/>
    <x v="4"/>
    <x v="39"/>
    <n v="3022.72"/>
    <x v="172"/>
  </r>
  <r>
    <x v="138"/>
    <x v="0"/>
    <x v="4"/>
    <x v="9"/>
    <x v="0"/>
    <n v="2"/>
    <x v="5"/>
    <x v="31"/>
    <n v="2171.79"/>
    <x v="173"/>
  </r>
  <r>
    <x v="139"/>
    <x v="2"/>
    <x v="3"/>
    <x v="4"/>
    <x v="0"/>
    <n v="9"/>
    <x v="6"/>
    <x v="3"/>
    <n v="1667.06"/>
    <x v="174"/>
  </r>
  <r>
    <x v="69"/>
    <x v="0"/>
    <x v="4"/>
    <x v="9"/>
    <x v="2"/>
    <n v="6"/>
    <x v="7"/>
    <x v="25"/>
    <n v="1985.97"/>
    <x v="175"/>
  </r>
  <r>
    <x v="140"/>
    <x v="0"/>
    <x v="0"/>
    <x v="5"/>
    <x v="0"/>
    <n v="15"/>
    <x v="8"/>
    <x v="22"/>
    <n v="2706.66"/>
    <x v="176"/>
  </r>
  <r>
    <x v="141"/>
    <x v="1"/>
    <x v="2"/>
    <x v="6"/>
    <x v="3"/>
    <n v="16"/>
    <x v="9"/>
    <x v="8"/>
    <n v="2793.48"/>
    <x v="177"/>
  </r>
  <r>
    <x v="142"/>
    <x v="0"/>
    <x v="4"/>
    <x v="9"/>
    <x v="1"/>
    <n v="16"/>
    <x v="10"/>
    <x v="10"/>
    <n v="2666.78"/>
    <x v="178"/>
  </r>
  <r>
    <x v="143"/>
    <x v="2"/>
    <x v="3"/>
    <x v="13"/>
    <x v="2"/>
    <n v="13"/>
    <x v="11"/>
    <x v="26"/>
    <n v="864.09"/>
    <x v="179"/>
  </r>
  <r>
    <x v="144"/>
    <x v="0"/>
    <x v="4"/>
    <x v="11"/>
    <x v="1"/>
    <n v="19"/>
    <x v="0"/>
    <x v="24"/>
    <n v="3649.75"/>
    <x v="180"/>
  </r>
  <r>
    <x v="145"/>
    <x v="0"/>
    <x v="4"/>
    <x v="9"/>
    <x v="1"/>
    <n v="10"/>
    <x v="1"/>
    <x v="15"/>
    <n v="4718.03"/>
    <x v="181"/>
  </r>
  <r>
    <x v="146"/>
    <x v="0"/>
    <x v="0"/>
    <x v="5"/>
    <x v="3"/>
    <n v="5"/>
    <x v="2"/>
    <x v="18"/>
    <n v="4386.2"/>
    <x v="182"/>
  </r>
  <r>
    <x v="147"/>
    <x v="1"/>
    <x v="2"/>
    <x v="3"/>
    <x v="2"/>
    <n v="3"/>
    <x v="3"/>
    <x v="4"/>
    <n v="2966.4"/>
    <x v="183"/>
  </r>
  <r>
    <x v="148"/>
    <x v="0"/>
    <x v="0"/>
    <x v="0"/>
    <x v="3"/>
    <n v="12"/>
    <x v="4"/>
    <x v="25"/>
    <n v="3074.45"/>
    <x v="184"/>
  </r>
  <r>
    <x v="149"/>
    <x v="1"/>
    <x v="2"/>
    <x v="6"/>
    <x v="2"/>
    <n v="10"/>
    <x v="5"/>
    <x v="0"/>
    <n v="3122.59"/>
    <x v="185"/>
  </r>
  <r>
    <x v="40"/>
    <x v="1"/>
    <x v="1"/>
    <x v="1"/>
    <x v="0"/>
    <n v="10"/>
    <x v="6"/>
    <x v="23"/>
    <n v="3964.05"/>
    <x v="186"/>
  </r>
  <r>
    <x v="150"/>
    <x v="0"/>
    <x v="4"/>
    <x v="11"/>
    <x v="4"/>
    <n v="18"/>
    <x v="7"/>
    <x v="39"/>
    <n v="3561.06"/>
    <x v="187"/>
  </r>
  <r>
    <x v="151"/>
    <x v="0"/>
    <x v="4"/>
    <x v="11"/>
    <x v="4"/>
    <n v="4"/>
    <x v="8"/>
    <x v="38"/>
    <n v="1208.21"/>
    <x v="188"/>
  </r>
  <r>
    <x v="152"/>
    <x v="2"/>
    <x v="3"/>
    <x v="4"/>
    <x v="0"/>
    <n v="9"/>
    <x v="9"/>
    <x v="21"/>
    <n v="3552.02"/>
    <x v="189"/>
  </r>
  <r>
    <x v="128"/>
    <x v="0"/>
    <x v="4"/>
    <x v="9"/>
    <x v="1"/>
    <n v="14"/>
    <x v="10"/>
    <x v="39"/>
    <n v="2260.17"/>
    <x v="190"/>
  </r>
  <r>
    <x v="128"/>
    <x v="1"/>
    <x v="2"/>
    <x v="6"/>
    <x v="3"/>
    <n v="7"/>
    <x v="11"/>
    <x v="26"/>
    <n v="2557.77"/>
    <x v="191"/>
  </r>
  <r>
    <x v="148"/>
    <x v="1"/>
    <x v="1"/>
    <x v="1"/>
    <x v="0"/>
    <n v="2"/>
    <x v="0"/>
    <x v="29"/>
    <n v="2914.14"/>
    <x v="192"/>
  </r>
  <r>
    <x v="153"/>
    <x v="2"/>
    <x v="3"/>
    <x v="14"/>
    <x v="0"/>
    <n v="12"/>
    <x v="1"/>
    <x v="6"/>
    <n v="2726.43"/>
    <x v="193"/>
  </r>
  <r>
    <x v="17"/>
    <x v="1"/>
    <x v="1"/>
    <x v="12"/>
    <x v="1"/>
    <n v="10"/>
    <x v="2"/>
    <x v="10"/>
    <n v="3950.06"/>
    <x v="194"/>
  </r>
  <r>
    <x v="147"/>
    <x v="1"/>
    <x v="2"/>
    <x v="3"/>
    <x v="1"/>
    <n v="3"/>
    <x v="3"/>
    <x v="25"/>
    <n v="4999.6899999999996"/>
    <x v="195"/>
  </r>
  <r>
    <x v="137"/>
    <x v="0"/>
    <x v="0"/>
    <x v="0"/>
    <x v="0"/>
    <n v="15"/>
    <x v="4"/>
    <x v="8"/>
    <n v="4657.82"/>
    <x v="196"/>
  </r>
  <r>
    <x v="118"/>
    <x v="1"/>
    <x v="2"/>
    <x v="6"/>
    <x v="3"/>
    <n v="2"/>
    <x v="5"/>
    <x v="37"/>
    <n v="4997.2299999999996"/>
    <x v="197"/>
  </r>
  <r>
    <x v="154"/>
    <x v="1"/>
    <x v="2"/>
    <x v="6"/>
    <x v="1"/>
    <n v="15"/>
    <x v="6"/>
    <x v="13"/>
    <n v="4579.29"/>
    <x v="198"/>
  </r>
  <r>
    <x v="143"/>
    <x v="0"/>
    <x v="4"/>
    <x v="11"/>
    <x v="4"/>
    <n v="5"/>
    <x v="7"/>
    <x v="17"/>
    <n v="3619.58"/>
    <x v="199"/>
  </r>
  <r>
    <x v="155"/>
    <x v="1"/>
    <x v="2"/>
    <x v="3"/>
    <x v="2"/>
    <n v="11"/>
    <x v="8"/>
    <x v="6"/>
    <n v="1389.59"/>
    <x v="200"/>
  </r>
  <r>
    <x v="156"/>
    <x v="1"/>
    <x v="2"/>
    <x v="6"/>
    <x v="3"/>
    <n v="9"/>
    <x v="9"/>
    <x v="1"/>
    <n v="1302.45"/>
    <x v="201"/>
  </r>
  <r>
    <x v="141"/>
    <x v="0"/>
    <x v="4"/>
    <x v="11"/>
    <x v="0"/>
    <n v="10"/>
    <x v="10"/>
    <x v="18"/>
    <n v="743.68"/>
    <x v="202"/>
  </r>
  <r>
    <x v="7"/>
    <x v="1"/>
    <x v="2"/>
    <x v="2"/>
    <x v="2"/>
    <n v="5"/>
    <x v="11"/>
    <x v="35"/>
    <n v="1445.72"/>
    <x v="203"/>
  </r>
  <r>
    <x v="71"/>
    <x v="2"/>
    <x v="3"/>
    <x v="4"/>
    <x v="4"/>
    <n v="10"/>
    <x v="0"/>
    <x v="27"/>
    <n v="3411.13"/>
    <x v="204"/>
  </r>
  <r>
    <x v="117"/>
    <x v="2"/>
    <x v="3"/>
    <x v="4"/>
    <x v="0"/>
    <n v="20"/>
    <x v="1"/>
    <x v="5"/>
    <n v="3069.92"/>
    <x v="205"/>
  </r>
  <r>
    <x v="157"/>
    <x v="2"/>
    <x v="3"/>
    <x v="13"/>
    <x v="4"/>
    <n v="11"/>
    <x v="2"/>
    <x v="39"/>
    <n v="377.1"/>
    <x v="206"/>
  </r>
  <r>
    <x v="113"/>
    <x v="1"/>
    <x v="1"/>
    <x v="12"/>
    <x v="1"/>
    <n v="9"/>
    <x v="3"/>
    <x v="4"/>
    <n v="203.38"/>
    <x v="207"/>
  </r>
  <r>
    <x v="42"/>
    <x v="1"/>
    <x v="1"/>
    <x v="7"/>
    <x v="2"/>
    <n v="6"/>
    <x v="4"/>
    <x v="25"/>
    <n v="3457.43"/>
    <x v="208"/>
  </r>
  <r>
    <x v="99"/>
    <x v="0"/>
    <x v="0"/>
    <x v="5"/>
    <x v="3"/>
    <n v="11"/>
    <x v="5"/>
    <x v="7"/>
    <n v="3646.35"/>
    <x v="209"/>
  </r>
  <r>
    <x v="158"/>
    <x v="1"/>
    <x v="1"/>
    <x v="7"/>
    <x v="0"/>
    <n v="6"/>
    <x v="6"/>
    <x v="8"/>
    <n v="827.78"/>
    <x v="210"/>
  </r>
  <r>
    <x v="159"/>
    <x v="1"/>
    <x v="1"/>
    <x v="7"/>
    <x v="0"/>
    <n v="18"/>
    <x v="7"/>
    <x v="15"/>
    <n v="3102.47"/>
    <x v="211"/>
  </r>
  <r>
    <x v="160"/>
    <x v="0"/>
    <x v="4"/>
    <x v="8"/>
    <x v="0"/>
    <n v="9"/>
    <x v="8"/>
    <x v="30"/>
    <n v="2677.7"/>
    <x v="212"/>
  </r>
  <r>
    <x v="161"/>
    <x v="1"/>
    <x v="1"/>
    <x v="7"/>
    <x v="0"/>
    <n v="17"/>
    <x v="9"/>
    <x v="39"/>
    <n v="1071.3"/>
    <x v="213"/>
  </r>
  <r>
    <x v="162"/>
    <x v="1"/>
    <x v="2"/>
    <x v="6"/>
    <x v="2"/>
    <n v="9"/>
    <x v="10"/>
    <x v="34"/>
    <n v="3395.02"/>
    <x v="214"/>
  </r>
  <r>
    <x v="163"/>
    <x v="1"/>
    <x v="2"/>
    <x v="6"/>
    <x v="2"/>
    <n v="12"/>
    <x v="11"/>
    <x v="9"/>
    <n v="3932.48"/>
    <x v="215"/>
  </r>
  <r>
    <x v="164"/>
    <x v="0"/>
    <x v="0"/>
    <x v="5"/>
    <x v="0"/>
    <n v="2"/>
    <x v="0"/>
    <x v="20"/>
    <n v="3385.43"/>
    <x v="216"/>
  </r>
  <r>
    <x v="38"/>
    <x v="1"/>
    <x v="1"/>
    <x v="7"/>
    <x v="1"/>
    <n v="7"/>
    <x v="1"/>
    <x v="9"/>
    <n v="3070.09"/>
    <x v="217"/>
  </r>
  <r>
    <x v="136"/>
    <x v="0"/>
    <x v="4"/>
    <x v="11"/>
    <x v="1"/>
    <n v="12"/>
    <x v="2"/>
    <x v="17"/>
    <n v="1169.8399999999999"/>
    <x v="218"/>
  </r>
  <r>
    <x v="43"/>
    <x v="0"/>
    <x v="0"/>
    <x v="5"/>
    <x v="4"/>
    <n v="12"/>
    <x v="3"/>
    <x v="7"/>
    <n v="1333.81"/>
    <x v="219"/>
  </r>
  <r>
    <x v="165"/>
    <x v="1"/>
    <x v="2"/>
    <x v="3"/>
    <x v="2"/>
    <n v="1"/>
    <x v="4"/>
    <x v="0"/>
    <n v="3964.37"/>
    <x v="220"/>
  </r>
  <r>
    <x v="69"/>
    <x v="1"/>
    <x v="1"/>
    <x v="7"/>
    <x v="4"/>
    <n v="8"/>
    <x v="5"/>
    <x v="8"/>
    <n v="720.07"/>
    <x v="221"/>
  </r>
  <r>
    <x v="48"/>
    <x v="2"/>
    <x v="3"/>
    <x v="4"/>
    <x v="3"/>
    <n v="17"/>
    <x v="6"/>
    <x v="39"/>
    <n v="4033.84"/>
    <x v="222"/>
  </r>
  <r>
    <x v="63"/>
    <x v="2"/>
    <x v="3"/>
    <x v="4"/>
    <x v="4"/>
    <n v="16"/>
    <x v="7"/>
    <x v="34"/>
    <n v="3625.28"/>
    <x v="223"/>
  </r>
  <r>
    <x v="149"/>
    <x v="1"/>
    <x v="1"/>
    <x v="1"/>
    <x v="4"/>
    <n v="9"/>
    <x v="8"/>
    <x v="2"/>
    <n v="773.71"/>
    <x v="224"/>
  </r>
  <r>
    <x v="166"/>
    <x v="1"/>
    <x v="1"/>
    <x v="7"/>
    <x v="4"/>
    <n v="18"/>
    <x v="9"/>
    <x v="36"/>
    <n v="696.83"/>
    <x v="225"/>
  </r>
  <r>
    <x v="167"/>
    <x v="1"/>
    <x v="2"/>
    <x v="3"/>
    <x v="3"/>
    <n v="13"/>
    <x v="10"/>
    <x v="15"/>
    <n v="1466.66"/>
    <x v="226"/>
  </r>
  <r>
    <x v="24"/>
    <x v="0"/>
    <x v="4"/>
    <x v="9"/>
    <x v="2"/>
    <n v="8"/>
    <x v="11"/>
    <x v="31"/>
    <n v="1927.88"/>
    <x v="227"/>
  </r>
  <r>
    <x v="64"/>
    <x v="1"/>
    <x v="2"/>
    <x v="3"/>
    <x v="2"/>
    <n v="12"/>
    <x v="0"/>
    <x v="36"/>
    <n v="1947.14"/>
    <x v="228"/>
  </r>
  <r>
    <x v="97"/>
    <x v="1"/>
    <x v="2"/>
    <x v="6"/>
    <x v="3"/>
    <n v="1"/>
    <x v="1"/>
    <x v="4"/>
    <n v="632.39"/>
    <x v="229"/>
  </r>
  <r>
    <x v="168"/>
    <x v="2"/>
    <x v="3"/>
    <x v="4"/>
    <x v="2"/>
    <n v="10"/>
    <x v="2"/>
    <x v="13"/>
    <n v="4092.05"/>
    <x v="230"/>
  </r>
  <r>
    <x v="27"/>
    <x v="0"/>
    <x v="4"/>
    <x v="9"/>
    <x v="4"/>
    <n v="6"/>
    <x v="3"/>
    <x v="10"/>
    <n v="2609.65"/>
    <x v="231"/>
  </r>
  <r>
    <x v="52"/>
    <x v="2"/>
    <x v="3"/>
    <x v="4"/>
    <x v="2"/>
    <n v="6"/>
    <x v="4"/>
    <x v="16"/>
    <n v="4219.6099999999997"/>
    <x v="232"/>
  </r>
  <r>
    <x v="169"/>
    <x v="1"/>
    <x v="2"/>
    <x v="3"/>
    <x v="1"/>
    <n v="11"/>
    <x v="5"/>
    <x v="12"/>
    <n v="1703.12"/>
    <x v="233"/>
  </r>
  <r>
    <x v="170"/>
    <x v="0"/>
    <x v="4"/>
    <x v="8"/>
    <x v="2"/>
    <n v="11"/>
    <x v="6"/>
    <x v="10"/>
    <n v="548.91999999999996"/>
    <x v="234"/>
  </r>
  <r>
    <x v="98"/>
    <x v="1"/>
    <x v="2"/>
    <x v="3"/>
    <x v="2"/>
    <n v="20"/>
    <x v="7"/>
    <x v="35"/>
    <n v="3684.86"/>
    <x v="235"/>
  </r>
  <r>
    <x v="42"/>
    <x v="0"/>
    <x v="4"/>
    <x v="9"/>
    <x v="3"/>
    <n v="13"/>
    <x v="8"/>
    <x v="11"/>
    <n v="2351.59"/>
    <x v="236"/>
  </r>
  <r>
    <x v="171"/>
    <x v="1"/>
    <x v="2"/>
    <x v="6"/>
    <x v="3"/>
    <n v="8"/>
    <x v="9"/>
    <x v="11"/>
    <n v="1410.46"/>
    <x v="237"/>
  </r>
  <r>
    <x v="20"/>
    <x v="1"/>
    <x v="1"/>
    <x v="12"/>
    <x v="2"/>
    <n v="2"/>
    <x v="10"/>
    <x v="16"/>
    <n v="4032.05"/>
    <x v="238"/>
  </r>
  <r>
    <x v="172"/>
    <x v="1"/>
    <x v="2"/>
    <x v="3"/>
    <x v="4"/>
    <n v="16"/>
    <x v="11"/>
    <x v="12"/>
    <n v="325.52"/>
    <x v="239"/>
  </r>
  <r>
    <x v="71"/>
    <x v="0"/>
    <x v="4"/>
    <x v="8"/>
    <x v="0"/>
    <n v="17"/>
    <x v="0"/>
    <x v="0"/>
    <n v="4427.79"/>
    <x v="240"/>
  </r>
  <r>
    <x v="124"/>
    <x v="1"/>
    <x v="2"/>
    <x v="6"/>
    <x v="2"/>
    <n v="6"/>
    <x v="1"/>
    <x v="17"/>
    <n v="484.95"/>
    <x v="241"/>
  </r>
  <r>
    <x v="173"/>
    <x v="0"/>
    <x v="0"/>
    <x v="0"/>
    <x v="2"/>
    <n v="5"/>
    <x v="2"/>
    <x v="39"/>
    <n v="1204.6400000000001"/>
    <x v="242"/>
  </r>
  <r>
    <x v="76"/>
    <x v="1"/>
    <x v="1"/>
    <x v="7"/>
    <x v="1"/>
    <n v="18"/>
    <x v="3"/>
    <x v="1"/>
    <n v="1576.88"/>
    <x v="243"/>
  </r>
  <r>
    <x v="174"/>
    <x v="1"/>
    <x v="2"/>
    <x v="6"/>
    <x v="4"/>
    <n v="13"/>
    <x v="4"/>
    <x v="28"/>
    <n v="3190.8"/>
    <x v="244"/>
  </r>
  <r>
    <x v="116"/>
    <x v="1"/>
    <x v="2"/>
    <x v="3"/>
    <x v="2"/>
    <n v="13"/>
    <x v="5"/>
    <x v="35"/>
    <n v="2347.66"/>
    <x v="245"/>
  </r>
  <r>
    <x v="150"/>
    <x v="0"/>
    <x v="4"/>
    <x v="9"/>
    <x v="3"/>
    <n v="18"/>
    <x v="6"/>
    <x v="10"/>
    <n v="3524.11"/>
    <x v="246"/>
  </r>
  <r>
    <x v="175"/>
    <x v="0"/>
    <x v="4"/>
    <x v="9"/>
    <x v="2"/>
    <n v="9"/>
    <x v="7"/>
    <x v="34"/>
    <n v="888.33"/>
    <x v="247"/>
  </r>
  <r>
    <x v="162"/>
    <x v="0"/>
    <x v="4"/>
    <x v="8"/>
    <x v="2"/>
    <n v="8"/>
    <x v="8"/>
    <x v="23"/>
    <n v="1484.56"/>
    <x v="248"/>
  </r>
  <r>
    <x v="48"/>
    <x v="0"/>
    <x v="0"/>
    <x v="0"/>
    <x v="4"/>
    <n v="4"/>
    <x v="9"/>
    <x v="10"/>
    <n v="3725.78"/>
    <x v="249"/>
  </r>
  <r>
    <x v="86"/>
    <x v="0"/>
    <x v="0"/>
    <x v="10"/>
    <x v="0"/>
    <n v="18"/>
    <x v="10"/>
    <x v="12"/>
    <n v="4721.4399999999996"/>
    <x v="250"/>
  </r>
  <r>
    <x v="176"/>
    <x v="1"/>
    <x v="2"/>
    <x v="3"/>
    <x v="3"/>
    <n v="15"/>
    <x v="11"/>
    <x v="27"/>
    <n v="4426.4399999999996"/>
    <x v="251"/>
  </r>
  <r>
    <x v="83"/>
    <x v="1"/>
    <x v="1"/>
    <x v="12"/>
    <x v="1"/>
    <n v="1"/>
    <x v="0"/>
    <x v="15"/>
    <n v="1219.0999999999999"/>
    <x v="252"/>
  </r>
  <r>
    <x v="177"/>
    <x v="2"/>
    <x v="3"/>
    <x v="14"/>
    <x v="1"/>
    <n v="8"/>
    <x v="1"/>
    <x v="19"/>
    <n v="2628.31"/>
    <x v="253"/>
  </r>
  <r>
    <x v="178"/>
    <x v="1"/>
    <x v="1"/>
    <x v="1"/>
    <x v="4"/>
    <n v="18"/>
    <x v="2"/>
    <x v="36"/>
    <n v="2784.49"/>
    <x v="254"/>
  </r>
  <r>
    <x v="49"/>
    <x v="0"/>
    <x v="4"/>
    <x v="9"/>
    <x v="2"/>
    <n v="16"/>
    <x v="3"/>
    <x v="4"/>
    <n v="1907.95"/>
    <x v="255"/>
  </r>
  <r>
    <x v="173"/>
    <x v="1"/>
    <x v="1"/>
    <x v="7"/>
    <x v="1"/>
    <n v="15"/>
    <x v="4"/>
    <x v="23"/>
    <n v="1712.05"/>
    <x v="256"/>
  </r>
  <r>
    <x v="179"/>
    <x v="0"/>
    <x v="4"/>
    <x v="9"/>
    <x v="3"/>
    <n v="15"/>
    <x v="5"/>
    <x v="21"/>
    <n v="2167.91"/>
    <x v="257"/>
  </r>
  <r>
    <x v="180"/>
    <x v="1"/>
    <x v="1"/>
    <x v="1"/>
    <x v="1"/>
    <n v="9"/>
    <x v="6"/>
    <x v="28"/>
    <n v="228.49"/>
    <x v="258"/>
  </r>
  <r>
    <x v="93"/>
    <x v="2"/>
    <x v="3"/>
    <x v="13"/>
    <x v="3"/>
    <n v="9"/>
    <x v="7"/>
    <x v="5"/>
    <n v="3095.35"/>
    <x v="259"/>
  </r>
  <r>
    <x v="181"/>
    <x v="0"/>
    <x v="4"/>
    <x v="11"/>
    <x v="4"/>
    <n v="5"/>
    <x v="8"/>
    <x v="23"/>
    <n v="714.68"/>
    <x v="260"/>
  </r>
  <r>
    <x v="16"/>
    <x v="1"/>
    <x v="1"/>
    <x v="1"/>
    <x v="0"/>
    <n v="15"/>
    <x v="9"/>
    <x v="29"/>
    <n v="4545.26"/>
    <x v="261"/>
  </r>
  <r>
    <x v="28"/>
    <x v="0"/>
    <x v="4"/>
    <x v="8"/>
    <x v="4"/>
    <n v="20"/>
    <x v="10"/>
    <x v="25"/>
    <n v="2133.5300000000002"/>
    <x v="262"/>
  </r>
  <r>
    <x v="115"/>
    <x v="2"/>
    <x v="3"/>
    <x v="13"/>
    <x v="1"/>
    <n v="13"/>
    <x v="11"/>
    <x v="10"/>
    <n v="993.43"/>
    <x v="263"/>
  </r>
  <r>
    <x v="125"/>
    <x v="1"/>
    <x v="1"/>
    <x v="7"/>
    <x v="0"/>
    <n v="15"/>
    <x v="0"/>
    <x v="8"/>
    <n v="2081.27"/>
    <x v="264"/>
  </r>
  <r>
    <x v="121"/>
    <x v="1"/>
    <x v="2"/>
    <x v="3"/>
    <x v="1"/>
    <n v="12"/>
    <x v="1"/>
    <x v="24"/>
    <n v="2882.46"/>
    <x v="265"/>
  </r>
  <r>
    <x v="182"/>
    <x v="0"/>
    <x v="4"/>
    <x v="11"/>
    <x v="3"/>
    <n v="8"/>
    <x v="2"/>
    <x v="39"/>
    <n v="4169.8999999999996"/>
    <x v="266"/>
  </r>
  <r>
    <x v="183"/>
    <x v="2"/>
    <x v="3"/>
    <x v="13"/>
    <x v="2"/>
    <n v="6"/>
    <x v="3"/>
    <x v="37"/>
    <n v="4364.67"/>
    <x v="267"/>
  </r>
  <r>
    <x v="184"/>
    <x v="1"/>
    <x v="1"/>
    <x v="12"/>
    <x v="1"/>
    <n v="17"/>
    <x v="4"/>
    <x v="15"/>
    <n v="2924.72"/>
    <x v="268"/>
  </r>
  <r>
    <x v="185"/>
    <x v="0"/>
    <x v="0"/>
    <x v="5"/>
    <x v="0"/>
    <n v="8"/>
    <x v="5"/>
    <x v="39"/>
    <n v="4290.04"/>
    <x v="269"/>
  </r>
  <r>
    <x v="163"/>
    <x v="1"/>
    <x v="2"/>
    <x v="6"/>
    <x v="4"/>
    <n v="19"/>
    <x v="6"/>
    <x v="22"/>
    <n v="3336.46"/>
    <x v="270"/>
  </r>
  <r>
    <x v="186"/>
    <x v="1"/>
    <x v="1"/>
    <x v="7"/>
    <x v="4"/>
    <n v="20"/>
    <x v="7"/>
    <x v="29"/>
    <n v="3728.46"/>
    <x v="271"/>
  </r>
  <r>
    <x v="64"/>
    <x v="2"/>
    <x v="3"/>
    <x v="13"/>
    <x v="3"/>
    <n v="20"/>
    <x v="8"/>
    <x v="18"/>
    <n v="1592.52"/>
    <x v="272"/>
  </r>
  <r>
    <x v="187"/>
    <x v="0"/>
    <x v="0"/>
    <x v="5"/>
    <x v="2"/>
    <n v="20"/>
    <x v="9"/>
    <x v="4"/>
    <n v="2415.86"/>
    <x v="273"/>
  </r>
  <r>
    <x v="188"/>
    <x v="1"/>
    <x v="2"/>
    <x v="3"/>
    <x v="0"/>
    <n v="12"/>
    <x v="10"/>
    <x v="29"/>
    <n v="2733.87"/>
    <x v="274"/>
  </r>
  <r>
    <x v="169"/>
    <x v="1"/>
    <x v="2"/>
    <x v="2"/>
    <x v="1"/>
    <n v="20"/>
    <x v="11"/>
    <x v="21"/>
    <n v="4398.47"/>
    <x v="275"/>
  </r>
  <r>
    <x v="96"/>
    <x v="2"/>
    <x v="3"/>
    <x v="4"/>
    <x v="0"/>
    <n v="6"/>
    <x v="0"/>
    <x v="37"/>
    <n v="1537.45"/>
    <x v="276"/>
  </r>
  <r>
    <x v="55"/>
    <x v="0"/>
    <x v="4"/>
    <x v="11"/>
    <x v="1"/>
    <n v="3"/>
    <x v="1"/>
    <x v="14"/>
    <n v="1818.3"/>
    <x v="277"/>
  </r>
  <r>
    <x v="189"/>
    <x v="1"/>
    <x v="2"/>
    <x v="3"/>
    <x v="2"/>
    <n v="1"/>
    <x v="2"/>
    <x v="14"/>
    <n v="1239.25"/>
    <x v="278"/>
  </r>
  <r>
    <x v="185"/>
    <x v="2"/>
    <x v="3"/>
    <x v="14"/>
    <x v="4"/>
    <n v="5"/>
    <x v="3"/>
    <x v="10"/>
    <n v="968.86"/>
    <x v="279"/>
  </r>
  <r>
    <x v="190"/>
    <x v="0"/>
    <x v="0"/>
    <x v="0"/>
    <x v="1"/>
    <n v="11"/>
    <x v="4"/>
    <x v="1"/>
    <n v="2097.48"/>
    <x v="280"/>
  </r>
  <r>
    <x v="191"/>
    <x v="2"/>
    <x v="3"/>
    <x v="14"/>
    <x v="3"/>
    <n v="14"/>
    <x v="5"/>
    <x v="0"/>
    <n v="188.94"/>
    <x v="281"/>
  </r>
  <r>
    <x v="80"/>
    <x v="2"/>
    <x v="3"/>
    <x v="4"/>
    <x v="4"/>
    <n v="3"/>
    <x v="6"/>
    <x v="33"/>
    <n v="4201.09"/>
    <x v="282"/>
  </r>
  <r>
    <x v="192"/>
    <x v="0"/>
    <x v="0"/>
    <x v="5"/>
    <x v="2"/>
    <n v="19"/>
    <x v="7"/>
    <x v="13"/>
    <n v="430.16"/>
    <x v="283"/>
  </r>
  <r>
    <x v="95"/>
    <x v="2"/>
    <x v="3"/>
    <x v="4"/>
    <x v="3"/>
    <n v="5"/>
    <x v="8"/>
    <x v="16"/>
    <n v="2957.2"/>
    <x v="284"/>
  </r>
  <r>
    <x v="193"/>
    <x v="1"/>
    <x v="1"/>
    <x v="12"/>
    <x v="4"/>
    <n v="7"/>
    <x v="9"/>
    <x v="32"/>
    <n v="1164.5999999999999"/>
    <x v="285"/>
  </r>
  <r>
    <x v="181"/>
    <x v="1"/>
    <x v="1"/>
    <x v="7"/>
    <x v="4"/>
    <n v="2"/>
    <x v="10"/>
    <x v="37"/>
    <n v="161.19"/>
    <x v="286"/>
  </r>
  <r>
    <x v="50"/>
    <x v="1"/>
    <x v="1"/>
    <x v="1"/>
    <x v="3"/>
    <n v="4"/>
    <x v="11"/>
    <x v="23"/>
    <n v="2689.7"/>
    <x v="287"/>
  </r>
  <r>
    <x v="194"/>
    <x v="0"/>
    <x v="4"/>
    <x v="9"/>
    <x v="4"/>
    <n v="16"/>
    <x v="0"/>
    <x v="38"/>
    <n v="523.29999999999995"/>
    <x v="288"/>
  </r>
  <r>
    <x v="195"/>
    <x v="0"/>
    <x v="4"/>
    <x v="8"/>
    <x v="4"/>
    <n v="3"/>
    <x v="1"/>
    <x v="3"/>
    <n v="884.5"/>
    <x v="289"/>
  </r>
  <r>
    <x v="196"/>
    <x v="2"/>
    <x v="3"/>
    <x v="13"/>
    <x v="1"/>
    <n v="13"/>
    <x v="2"/>
    <x v="12"/>
    <n v="3724.27"/>
    <x v="290"/>
  </r>
  <r>
    <x v="197"/>
    <x v="0"/>
    <x v="0"/>
    <x v="5"/>
    <x v="3"/>
    <n v="9"/>
    <x v="3"/>
    <x v="38"/>
    <n v="3678.86"/>
    <x v="291"/>
  </r>
  <r>
    <x v="198"/>
    <x v="1"/>
    <x v="2"/>
    <x v="3"/>
    <x v="4"/>
    <n v="3"/>
    <x v="4"/>
    <x v="28"/>
    <n v="938.33"/>
    <x v="292"/>
  </r>
  <r>
    <x v="175"/>
    <x v="1"/>
    <x v="2"/>
    <x v="6"/>
    <x v="4"/>
    <n v="17"/>
    <x v="5"/>
    <x v="0"/>
    <n v="2664.62"/>
    <x v="293"/>
  </r>
  <r>
    <x v="199"/>
    <x v="0"/>
    <x v="0"/>
    <x v="5"/>
    <x v="0"/>
    <n v="5"/>
    <x v="6"/>
    <x v="19"/>
    <n v="4035.07"/>
    <x v="294"/>
  </r>
  <r>
    <x v="200"/>
    <x v="2"/>
    <x v="3"/>
    <x v="14"/>
    <x v="2"/>
    <n v="20"/>
    <x v="7"/>
    <x v="0"/>
    <n v="605.86"/>
    <x v="295"/>
  </r>
  <r>
    <x v="13"/>
    <x v="0"/>
    <x v="0"/>
    <x v="5"/>
    <x v="3"/>
    <n v="3"/>
    <x v="8"/>
    <x v="0"/>
    <n v="2082"/>
    <x v="296"/>
  </r>
  <r>
    <x v="201"/>
    <x v="0"/>
    <x v="0"/>
    <x v="5"/>
    <x v="2"/>
    <n v="8"/>
    <x v="9"/>
    <x v="30"/>
    <n v="3372.86"/>
    <x v="297"/>
  </r>
  <r>
    <x v="26"/>
    <x v="2"/>
    <x v="3"/>
    <x v="13"/>
    <x v="1"/>
    <n v="15"/>
    <x v="10"/>
    <x v="26"/>
    <n v="318.32"/>
    <x v="298"/>
  </r>
  <r>
    <x v="202"/>
    <x v="2"/>
    <x v="3"/>
    <x v="14"/>
    <x v="3"/>
    <n v="5"/>
    <x v="11"/>
    <x v="14"/>
    <n v="3900.9"/>
    <x v="299"/>
  </r>
  <r>
    <x v="45"/>
    <x v="0"/>
    <x v="0"/>
    <x v="0"/>
    <x v="4"/>
    <n v="15"/>
    <x v="0"/>
    <x v="39"/>
    <n v="1113.76"/>
    <x v="300"/>
  </r>
  <r>
    <x v="89"/>
    <x v="2"/>
    <x v="3"/>
    <x v="4"/>
    <x v="2"/>
    <n v="9"/>
    <x v="1"/>
    <x v="20"/>
    <n v="3458"/>
    <x v="301"/>
  </r>
  <r>
    <x v="189"/>
    <x v="2"/>
    <x v="3"/>
    <x v="13"/>
    <x v="1"/>
    <n v="7"/>
    <x v="2"/>
    <x v="18"/>
    <n v="3415.15"/>
    <x v="302"/>
  </r>
  <r>
    <x v="203"/>
    <x v="1"/>
    <x v="1"/>
    <x v="12"/>
    <x v="0"/>
    <n v="15"/>
    <x v="3"/>
    <x v="27"/>
    <n v="2920.62"/>
    <x v="303"/>
  </r>
  <r>
    <x v="163"/>
    <x v="0"/>
    <x v="0"/>
    <x v="0"/>
    <x v="2"/>
    <n v="20"/>
    <x v="4"/>
    <x v="19"/>
    <n v="1100.3800000000001"/>
    <x v="304"/>
  </r>
  <r>
    <x v="156"/>
    <x v="1"/>
    <x v="2"/>
    <x v="2"/>
    <x v="4"/>
    <n v="15"/>
    <x v="5"/>
    <x v="12"/>
    <n v="170.6"/>
    <x v="305"/>
  </r>
  <r>
    <x v="68"/>
    <x v="1"/>
    <x v="1"/>
    <x v="1"/>
    <x v="2"/>
    <n v="18"/>
    <x v="6"/>
    <x v="6"/>
    <n v="1073"/>
    <x v="306"/>
  </r>
  <r>
    <x v="159"/>
    <x v="0"/>
    <x v="4"/>
    <x v="9"/>
    <x v="0"/>
    <n v="9"/>
    <x v="7"/>
    <x v="3"/>
    <n v="3276.04"/>
    <x v="307"/>
  </r>
  <r>
    <x v="108"/>
    <x v="1"/>
    <x v="2"/>
    <x v="6"/>
    <x v="3"/>
    <n v="1"/>
    <x v="8"/>
    <x v="35"/>
    <n v="3734.74"/>
    <x v="308"/>
  </r>
  <r>
    <x v="204"/>
    <x v="0"/>
    <x v="0"/>
    <x v="0"/>
    <x v="1"/>
    <n v="5"/>
    <x v="9"/>
    <x v="21"/>
    <n v="3926.26"/>
    <x v="309"/>
  </r>
  <r>
    <x v="205"/>
    <x v="1"/>
    <x v="1"/>
    <x v="12"/>
    <x v="2"/>
    <n v="7"/>
    <x v="10"/>
    <x v="5"/>
    <n v="2048.48"/>
    <x v="310"/>
  </r>
  <r>
    <x v="134"/>
    <x v="0"/>
    <x v="0"/>
    <x v="0"/>
    <x v="0"/>
    <n v="11"/>
    <x v="11"/>
    <x v="38"/>
    <n v="1316.18"/>
    <x v="311"/>
  </r>
  <r>
    <x v="206"/>
    <x v="2"/>
    <x v="3"/>
    <x v="13"/>
    <x v="0"/>
    <n v="10"/>
    <x v="0"/>
    <x v="30"/>
    <n v="2027.97"/>
    <x v="312"/>
  </r>
  <r>
    <x v="207"/>
    <x v="0"/>
    <x v="0"/>
    <x v="0"/>
    <x v="4"/>
    <n v="9"/>
    <x v="1"/>
    <x v="36"/>
    <n v="4757.53"/>
    <x v="313"/>
  </r>
  <r>
    <x v="208"/>
    <x v="0"/>
    <x v="0"/>
    <x v="5"/>
    <x v="1"/>
    <n v="4"/>
    <x v="2"/>
    <x v="28"/>
    <n v="1256.3399999999999"/>
    <x v="314"/>
  </r>
  <r>
    <x v="209"/>
    <x v="2"/>
    <x v="3"/>
    <x v="13"/>
    <x v="4"/>
    <n v="11"/>
    <x v="3"/>
    <x v="32"/>
    <n v="1065.6400000000001"/>
    <x v="315"/>
  </r>
  <r>
    <x v="210"/>
    <x v="0"/>
    <x v="4"/>
    <x v="11"/>
    <x v="3"/>
    <n v="15"/>
    <x v="4"/>
    <x v="30"/>
    <n v="961.23"/>
    <x v="316"/>
  </r>
  <r>
    <x v="211"/>
    <x v="0"/>
    <x v="4"/>
    <x v="8"/>
    <x v="0"/>
    <n v="2"/>
    <x v="5"/>
    <x v="23"/>
    <n v="2238.46"/>
    <x v="317"/>
  </r>
  <r>
    <x v="60"/>
    <x v="2"/>
    <x v="3"/>
    <x v="14"/>
    <x v="3"/>
    <n v="17"/>
    <x v="6"/>
    <x v="7"/>
    <n v="1538.4"/>
    <x v="318"/>
  </r>
  <r>
    <x v="104"/>
    <x v="0"/>
    <x v="0"/>
    <x v="10"/>
    <x v="1"/>
    <n v="17"/>
    <x v="7"/>
    <x v="27"/>
    <n v="1307.24"/>
    <x v="319"/>
  </r>
  <r>
    <x v="212"/>
    <x v="2"/>
    <x v="3"/>
    <x v="4"/>
    <x v="2"/>
    <n v="1"/>
    <x v="8"/>
    <x v="21"/>
    <n v="840.65"/>
    <x v="320"/>
  </r>
  <r>
    <x v="188"/>
    <x v="0"/>
    <x v="0"/>
    <x v="0"/>
    <x v="1"/>
    <n v="15"/>
    <x v="9"/>
    <x v="11"/>
    <n v="4822.26"/>
    <x v="321"/>
  </r>
  <r>
    <x v="213"/>
    <x v="2"/>
    <x v="3"/>
    <x v="13"/>
    <x v="0"/>
    <n v="1"/>
    <x v="10"/>
    <x v="30"/>
    <n v="3781.47"/>
    <x v="322"/>
  </r>
  <r>
    <x v="119"/>
    <x v="0"/>
    <x v="4"/>
    <x v="9"/>
    <x v="3"/>
    <n v="6"/>
    <x v="11"/>
    <x v="17"/>
    <n v="3051.1"/>
    <x v="323"/>
  </r>
  <r>
    <x v="151"/>
    <x v="1"/>
    <x v="1"/>
    <x v="7"/>
    <x v="2"/>
    <n v="10"/>
    <x v="0"/>
    <x v="15"/>
    <n v="642.49"/>
    <x v="324"/>
  </r>
  <r>
    <x v="40"/>
    <x v="1"/>
    <x v="1"/>
    <x v="7"/>
    <x v="2"/>
    <n v="15"/>
    <x v="1"/>
    <x v="2"/>
    <n v="2346.4"/>
    <x v="325"/>
  </r>
  <r>
    <x v="214"/>
    <x v="1"/>
    <x v="1"/>
    <x v="7"/>
    <x v="0"/>
    <n v="20"/>
    <x v="2"/>
    <x v="28"/>
    <n v="1514.3"/>
    <x v="326"/>
  </r>
  <r>
    <x v="215"/>
    <x v="2"/>
    <x v="3"/>
    <x v="4"/>
    <x v="3"/>
    <n v="16"/>
    <x v="3"/>
    <x v="26"/>
    <n v="4364.8999999999996"/>
    <x v="327"/>
  </r>
  <r>
    <x v="176"/>
    <x v="0"/>
    <x v="0"/>
    <x v="5"/>
    <x v="3"/>
    <n v="2"/>
    <x v="4"/>
    <x v="36"/>
    <n v="1695.6"/>
    <x v="328"/>
  </r>
  <r>
    <x v="147"/>
    <x v="1"/>
    <x v="1"/>
    <x v="1"/>
    <x v="0"/>
    <n v="18"/>
    <x v="5"/>
    <x v="19"/>
    <n v="1968.87"/>
    <x v="329"/>
  </r>
  <r>
    <x v="52"/>
    <x v="1"/>
    <x v="1"/>
    <x v="7"/>
    <x v="0"/>
    <n v="17"/>
    <x v="6"/>
    <x v="9"/>
    <n v="1777.42"/>
    <x v="330"/>
  </r>
  <r>
    <x v="216"/>
    <x v="1"/>
    <x v="1"/>
    <x v="1"/>
    <x v="0"/>
    <n v="19"/>
    <x v="7"/>
    <x v="30"/>
    <n v="1564.94"/>
    <x v="331"/>
  </r>
  <r>
    <x v="217"/>
    <x v="0"/>
    <x v="4"/>
    <x v="9"/>
    <x v="4"/>
    <n v="7"/>
    <x v="8"/>
    <x v="32"/>
    <n v="1205.8900000000001"/>
    <x v="332"/>
  </r>
  <r>
    <x v="218"/>
    <x v="1"/>
    <x v="2"/>
    <x v="6"/>
    <x v="0"/>
    <n v="7"/>
    <x v="9"/>
    <x v="29"/>
    <n v="4530.8100000000004"/>
    <x v="333"/>
  </r>
  <r>
    <x v="129"/>
    <x v="1"/>
    <x v="2"/>
    <x v="3"/>
    <x v="1"/>
    <n v="13"/>
    <x v="10"/>
    <x v="33"/>
    <n v="3568.86"/>
    <x v="334"/>
  </r>
  <r>
    <x v="219"/>
    <x v="1"/>
    <x v="2"/>
    <x v="2"/>
    <x v="3"/>
    <n v="10"/>
    <x v="11"/>
    <x v="37"/>
    <n v="2349.2399999999998"/>
    <x v="335"/>
  </r>
  <r>
    <x v="122"/>
    <x v="0"/>
    <x v="4"/>
    <x v="9"/>
    <x v="1"/>
    <n v="16"/>
    <x v="0"/>
    <x v="14"/>
    <n v="1025.8"/>
    <x v="336"/>
  </r>
  <r>
    <x v="175"/>
    <x v="2"/>
    <x v="3"/>
    <x v="4"/>
    <x v="4"/>
    <n v="3"/>
    <x v="1"/>
    <x v="9"/>
    <n v="4608.8900000000003"/>
    <x v="337"/>
  </r>
  <r>
    <x v="220"/>
    <x v="2"/>
    <x v="3"/>
    <x v="14"/>
    <x v="1"/>
    <n v="5"/>
    <x v="2"/>
    <x v="27"/>
    <n v="2681.34"/>
    <x v="338"/>
  </r>
  <r>
    <x v="182"/>
    <x v="1"/>
    <x v="2"/>
    <x v="6"/>
    <x v="3"/>
    <n v="5"/>
    <x v="3"/>
    <x v="34"/>
    <n v="2481.2199999999998"/>
    <x v="339"/>
  </r>
  <r>
    <x v="221"/>
    <x v="1"/>
    <x v="2"/>
    <x v="3"/>
    <x v="3"/>
    <n v="13"/>
    <x v="4"/>
    <x v="17"/>
    <n v="4911.57"/>
    <x v="340"/>
  </r>
  <r>
    <x v="222"/>
    <x v="1"/>
    <x v="1"/>
    <x v="12"/>
    <x v="0"/>
    <n v="4"/>
    <x v="5"/>
    <x v="33"/>
    <n v="4337.09"/>
    <x v="341"/>
  </r>
  <r>
    <x v="223"/>
    <x v="0"/>
    <x v="4"/>
    <x v="9"/>
    <x v="2"/>
    <n v="4"/>
    <x v="6"/>
    <x v="14"/>
    <n v="4317.2"/>
    <x v="342"/>
  </r>
  <r>
    <x v="213"/>
    <x v="1"/>
    <x v="2"/>
    <x v="2"/>
    <x v="4"/>
    <n v="13"/>
    <x v="7"/>
    <x v="16"/>
    <n v="2693.09"/>
    <x v="343"/>
  </r>
  <r>
    <x v="224"/>
    <x v="1"/>
    <x v="1"/>
    <x v="1"/>
    <x v="0"/>
    <n v="5"/>
    <x v="8"/>
    <x v="9"/>
    <n v="3701.17"/>
    <x v="344"/>
  </r>
  <r>
    <x v="9"/>
    <x v="1"/>
    <x v="2"/>
    <x v="3"/>
    <x v="4"/>
    <n v="1"/>
    <x v="9"/>
    <x v="38"/>
    <n v="585.58000000000004"/>
    <x v="345"/>
  </r>
  <r>
    <x v="216"/>
    <x v="1"/>
    <x v="1"/>
    <x v="7"/>
    <x v="4"/>
    <n v="16"/>
    <x v="10"/>
    <x v="39"/>
    <n v="4720.2299999999996"/>
    <x v="346"/>
  </r>
  <r>
    <x v="225"/>
    <x v="0"/>
    <x v="4"/>
    <x v="8"/>
    <x v="4"/>
    <n v="15"/>
    <x v="11"/>
    <x v="25"/>
    <n v="2514.9499999999998"/>
    <x v="347"/>
  </r>
  <r>
    <x v="226"/>
    <x v="1"/>
    <x v="2"/>
    <x v="3"/>
    <x v="1"/>
    <n v="10"/>
    <x v="0"/>
    <x v="10"/>
    <n v="772.21"/>
    <x v="348"/>
  </r>
  <r>
    <x v="137"/>
    <x v="1"/>
    <x v="1"/>
    <x v="1"/>
    <x v="4"/>
    <n v="7"/>
    <x v="1"/>
    <x v="16"/>
    <n v="702.24"/>
    <x v="349"/>
  </r>
  <r>
    <x v="52"/>
    <x v="0"/>
    <x v="0"/>
    <x v="0"/>
    <x v="3"/>
    <n v="4"/>
    <x v="2"/>
    <x v="10"/>
    <n v="1831.79"/>
    <x v="350"/>
  </r>
  <r>
    <x v="66"/>
    <x v="0"/>
    <x v="0"/>
    <x v="10"/>
    <x v="2"/>
    <n v="12"/>
    <x v="3"/>
    <x v="35"/>
    <n v="3895.88"/>
    <x v="351"/>
  </r>
  <r>
    <x v="33"/>
    <x v="0"/>
    <x v="4"/>
    <x v="9"/>
    <x v="0"/>
    <n v="12"/>
    <x v="4"/>
    <x v="11"/>
    <n v="2208.4899999999998"/>
    <x v="352"/>
  </r>
  <r>
    <x v="133"/>
    <x v="0"/>
    <x v="0"/>
    <x v="5"/>
    <x v="1"/>
    <n v="3"/>
    <x v="5"/>
    <x v="33"/>
    <n v="116.58"/>
    <x v="353"/>
  </r>
  <r>
    <x v="29"/>
    <x v="2"/>
    <x v="3"/>
    <x v="14"/>
    <x v="2"/>
    <n v="3"/>
    <x v="6"/>
    <x v="21"/>
    <n v="4171.91"/>
    <x v="354"/>
  </r>
  <r>
    <x v="227"/>
    <x v="1"/>
    <x v="1"/>
    <x v="1"/>
    <x v="0"/>
    <n v="8"/>
    <x v="7"/>
    <x v="32"/>
    <n v="4201.6899999999996"/>
    <x v="355"/>
  </r>
  <r>
    <x v="207"/>
    <x v="0"/>
    <x v="4"/>
    <x v="11"/>
    <x v="1"/>
    <n v="1"/>
    <x v="8"/>
    <x v="7"/>
    <n v="2716.98"/>
    <x v="356"/>
  </r>
  <r>
    <x v="228"/>
    <x v="0"/>
    <x v="0"/>
    <x v="0"/>
    <x v="1"/>
    <n v="1"/>
    <x v="9"/>
    <x v="37"/>
    <n v="3847.65"/>
    <x v="357"/>
  </r>
  <r>
    <x v="108"/>
    <x v="0"/>
    <x v="0"/>
    <x v="0"/>
    <x v="0"/>
    <n v="2"/>
    <x v="10"/>
    <x v="11"/>
    <n v="816.12"/>
    <x v="358"/>
  </r>
  <r>
    <x v="229"/>
    <x v="2"/>
    <x v="3"/>
    <x v="13"/>
    <x v="4"/>
    <n v="12"/>
    <x v="11"/>
    <x v="9"/>
    <n v="1304.81"/>
    <x v="359"/>
  </r>
  <r>
    <x v="148"/>
    <x v="0"/>
    <x v="0"/>
    <x v="10"/>
    <x v="2"/>
    <n v="3"/>
    <x v="0"/>
    <x v="7"/>
    <n v="2214.86"/>
    <x v="360"/>
  </r>
  <r>
    <x v="230"/>
    <x v="2"/>
    <x v="3"/>
    <x v="13"/>
    <x v="3"/>
    <n v="14"/>
    <x v="1"/>
    <x v="18"/>
    <n v="1094.1400000000001"/>
    <x v="361"/>
  </r>
  <r>
    <x v="89"/>
    <x v="0"/>
    <x v="4"/>
    <x v="9"/>
    <x v="1"/>
    <n v="4"/>
    <x v="2"/>
    <x v="22"/>
    <n v="4697.07"/>
    <x v="362"/>
  </r>
  <r>
    <x v="7"/>
    <x v="0"/>
    <x v="0"/>
    <x v="5"/>
    <x v="2"/>
    <n v="5"/>
    <x v="3"/>
    <x v="12"/>
    <n v="1141.32"/>
    <x v="363"/>
  </r>
  <r>
    <x v="231"/>
    <x v="0"/>
    <x v="4"/>
    <x v="8"/>
    <x v="3"/>
    <n v="18"/>
    <x v="4"/>
    <x v="35"/>
    <n v="814.69"/>
    <x v="364"/>
  </r>
  <r>
    <x v="53"/>
    <x v="0"/>
    <x v="4"/>
    <x v="8"/>
    <x v="2"/>
    <n v="19"/>
    <x v="5"/>
    <x v="25"/>
    <n v="2743.67"/>
    <x v="365"/>
  </r>
  <r>
    <x v="23"/>
    <x v="1"/>
    <x v="2"/>
    <x v="6"/>
    <x v="0"/>
    <n v="3"/>
    <x v="6"/>
    <x v="24"/>
    <n v="2961.96"/>
    <x v="366"/>
  </r>
  <r>
    <x v="232"/>
    <x v="0"/>
    <x v="0"/>
    <x v="10"/>
    <x v="3"/>
    <n v="16"/>
    <x v="7"/>
    <x v="37"/>
    <n v="2882.65"/>
    <x v="367"/>
  </r>
  <r>
    <x v="233"/>
    <x v="0"/>
    <x v="0"/>
    <x v="5"/>
    <x v="3"/>
    <n v="7"/>
    <x v="8"/>
    <x v="5"/>
    <n v="1905.14"/>
    <x v="368"/>
  </r>
  <r>
    <x v="210"/>
    <x v="2"/>
    <x v="3"/>
    <x v="14"/>
    <x v="4"/>
    <n v="5"/>
    <x v="9"/>
    <x v="23"/>
    <n v="912.33"/>
    <x v="369"/>
  </r>
  <r>
    <x v="234"/>
    <x v="0"/>
    <x v="0"/>
    <x v="10"/>
    <x v="1"/>
    <n v="13"/>
    <x v="10"/>
    <x v="36"/>
    <n v="2745.75"/>
    <x v="370"/>
  </r>
  <r>
    <x v="95"/>
    <x v="1"/>
    <x v="1"/>
    <x v="12"/>
    <x v="3"/>
    <n v="10"/>
    <x v="11"/>
    <x v="29"/>
    <n v="222.55"/>
    <x v="371"/>
  </r>
  <r>
    <x v="235"/>
    <x v="1"/>
    <x v="1"/>
    <x v="7"/>
    <x v="4"/>
    <n v="15"/>
    <x v="0"/>
    <x v="34"/>
    <n v="624.87"/>
    <x v="372"/>
  </r>
  <r>
    <x v="157"/>
    <x v="0"/>
    <x v="4"/>
    <x v="8"/>
    <x v="1"/>
    <n v="2"/>
    <x v="1"/>
    <x v="15"/>
    <n v="3825.5"/>
    <x v="373"/>
  </r>
  <r>
    <x v="206"/>
    <x v="2"/>
    <x v="3"/>
    <x v="4"/>
    <x v="1"/>
    <n v="5"/>
    <x v="2"/>
    <x v="27"/>
    <n v="2846.34"/>
    <x v="374"/>
  </r>
  <r>
    <x v="236"/>
    <x v="1"/>
    <x v="2"/>
    <x v="2"/>
    <x v="1"/>
    <n v="3"/>
    <x v="3"/>
    <x v="39"/>
    <n v="1205.6199999999999"/>
    <x v="375"/>
  </r>
  <r>
    <x v="202"/>
    <x v="0"/>
    <x v="4"/>
    <x v="9"/>
    <x v="2"/>
    <n v="9"/>
    <x v="4"/>
    <x v="4"/>
    <n v="851.87"/>
    <x v="376"/>
  </r>
  <r>
    <x v="237"/>
    <x v="1"/>
    <x v="1"/>
    <x v="1"/>
    <x v="1"/>
    <n v="7"/>
    <x v="5"/>
    <x v="17"/>
    <n v="1849.17"/>
    <x v="377"/>
  </r>
  <r>
    <x v="238"/>
    <x v="2"/>
    <x v="3"/>
    <x v="13"/>
    <x v="4"/>
    <n v="2"/>
    <x v="6"/>
    <x v="14"/>
    <n v="2119.5100000000002"/>
    <x v="378"/>
  </r>
  <r>
    <x v="239"/>
    <x v="1"/>
    <x v="2"/>
    <x v="2"/>
    <x v="1"/>
    <n v="1"/>
    <x v="7"/>
    <x v="3"/>
    <n v="421.27"/>
    <x v="379"/>
  </r>
  <r>
    <x v="220"/>
    <x v="1"/>
    <x v="1"/>
    <x v="7"/>
    <x v="0"/>
    <n v="14"/>
    <x v="8"/>
    <x v="31"/>
    <n v="2746.27"/>
    <x v="380"/>
  </r>
  <r>
    <x v="104"/>
    <x v="0"/>
    <x v="4"/>
    <x v="8"/>
    <x v="3"/>
    <n v="18"/>
    <x v="9"/>
    <x v="9"/>
    <n v="3602.65"/>
    <x v="381"/>
  </r>
  <r>
    <x v="19"/>
    <x v="0"/>
    <x v="0"/>
    <x v="10"/>
    <x v="4"/>
    <n v="11"/>
    <x v="10"/>
    <x v="30"/>
    <n v="4681.04"/>
    <x v="382"/>
  </r>
  <r>
    <x v="171"/>
    <x v="1"/>
    <x v="1"/>
    <x v="1"/>
    <x v="2"/>
    <n v="4"/>
    <x v="11"/>
    <x v="9"/>
    <n v="1381.71"/>
    <x v="383"/>
  </r>
  <r>
    <x v="240"/>
    <x v="0"/>
    <x v="0"/>
    <x v="10"/>
    <x v="0"/>
    <n v="20"/>
    <x v="0"/>
    <x v="2"/>
    <n v="1536.73"/>
    <x v="384"/>
  </r>
  <r>
    <x v="4"/>
    <x v="1"/>
    <x v="1"/>
    <x v="7"/>
    <x v="1"/>
    <n v="13"/>
    <x v="1"/>
    <x v="4"/>
    <n v="1929.55"/>
    <x v="385"/>
  </r>
  <r>
    <x v="237"/>
    <x v="1"/>
    <x v="2"/>
    <x v="3"/>
    <x v="0"/>
    <n v="17"/>
    <x v="2"/>
    <x v="0"/>
    <n v="3233.82"/>
    <x v="386"/>
  </r>
  <r>
    <x v="241"/>
    <x v="0"/>
    <x v="0"/>
    <x v="5"/>
    <x v="1"/>
    <n v="17"/>
    <x v="3"/>
    <x v="31"/>
    <n v="4082.38"/>
    <x v="387"/>
  </r>
  <r>
    <x v="103"/>
    <x v="0"/>
    <x v="4"/>
    <x v="8"/>
    <x v="0"/>
    <n v="12"/>
    <x v="4"/>
    <x v="5"/>
    <n v="3650.3"/>
    <x v="388"/>
  </r>
  <r>
    <x v="242"/>
    <x v="1"/>
    <x v="2"/>
    <x v="3"/>
    <x v="0"/>
    <n v="18"/>
    <x v="5"/>
    <x v="39"/>
    <n v="532.4"/>
    <x v="389"/>
  </r>
  <r>
    <x v="173"/>
    <x v="0"/>
    <x v="0"/>
    <x v="10"/>
    <x v="1"/>
    <n v="7"/>
    <x v="6"/>
    <x v="7"/>
    <n v="3931.73"/>
    <x v="390"/>
  </r>
  <r>
    <x v="72"/>
    <x v="1"/>
    <x v="1"/>
    <x v="7"/>
    <x v="1"/>
    <n v="9"/>
    <x v="7"/>
    <x v="38"/>
    <n v="2770.27"/>
    <x v="391"/>
  </r>
  <r>
    <x v="243"/>
    <x v="1"/>
    <x v="1"/>
    <x v="7"/>
    <x v="3"/>
    <n v="7"/>
    <x v="8"/>
    <x v="18"/>
    <n v="3052.99"/>
    <x v="392"/>
  </r>
  <r>
    <x v="224"/>
    <x v="0"/>
    <x v="4"/>
    <x v="8"/>
    <x v="2"/>
    <n v="14"/>
    <x v="9"/>
    <x v="33"/>
    <n v="298.99"/>
    <x v="393"/>
  </r>
  <r>
    <x v="229"/>
    <x v="1"/>
    <x v="1"/>
    <x v="7"/>
    <x v="1"/>
    <n v="10"/>
    <x v="10"/>
    <x v="5"/>
    <n v="812.98"/>
    <x v="394"/>
  </r>
  <r>
    <x v="4"/>
    <x v="0"/>
    <x v="4"/>
    <x v="11"/>
    <x v="0"/>
    <n v="14"/>
    <x v="11"/>
    <x v="18"/>
    <n v="1720"/>
    <x v="395"/>
  </r>
  <r>
    <x v="69"/>
    <x v="1"/>
    <x v="1"/>
    <x v="12"/>
    <x v="4"/>
    <n v="3"/>
    <x v="0"/>
    <x v="32"/>
    <n v="772.21"/>
    <x v="396"/>
  </r>
  <r>
    <x v="244"/>
    <x v="1"/>
    <x v="1"/>
    <x v="1"/>
    <x v="1"/>
    <n v="20"/>
    <x v="1"/>
    <x v="21"/>
    <n v="3937.67"/>
    <x v="397"/>
  </r>
  <r>
    <x v="195"/>
    <x v="0"/>
    <x v="0"/>
    <x v="5"/>
    <x v="0"/>
    <n v="5"/>
    <x v="2"/>
    <x v="8"/>
    <n v="3259.3"/>
    <x v="398"/>
  </r>
  <r>
    <x v="126"/>
    <x v="2"/>
    <x v="3"/>
    <x v="4"/>
    <x v="1"/>
    <n v="7"/>
    <x v="3"/>
    <x v="38"/>
    <n v="252.75"/>
    <x v="399"/>
  </r>
  <r>
    <x v="207"/>
    <x v="0"/>
    <x v="0"/>
    <x v="10"/>
    <x v="3"/>
    <n v="16"/>
    <x v="4"/>
    <x v="33"/>
    <n v="1933.33"/>
    <x v="400"/>
  </r>
  <r>
    <x v="228"/>
    <x v="0"/>
    <x v="4"/>
    <x v="9"/>
    <x v="4"/>
    <n v="6"/>
    <x v="5"/>
    <x v="21"/>
    <n v="4541.92"/>
    <x v="401"/>
  </r>
  <r>
    <x v="218"/>
    <x v="0"/>
    <x v="0"/>
    <x v="0"/>
    <x v="3"/>
    <n v="20"/>
    <x v="6"/>
    <x v="19"/>
    <n v="4270.08"/>
    <x v="402"/>
  </r>
  <r>
    <x v="185"/>
    <x v="1"/>
    <x v="2"/>
    <x v="6"/>
    <x v="3"/>
    <n v="3"/>
    <x v="7"/>
    <x v="34"/>
    <n v="3007.45"/>
    <x v="403"/>
  </r>
  <r>
    <x v="245"/>
    <x v="2"/>
    <x v="3"/>
    <x v="14"/>
    <x v="2"/>
    <n v="8"/>
    <x v="8"/>
    <x v="14"/>
    <n v="315"/>
    <x v="404"/>
  </r>
  <r>
    <x v="246"/>
    <x v="1"/>
    <x v="2"/>
    <x v="6"/>
    <x v="4"/>
    <n v="13"/>
    <x v="9"/>
    <x v="5"/>
    <n v="1647.87"/>
    <x v="405"/>
  </r>
  <r>
    <x v="247"/>
    <x v="1"/>
    <x v="1"/>
    <x v="1"/>
    <x v="4"/>
    <n v="2"/>
    <x v="10"/>
    <x v="20"/>
    <n v="659.83"/>
    <x v="406"/>
  </r>
  <r>
    <x v="151"/>
    <x v="1"/>
    <x v="1"/>
    <x v="1"/>
    <x v="4"/>
    <n v="16"/>
    <x v="11"/>
    <x v="2"/>
    <n v="4999.8999999999996"/>
    <x v="407"/>
  </r>
  <r>
    <x v="27"/>
    <x v="1"/>
    <x v="1"/>
    <x v="12"/>
    <x v="1"/>
    <n v="20"/>
    <x v="0"/>
    <x v="24"/>
    <n v="490.36"/>
    <x v="408"/>
  </r>
  <r>
    <x v="211"/>
    <x v="0"/>
    <x v="4"/>
    <x v="11"/>
    <x v="0"/>
    <n v="19"/>
    <x v="1"/>
    <x v="16"/>
    <n v="2753.24"/>
    <x v="409"/>
  </r>
  <r>
    <x v="80"/>
    <x v="2"/>
    <x v="3"/>
    <x v="14"/>
    <x v="2"/>
    <n v="7"/>
    <x v="2"/>
    <x v="19"/>
    <n v="4541.83"/>
    <x v="410"/>
  </r>
  <r>
    <x v="70"/>
    <x v="0"/>
    <x v="0"/>
    <x v="10"/>
    <x v="0"/>
    <n v="2"/>
    <x v="3"/>
    <x v="1"/>
    <n v="3240.32"/>
    <x v="411"/>
  </r>
  <r>
    <x v="235"/>
    <x v="2"/>
    <x v="3"/>
    <x v="13"/>
    <x v="0"/>
    <n v="18"/>
    <x v="4"/>
    <x v="2"/>
    <n v="3614.6"/>
    <x v="412"/>
  </r>
  <r>
    <x v="59"/>
    <x v="0"/>
    <x v="0"/>
    <x v="5"/>
    <x v="0"/>
    <n v="3"/>
    <x v="5"/>
    <x v="9"/>
    <n v="2618.2199999999998"/>
    <x v="413"/>
  </r>
  <r>
    <x v="221"/>
    <x v="0"/>
    <x v="4"/>
    <x v="8"/>
    <x v="0"/>
    <n v="17"/>
    <x v="6"/>
    <x v="8"/>
    <n v="1793.43"/>
    <x v="414"/>
  </r>
  <r>
    <x v="248"/>
    <x v="2"/>
    <x v="3"/>
    <x v="4"/>
    <x v="3"/>
    <n v="17"/>
    <x v="7"/>
    <x v="12"/>
    <n v="758.19"/>
    <x v="415"/>
  </r>
  <r>
    <x v="99"/>
    <x v="0"/>
    <x v="4"/>
    <x v="8"/>
    <x v="0"/>
    <n v="18"/>
    <x v="8"/>
    <x v="24"/>
    <n v="4862.63"/>
    <x v="416"/>
  </r>
  <r>
    <x v="249"/>
    <x v="0"/>
    <x v="0"/>
    <x v="10"/>
    <x v="4"/>
    <n v="20"/>
    <x v="9"/>
    <x v="21"/>
    <n v="486.25"/>
    <x v="417"/>
  </r>
  <r>
    <x v="72"/>
    <x v="1"/>
    <x v="2"/>
    <x v="2"/>
    <x v="3"/>
    <n v="3"/>
    <x v="10"/>
    <x v="7"/>
    <n v="3533.3"/>
    <x v="418"/>
  </r>
  <r>
    <x v="145"/>
    <x v="2"/>
    <x v="3"/>
    <x v="14"/>
    <x v="4"/>
    <n v="11"/>
    <x v="11"/>
    <x v="1"/>
    <n v="1069.3900000000001"/>
    <x v="419"/>
  </r>
  <r>
    <x v="166"/>
    <x v="2"/>
    <x v="3"/>
    <x v="13"/>
    <x v="4"/>
    <n v="12"/>
    <x v="0"/>
    <x v="29"/>
    <n v="2581.09"/>
    <x v="420"/>
  </r>
  <r>
    <x v="156"/>
    <x v="1"/>
    <x v="2"/>
    <x v="3"/>
    <x v="1"/>
    <n v="8"/>
    <x v="1"/>
    <x v="12"/>
    <n v="1670.31"/>
    <x v="421"/>
  </r>
  <r>
    <x v="164"/>
    <x v="1"/>
    <x v="1"/>
    <x v="1"/>
    <x v="2"/>
    <n v="7"/>
    <x v="2"/>
    <x v="10"/>
    <n v="2560.5"/>
    <x v="422"/>
  </r>
  <r>
    <x v="74"/>
    <x v="1"/>
    <x v="1"/>
    <x v="12"/>
    <x v="1"/>
    <n v="8"/>
    <x v="3"/>
    <x v="9"/>
    <n v="244.6"/>
    <x v="423"/>
  </r>
  <r>
    <x v="250"/>
    <x v="2"/>
    <x v="3"/>
    <x v="4"/>
    <x v="4"/>
    <n v="13"/>
    <x v="4"/>
    <x v="12"/>
    <n v="4084.32"/>
    <x v="424"/>
  </r>
  <r>
    <x v="251"/>
    <x v="1"/>
    <x v="2"/>
    <x v="3"/>
    <x v="0"/>
    <n v="16"/>
    <x v="5"/>
    <x v="20"/>
    <n v="1480.7"/>
    <x v="425"/>
  </r>
  <r>
    <x v="175"/>
    <x v="1"/>
    <x v="2"/>
    <x v="2"/>
    <x v="0"/>
    <n v="6"/>
    <x v="6"/>
    <x v="11"/>
    <n v="1979"/>
    <x v="426"/>
  </r>
  <r>
    <x v="100"/>
    <x v="1"/>
    <x v="1"/>
    <x v="7"/>
    <x v="3"/>
    <n v="18"/>
    <x v="7"/>
    <x v="30"/>
    <n v="883.32"/>
    <x v="427"/>
  </r>
  <r>
    <x v="53"/>
    <x v="1"/>
    <x v="2"/>
    <x v="2"/>
    <x v="3"/>
    <n v="4"/>
    <x v="8"/>
    <x v="19"/>
    <n v="4058.48"/>
    <x v="428"/>
  </r>
  <r>
    <x v="252"/>
    <x v="0"/>
    <x v="4"/>
    <x v="9"/>
    <x v="3"/>
    <n v="7"/>
    <x v="9"/>
    <x v="37"/>
    <n v="281.29000000000002"/>
    <x v="429"/>
  </r>
  <r>
    <x v="103"/>
    <x v="2"/>
    <x v="3"/>
    <x v="14"/>
    <x v="0"/>
    <n v="4"/>
    <x v="10"/>
    <x v="26"/>
    <n v="2978.87"/>
    <x v="430"/>
  </r>
  <r>
    <x v="253"/>
    <x v="0"/>
    <x v="0"/>
    <x v="10"/>
    <x v="2"/>
    <n v="2"/>
    <x v="11"/>
    <x v="10"/>
    <n v="2402.5700000000002"/>
    <x v="431"/>
  </r>
  <r>
    <x v="64"/>
    <x v="2"/>
    <x v="3"/>
    <x v="14"/>
    <x v="4"/>
    <n v="12"/>
    <x v="0"/>
    <x v="15"/>
    <n v="1673.01"/>
    <x v="432"/>
  </r>
  <r>
    <x v="192"/>
    <x v="0"/>
    <x v="0"/>
    <x v="5"/>
    <x v="2"/>
    <n v="17"/>
    <x v="1"/>
    <x v="22"/>
    <n v="2031.75"/>
    <x v="433"/>
  </r>
  <r>
    <x v="254"/>
    <x v="2"/>
    <x v="3"/>
    <x v="4"/>
    <x v="4"/>
    <n v="15"/>
    <x v="2"/>
    <x v="10"/>
    <n v="4667.42"/>
    <x v="434"/>
  </r>
  <r>
    <x v="4"/>
    <x v="0"/>
    <x v="0"/>
    <x v="5"/>
    <x v="4"/>
    <n v="18"/>
    <x v="3"/>
    <x v="4"/>
    <n v="2494.9499999999998"/>
    <x v="435"/>
  </r>
  <r>
    <x v="121"/>
    <x v="1"/>
    <x v="1"/>
    <x v="12"/>
    <x v="2"/>
    <n v="15"/>
    <x v="4"/>
    <x v="28"/>
    <n v="4659.8"/>
    <x v="436"/>
  </r>
  <r>
    <x v="208"/>
    <x v="1"/>
    <x v="2"/>
    <x v="2"/>
    <x v="3"/>
    <n v="9"/>
    <x v="5"/>
    <x v="25"/>
    <n v="1805.32"/>
    <x v="437"/>
  </r>
  <r>
    <x v="255"/>
    <x v="0"/>
    <x v="4"/>
    <x v="8"/>
    <x v="3"/>
    <n v="11"/>
    <x v="6"/>
    <x v="25"/>
    <n v="4530.5600000000004"/>
    <x v="438"/>
  </r>
  <r>
    <x v="112"/>
    <x v="2"/>
    <x v="3"/>
    <x v="13"/>
    <x v="2"/>
    <n v="12"/>
    <x v="7"/>
    <x v="3"/>
    <n v="4003.52"/>
    <x v="439"/>
  </r>
  <r>
    <x v="256"/>
    <x v="0"/>
    <x v="0"/>
    <x v="0"/>
    <x v="3"/>
    <n v="1"/>
    <x v="8"/>
    <x v="30"/>
    <n v="3059.01"/>
    <x v="440"/>
  </r>
  <r>
    <x v="257"/>
    <x v="2"/>
    <x v="3"/>
    <x v="13"/>
    <x v="0"/>
    <n v="1"/>
    <x v="9"/>
    <x v="23"/>
    <n v="4815.0600000000004"/>
    <x v="441"/>
  </r>
  <r>
    <x v="67"/>
    <x v="1"/>
    <x v="1"/>
    <x v="1"/>
    <x v="3"/>
    <n v="3"/>
    <x v="10"/>
    <x v="6"/>
    <n v="1139.5899999999999"/>
    <x v="442"/>
  </r>
  <r>
    <x v="220"/>
    <x v="1"/>
    <x v="1"/>
    <x v="12"/>
    <x v="1"/>
    <n v="12"/>
    <x v="11"/>
    <x v="27"/>
    <n v="596.13"/>
    <x v="443"/>
  </r>
  <r>
    <x v="80"/>
    <x v="1"/>
    <x v="1"/>
    <x v="12"/>
    <x v="2"/>
    <n v="15"/>
    <x v="0"/>
    <x v="33"/>
    <n v="4262.53"/>
    <x v="444"/>
  </r>
  <r>
    <x v="114"/>
    <x v="2"/>
    <x v="3"/>
    <x v="4"/>
    <x v="2"/>
    <n v="18"/>
    <x v="1"/>
    <x v="5"/>
    <n v="4059.82"/>
    <x v="445"/>
  </r>
  <r>
    <x v="95"/>
    <x v="1"/>
    <x v="2"/>
    <x v="2"/>
    <x v="3"/>
    <n v="5"/>
    <x v="2"/>
    <x v="19"/>
    <n v="278.31"/>
    <x v="446"/>
  </r>
  <r>
    <x v="90"/>
    <x v="2"/>
    <x v="3"/>
    <x v="4"/>
    <x v="3"/>
    <n v="5"/>
    <x v="3"/>
    <x v="25"/>
    <n v="2423.83"/>
    <x v="447"/>
  </r>
  <r>
    <x v="60"/>
    <x v="0"/>
    <x v="4"/>
    <x v="8"/>
    <x v="4"/>
    <n v="8"/>
    <x v="4"/>
    <x v="29"/>
    <n v="1916.14"/>
    <x v="448"/>
  </r>
  <r>
    <x v="36"/>
    <x v="2"/>
    <x v="3"/>
    <x v="4"/>
    <x v="3"/>
    <n v="14"/>
    <x v="5"/>
    <x v="21"/>
    <n v="1598.93"/>
    <x v="449"/>
  </r>
  <r>
    <x v="196"/>
    <x v="0"/>
    <x v="0"/>
    <x v="5"/>
    <x v="3"/>
    <n v="20"/>
    <x v="6"/>
    <x v="8"/>
    <n v="3474.05"/>
    <x v="450"/>
  </r>
  <r>
    <x v="184"/>
    <x v="0"/>
    <x v="0"/>
    <x v="5"/>
    <x v="2"/>
    <n v="18"/>
    <x v="7"/>
    <x v="4"/>
    <n v="1306.19"/>
    <x v="451"/>
  </r>
  <r>
    <x v="142"/>
    <x v="1"/>
    <x v="1"/>
    <x v="1"/>
    <x v="4"/>
    <n v="1"/>
    <x v="8"/>
    <x v="16"/>
    <n v="2710.27"/>
    <x v="452"/>
  </r>
  <r>
    <x v="258"/>
    <x v="0"/>
    <x v="4"/>
    <x v="11"/>
    <x v="3"/>
    <n v="19"/>
    <x v="9"/>
    <x v="31"/>
    <n v="713.8"/>
    <x v="453"/>
  </r>
  <r>
    <x v="259"/>
    <x v="0"/>
    <x v="4"/>
    <x v="8"/>
    <x v="1"/>
    <n v="6"/>
    <x v="10"/>
    <x v="33"/>
    <n v="1016.27"/>
    <x v="454"/>
  </r>
  <r>
    <x v="260"/>
    <x v="2"/>
    <x v="3"/>
    <x v="14"/>
    <x v="1"/>
    <n v="17"/>
    <x v="11"/>
    <x v="17"/>
    <n v="1645.97"/>
    <x v="455"/>
  </r>
  <r>
    <x v="205"/>
    <x v="1"/>
    <x v="1"/>
    <x v="1"/>
    <x v="2"/>
    <n v="13"/>
    <x v="0"/>
    <x v="13"/>
    <n v="1976.63"/>
    <x v="456"/>
  </r>
  <r>
    <x v="5"/>
    <x v="0"/>
    <x v="0"/>
    <x v="0"/>
    <x v="1"/>
    <n v="20"/>
    <x v="1"/>
    <x v="27"/>
    <n v="1222.92"/>
    <x v="457"/>
  </r>
  <r>
    <x v="261"/>
    <x v="1"/>
    <x v="2"/>
    <x v="6"/>
    <x v="4"/>
    <n v="9"/>
    <x v="2"/>
    <x v="29"/>
    <n v="491.64"/>
    <x v="458"/>
  </r>
  <r>
    <x v="5"/>
    <x v="0"/>
    <x v="0"/>
    <x v="10"/>
    <x v="2"/>
    <n v="5"/>
    <x v="3"/>
    <x v="5"/>
    <n v="2583.81"/>
    <x v="459"/>
  </r>
  <r>
    <x v="45"/>
    <x v="0"/>
    <x v="0"/>
    <x v="0"/>
    <x v="1"/>
    <n v="5"/>
    <x v="4"/>
    <x v="27"/>
    <n v="3288.58"/>
    <x v="460"/>
  </r>
  <r>
    <x v="262"/>
    <x v="1"/>
    <x v="1"/>
    <x v="7"/>
    <x v="1"/>
    <n v="3"/>
    <x v="5"/>
    <x v="35"/>
    <n v="3445.08"/>
    <x v="461"/>
  </r>
  <r>
    <x v="246"/>
    <x v="0"/>
    <x v="0"/>
    <x v="10"/>
    <x v="0"/>
    <n v="10"/>
    <x v="6"/>
    <x v="25"/>
    <n v="3806.67"/>
    <x v="462"/>
  </r>
  <r>
    <x v="142"/>
    <x v="0"/>
    <x v="4"/>
    <x v="8"/>
    <x v="4"/>
    <n v="16"/>
    <x v="7"/>
    <x v="21"/>
    <n v="796.69"/>
    <x v="463"/>
  </r>
  <r>
    <x v="263"/>
    <x v="2"/>
    <x v="3"/>
    <x v="14"/>
    <x v="3"/>
    <n v="1"/>
    <x v="8"/>
    <x v="8"/>
    <n v="2489.17"/>
    <x v="464"/>
  </r>
  <r>
    <x v="24"/>
    <x v="0"/>
    <x v="0"/>
    <x v="0"/>
    <x v="4"/>
    <n v="6"/>
    <x v="9"/>
    <x v="8"/>
    <n v="1701.04"/>
    <x v="465"/>
  </r>
  <r>
    <x v="258"/>
    <x v="2"/>
    <x v="3"/>
    <x v="4"/>
    <x v="2"/>
    <n v="5"/>
    <x v="10"/>
    <x v="4"/>
    <n v="143.78"/>
    <x v="466"/>
  </r>
  <r>
    <x v="264"/>
    <x v="0"/>
    <x v="0"/>
    <x v="5"/>
    <x v="4"/>
    <n v="20"/>
    <x v="11"/>
    <x v="0"/>
    <n v="1260.25"/>
    <x v="467"/>
  </r>
  <r>
    <x v="263"/>
    <x v="0"/>
    <x v="0"/>
    <x v="10"/>
    <x v="2"/>
    <n v="18"/>
    <x v="0"/>
    <x v="26"/>
    <n v="3040.28"/>
    <x v="468"/>
  </r>
  <r>
    <x v="212"/>
    <x v="0"/>
    <x v="4"/>
    <x v="8"/>
    <x v="4"/>
    <n v="4"/>
    <x v="1"/>
    <x v="14"/>
    <n v="3561.12"/>
    <x v="469"/>
  </r>
  <r>
    <x v="155"/>
    <x v="0"/>
    <x v="0"/>
    <x v="0"/>
    <x v="4"/>
    <n v="19"/>
    <x v="2"/>
    <x v="7"/>
    <n v="3718.59"/>
    <x v="470"/>
  </r>
  <r>
    <x v="247"/>
    <x v="2"/>
    <x v="3"/>
    <x v="13"/>
    <x v="3"/>
    <n v="12"/>
    <x v="3"/>
    <x v="8"/>
    <n v="4011.85"/>
    <x v="471"/>
  </r>
  <r>
    <x v="115"/>
    <x v="2"/>
    <x v="3"/>
    <x v="13"/>
    <x v="4"/>
    <n v="13"/>
    <x v="4"/>
    <x v="34"/>
    <n v="4542.74"/>
    <x v="472"/>
  </r>
  <r>
    <x v="265"/>
    <x v="1"/>
    <x v="2"/>
    <x v="3"/>
    <x v="1"/>
    <n v="15"/>
    <x v="5"/>
    <x v="24"/>
    <n v="3048.36"/>
    <x v="473"/>
  </r>
  <r>
    <x v="124"/>
    <x v="1"/>
    <x v="2"/>
    <x v="2"/>
    <x v="3"/>
    <n v="4"/>
    <x v="6"/>
    <x v="8"/>
    <n v="366.33"/>
    <x v="474"/>
  </r>
  <r>
    <x v="247"/>
    <x v="2"/>
    <x v="3"/>
    <x v="13"/>
    <x v="2"/>
    <n v="9"/>
    <x v="7"/>
    <x v="22"/>
    <n v="3137.87"/>
    <x v="475"/>
  </r>
  <r>
    <x v="266"/>
    <x v="2"/>
    <x v="3"/>
    <x v="13"/>
    <x v="1"/>
    <n v="12"/>
    <x v="8"/>
    <x v="3"/>
    <n v="225.88"/>
    <x v="476"/>
  </r>
  <r>
    <x v="267"/>
    <x v="1"/>
    <x v="2"/>
    <x v="6"/>
    <x v="2"/>
    <n v="11"/>
    <x v="9"/>
    <x v="34"/>
    <n v="920.95"/>
    <x v="477"/>
  </r>
  <r>
    <x v="10"/>
    <x v="2"/>
    <x v="3"/>
    <x v="14"/>
    <x v="2"/>
    <n v="16"/>
    <x v="10"/>
    <x v="25"/>
    <n v="2991.84"/>
    <x v="478"/>
  </r>
  <r>
    <x v="235"/>
    <x v="2"/>
    <x v="3"/>
    <x v="4"/>
    <x v="0"/>
    <n v="18"/>
    <x v="11"/>
    <x v="36"/>
    <n v="3287.05"/>
    <x v="479"/>
  </r>
  <r>
    <x v="202"/>
    <x v="1"/>
    <x v="1"/>
    <x v="7"/>
    <x v="2"/>
    <n v="12"/>
    <x v="0"/>
    <x v="13"/>
    <n v="1748.6"/>
    <x v="480"/>
  </r>
  <r>
    <x v="34"/>
    <x v="1"/>
    <x v="1"/>
    <x v="7"/>
    <x v="1"/>
    <n v="10"/>
    <x v="1"/>
    <x v="4"/>
    <n v="159.27000000000001"/>
    <x v="481"/>
  </r>
  <r>
    <x v="110"/>
    <x v="0"/>
    <x v="4"/>
    <x v="11"/>
    <x v="1"/>
    <n v="20"/>
    <x v="2"/>
    <x v="2"/>
    <n v="4712.75"/>
    <x v="482"/>
  </r>
  <r>
    <x v="34"/>
    <x v="1"/>
    <x v="2"/>
    <x v="2"/>
    <x v="0"/>
    <n v="12"/>
    <x v="3"/>
    <x v="32"/>
    <n v="2821.2"/>
    <x v="483"/>
  </r>
  <r>
    <x v="268"/>
    <x v="1"/>
    <x v="2"/>
    <x v="6"/>
    <x v="2"/>
    <n v="20"/>
    <x v="4"/>
    <x v="21"/>
    <n v="3891.28"/>
    <x v="484"/>
  </r>
  <r>
    <x v="113"/>
    <x v="0"/>
    <x v="0"/>
    <x v="5"/>
    <x v="1"/>
    <n v="16"/>
    <x v="5"/>
    <x v="19"/>
    <n v="3599.32"/>
    <x v="485"/>
  </r>
  <r>
    <x v="234"/>
    <x v="0"/>
    <x v="4"/>
    <x v="9"/>
    <x v="0"/>
    <n v="20"/>
    <x v="6"/>
    <x v="3"/>
    <n v="633.87"/>
    <x v="486"/>
  </r>
  <r>
    <x v="35"/>
    <x v="0"/>
    <x v="4"/>
    <x v="9"/>
    <x v="4"/>
    <n v="1"/>
    <x v="7"/>
    <x v="33"/>
    <n v="983.24"/>
    <x v="487"/>
  </r>
  <r>
    <x v="207"/>
    <x v="1"/>
    <x v="2"/>
    <x v="3"/>
    <x v="4"/>
    <n v="9"/>
    <x v="8"/>
    <x v="5"/>
    <n v="2427.88"/>
    <x v="488"/>
  </r>
  <r>
    <x v="202"/>
    <x v="1"/>
    <x v="1"/>
    <x v="7"/>
    <x v="1"/>
    <n v="16"/>
    <x v="9"/>
    <x v="35"/>
    <n v="2600.48"/>
    <x v="489"/>
  </r>
  <r>
    <x v="145"/>
    <x v="2"/>
    <x v="3"/>
    <x v="4"/>
    <x v="4"/>
    <n v="1"/>
    <x v="10"/>
    <x v="7"/>
    <n v="1967.8"/>
    <x v="490"/>
  </r>
  <r>
    <x v="235"/>
    <x v="0"/>
    <x v="0"/>
    <x v="0"/>
    <x v="3"/>
    <n v="14"/>
    <x v="11"/>
    <x v="5"/>
    <n v="2918.42"/>
    <x v="491"/>
  </r>
  <r>
    <x v="22"/>
    <x v="2"/>
    <x v="3"/>
    <x v="14"/>
    <x v="3"/>
    <n v="20"/>
    <x v="0"/>
    <x v="22"/>
    <n v="4821.82"/>
    <x v="492"/>
  </r>
  <r>
    <x v="269"/>
    <x v="0"/>
    <x v="0"/>
    <x v="10"/>
    <x v="0"/>
    <n v="11"/>
    <x v="1"/>
    <x v="9"/>
    <n v="923.59"/>
    <x v="493"/>
  </r>
  <r>
    <x v="258"/>
    <x v="2"/>
    <x v="3"/>
    <x v="4"/>
    <x v="3"/>
    <n v="1"/>
    <x v="2"/>
    <x v="37"/>
    <n v="1410.8"/>
    <x v="494"/>
  </r>
  <r>
    <x v="220"/>
    <x v="1"/>
    <x v="2"/>
    <x v="3"/>
    <x v="1"/>
    <n v="16"/>
    <x v="3"/>
    <x v="3"/>
    <n v="874.99"/>
    <x v="495"/>
  </r>
  <r>
    <x v="270"/>
    <x v="2"/>
    <x v="3"/>
    <x v="14"/>
    <x v="4"/>
    <n v="5"/>
    <x v="4"/>
    <x v="23"/>
    <n v="4165.41"/>
    <x v="496"/>
  </r>
  <r>
    <x v="247"/>
    <x v="1"/>
    <x v="2"/>
    <x v="3"/>
    <x v="3"/>
    <n v="2"/>
    <x v="5"/>
    <x v="1"/>
    <n v="3072.48"/>
    <x v="497"/>
  </r>
  <r>
    <x v="66"/>
    <x v="0"/>
    <x v="4"/>
    <x v="11"/>
    <x v="1"/>
    <n v="11"/>
    <x v="6"/>
    <x v="8"/>
    <n v="793.45"/>
    <x v="498"/>
  </r>
  <r>
    <x v="103"/>
    <x v="2"/>
    <x v="3"/>
    <x v="13"/>
    <x v="0"/>
    <n v="3"/>
    <x v="7"/>
    <x v="25"/>
    <n v="2040.38"/>
    <x v="499"/>
  </r>
  <r>
    <x v="159"/>
    <x v="0"/>
    <x v="0"/>
    <x v="0"/>
    <x v="2"/>
    <n v="4"/>
    <x v="8"/>
    <x v="5"/>
    <n v="1080.1600000000001"/>
    <x v="500"/>
  </r>
  <r>
    <x v="271"/>
    <x v="0"/>
    <x v="0"/>
    <x v="0"/>
    <x v="1"/>
    <n v="20"/>
    <x v="9"/>
    <x v="14"/>
    <n v="2631.58"/>
    <x v="501"/>
  </r>
  <r>
    <x v="184"/>
    <x v="0"/>
    <x v="4"/>
    <x v="8"/>
    <x v="1"/>
    <n v="18"/>
    <x v="10"/>
    <x v="38"/>
    <n v="1164.29"/>
    <x v="502"/>
  </r>
  <r>
    <x v="35"/>
    <x v="0"/>
    <x v="0"/>
    <x v="10"/>
    <x v="0"/>
    <n v="6"/>
    <x v="11"/>
    <x v="32"/>
    <n v="177.34"/>
    <x v="503"/>
  </r>
  <r>
    <x v="155"/>
    <x v="0"/>
    <x v="0"/>
    <x v="0"/>
    <x v="1"/>
    <n v="20"/>
    <x v="0"/>
    <x v="24"/>
    <n v="1507.52"/>
    <x v="504"/>
  </r>
  <r>
    <x v="272"/>
    <x v="0"/>
    <x v="0"/>
    <x v="10"/>
    <x v="0"/>
    <n v="10"/>
    <x v="1"/>
    <x v="34"/>
    <n v="938.57"/>
    <x v="505"/>
  </r>
  <r>
    <x v="273"/>
    <x v="1"/>
    <x v="1"/>
    <x v="1"/>
    <x v="0"/>
    <n v="18"/>
    <x v="2"/>
    <x v="35"/>
    <n v="1156.17"/>
    <x v="506"/>
  </r>
  <r>
    <x v="14"/>
    <x v="0"/>
    <x v="0"/>
    <x v="0"/>
    <x v="0"/>
    <n v="4"/>
    <x v="3"/>
    <x v="24"/>
    <n v="4386.54"/>
    <x v="507"/>
  </r>
  <r>
    <x v="143"/>
    <x v="2"/>
    <x v="3"/>
    <x v="13"/>
    <x v="1"/>
    <n v="6"/>
    <x v="4"/>
    <x v="16"/>
    <n v="3175.44"/>
    <x v="508"/>
  </r>
  <r>
    <x v="244"/>
    <x v="0"/>
    <x v="0"/>
    <x v="5"/>
    <x v="2"/>
    <n v="12"/>
    <x v="5"/>
    <x v="21"/>
    <n v="992.16"/>
    <x v="509"/>
  </r>
  <r>
    <x v="137"/>
    <x v="0"/>
    <x v="0"/>
    <x v="5"/>
    <x v="1"/>
    <n v="15"/>
    <x v="6"/>
    <x v="0"/>
    <n v="2148.0100000000002"/>
    <x v="510"/>
  </r>
  <r>
    <x v="274"/>
    <x v="1"/>
    <x v="2"/>
    <x v="3"/>
    <x v="4"/>
    <n v="11"/>
    <x v="7"/>
    <x v="6"/>
    <n v="2491.8000000000002"/>
    <x v="511"/>
  </r>
  <r>
    <x v="247"/>
    <x v="1"/>
    <x v="2"/>
    <x v="2"/>
    <x v="4"/>
    <n v="14"/>
    <x v="8"/>
    <x v="9"/>
    <n v="1293.27"/>
    <x v="512"/>
  </r>
  <r>
    <x v="214"/>
    <x v="0"/>
    <x v="4"/>
    <x v="8"/>
    <x v="3"/>
    <n v="17"/>
    <x v="9"/>
    <x v="18"/>
    <n v="1356.25"/>
    <x v="513"/>
  </r>
  <r>
    <x v="275"/>
    <x v="0"/>
    <x v="0"/>
    <x v="5"/>
    <x v="0"/>
    <n v="2"/>
    <x v="10"/>
    <x v="29"/>
    <n v="2875.84"/>
    <x v="514"/>
  </r>
  <r>
    <x v="276"/>
    <x v="0"/>
    <x v="4"/>
    <x v="8"/>
    <x v="4"/>
    <n v="3"/>
    <x v="11"/>
    <x v="30"/>
    <n v="3861.09"/>
    <x v="515"/>
  </r>
  <r>
    <x v="277"/>
    <x v="0"/>
    <x v="0"/>
    <x v="10"/>
    <x v="1"/>
    <n v="19"/>
    <x v="0"/>
    <x v="3"/>
    <n v="182.01"/>
    <x v="516"/>
  </r>
  <r>
    <x v="68"/>
    <x v="1"/>
    <x v="2"/>
    <x v="2"/>
    <x v="0"/>
    <n v="2"/>
    <x v="1"/>
    <x v="12"/>
    <n v="1582.65"/>
    <x v="517"/>
  </r>
  <r>
    <x v="278"/>
    <x v="2"/>
    <x v="3"/>
    <x v="4"/>
    <x v="1"/>
    <n v="12"/>
    <x v="2"/>
    <x v="0"/>
    <n v="538.91"/>
    <x v="518"/>
  </r>
  <r>
    <x v="233"/>
    <x v="0"/>
    <x v="0"/>
    <x v="5"/>
    <x v="4"/>
    <n v="19"/>
    <x v="3"/>
    <x v="28"/>
    <n v="4943.6899999999996"/>
    <x v="519"/>
  </r>
  <r>
    <x v="238"/>
    <x v="1"/>
    <x v="2"/>
    <x v="6"/>
    <x v="0"/>
    <n v="1"/>
    <x v="4"/>
    <x v="26"/>
    <n v="2664.84"/>
    <x v="520"/>
  </r>
  <r>
    <x v="279"/>
    <x v="0"/>
    <x v="4"/>
    <x v="8"/>
    <x v="2"/>
    <n v="5"/>
    <x v="5"/>
    <x v="16"/>
    <n v="877.62"/>
    <x v="521"/>
  </r>
  <r>
    <x v="168"/>
    <x v="0"/>
    <x v="4"/>
    <x v="9"/>
    <x v="1"/>
    <n v="3"/>
    <x v="6"/>
    <x v="29"/>
    <n v="4059.76"/>
    <x v="522"/>
  </r>
  <r>
    <x v="110"/>
    <x v="0"/>
    <x v="0"/>
    <x v="5"/>
    <x v="3"/>
    <n v="16"/>
    <x v="7"/>
    <x v="37"/>
    <n v="3988.32"/>
    <x v="523"/>
  </r>
  <r>
    <x v="0"/>
    <x v="0"/>
    <x v="4"/>
    <x v="11"/>
    <x v="3"/>
    <n v="16"/>
    <x v="8"/>
    <x v="6"/>
    <n v="1023.78"/>
    <x v="524"/>
  </r>
  <r>
    <x v="280"/>
    <x v="0"/>
    <x v="4"/>
    <x v="11"/>
    <x v="4"/>
    <n v="4"/>
    <x v="9"/>
    <x v="31"/>
    <n v="1027.32"/>
    <x v="525"/>
  </r>
  <r>
    <x v="281"/>
    <x v="0"/>
    <x v="0"/>
    <x v="5"/>
    <x v="1"/>
    <n v="7"/>
    <x v="10"/>
    <x v="36"/>
    <n v="392.9"/>
    <x v="526"/>
  </r>
  <r>
    <x v="233"/>
    <x v="1"/>
    <x v="1"/>
    <x v="1"/>
    <x v="1"/>
    <n v="7"/>
    <x v="11"/>
    <x v="28"/>
    <n v="1590.73"/>
    <x v="527"/>
  </r>
  <r>
    <x v="35"/>
    <x v="1"/>
    <x v="1"/>
    <x v="1"/>
    <x v="1"/>
    <n v="8"/>
    <x v="0"/>
    <x v="17"/>
    <n v="3120.6"/>
    <x v="528"/>
  </r>
  <r>
    <x v="35"/>
    <x v="1"/>
    <x v="1"/>
    <x v="1"/>
    <x v="0"/>
    <n v="7"/>
    <x v="1"/>
    <x v="17"/>
    <n v="633.15"/>
    <x v="529"/>
  </r>
  <r>
    <x v="16"/>
    <x v="1"/>
    <x v="2"/>
    <x v="6"/>
    <x v="1"/>
    <n v="1"/>
    <x v="2"/>
    <x v="11"/>
    <n v="4443.22"/>
    <x v="530"/>
  </r>
  <r>
    <x v="10"/>
    <x v="2"/>
    <x v="3"/>
    <x v="13"/>
    <x v="1"/>
    <n v="16"/>
    <x v="3"/>
    <x v="30"/>
    <n v="199.87"/>
    <x v="531"/>
  </r>
  <r>
    <x v="217"/>
    <x v="0"/>
    <x v="4"/>
    <x v="11"/>
    <x v="2"/>
    <n v="3"/>
    <x v="4"/>
    <x v="38"/>
    <n v="1129.83"/>
    <x v="532"/>
  </r>
  <r>
    <x v="166"/>
    <x v="1"/>
    <x v="1"/>
    <x v="12"/>
    <x v="1"/>
    <n v="16"/>
    <x v="5"/>
    <x v="4"/>
    <n v="502.59"/>
    <x v="533"/>
  </r>
  <r>
    <x v="164"/>
    <x v="0"/>
    <x v="4"/>
    <x v="11"/>
    <x v="2"/>
    <n v="17"/>
    <x v="6"/>
    <x v="22"/>
    <n v="1217.48"/>
    <x v="534"/>
  </r>
  <r>
    <x v="68"/>
    <x v="2"/>
    <x v="3"/>
    <x v="14"/>
    <x v="0"/>
    <n v="6"/>
    <x v="7"/>
    <x v="16"/>
    <n v="4673.01"/>
    <x v="535"/>
  </r>
  <r>
    <x v="282"/>
    <x v="0"/>
    <x v="0"/>
    <x v="10"/>
    <x v="0"/>
    <n v="19"/>
    <x v="8"/>
    <x v="37"/>
    <n v="4229.42"/>
    <x v="536"/>
  </r>
  <r>
    <x v="283"/>
    <x v="0"/>
    <x v="0"/>
    <x v="0"/>
    <x v="0"/>
    <n v="16"/>
    <x v="9"/>
    <x v="5"/>
    <n v="3580.79"/>
    <x v="537"/>
  </r>
  <r>
    <x v="161"/>
    <x v="2"/>
    <x v="3"/>
    <x v="14"/>
    <x v="1"/>
    <n v="5"/>
    <x v="10"/>
    <x v="2"/>
    <n v="3181.48"/>
    <x v="538"/>
  </r>
  <r>
    <x v="238"/>
    <x v="1"/>
    <x v="1"/>
    <x v="1"/>
    <x v="3"/>
    <n v="8"/>
    <x v="11"/>
    <x v="8"/>
    <n v="659.36"/>
    <x v="539"/>
  </r>
  <r>
    <x v="147"/>
    <x v="2"/>
    <x v="3"/>
    <x v="4"/>
    <x v="1"/>
    <n v="17"/>
    <x v="0"/>
    <x v="14"/>
    <n v="2045.39"/>
    <x v="540"/>
  </r>
  <r>
    <x v="239"/>
    <x v="1"/>
    <x v="2"/>
    <x v="2"/>
    <x v="2"/>
    <n v="7"/>
    <x v="1"/>
    <x v="21"/>
    <n v="711.35"/>
    <x v="541"/>
  </r>
  <r>
    <x v="280"/>
    <x v="1"/>
    <x v="2"/>
    <x v="3"/>
    <x v="4"/>
    <n v="13"/>
    <x v="2"/>
    <x v="7"/>
    <n v="2913.56"/>
    <x v="542"/>
  </r>
  <r>
    <x v="206"/>
    <x v="1"/>
    <x v="2"/>
    <x v="3"/>
    <x v="3"/>
    <n v="4"/>
    <x v="3"/>
    <x v="22"/>
    <n v="2701.93"/>
    <x v="543"/>
  </r>
  <r>
    <x v="216"/>
    <x v="2"/>
    <x v="3"/>
    <x v="14"/>
    <x v="0"/>
    <n v="11"/>
    <x v="4"/>
    <x v="25"/>
    <n v="124.03"/>
    <x v="544"/>
  </r>
  <r>
    <x v="162"/>
    <x v="0"/>
    <x v="0"/>
    <x v="5"/>
    <x v="4"/>
    <n v="15"/>
    <x v="5"/>
    <x v="27"/>
    <n v="2551.6"/>
    <x v="545"/>
  </r>
  <r>
    <x v="2"/>
    <x v="0"/>
    <x v="0"/>
    <x v="0"/>
    <x v="3"/>
    <n v="8"/>
    <x v="6"/>
    <x v="25"/>
    <n v="1412.48"/>
    <x v="546"/>
  </r>
  <r>
    <x v="284"/>
    <x v="0"/>
    <x v="0"/>
    <x v="0"/>
    <x v="1"/>
    <n v="18"/>
    <x v="7"/>
    <x v="18"/>
    <n v="2074.52"/>
    <x v="547"/>
  </r>
  <r>
    <x v="159"/>
    <x v="1"/>
    <x v="2"/>
    <x v="6"/>
    <x v="0"/>
    <n v="14"/>
    <x v="8"/>
    <x v="16"/>
    <n v="4009.33"/>
    <x v="548"/>
  </r>
  <r>
    <x v="91"/>
    <x v="0"/>
    <x v="4"/>
    <x v="8"/>
    <x v="1"/>
    <n v="2"/>
    <x v="9"/>
    <x v="14"/>
    <n v="4664.91"/>
    <x v="549"/>
  </r>
  <r>
    <x v="122"/>
    <x v="0"/>
    <x v="0"/>
    <x v="10"/>
    <x v="1"/>
    <n v="17"/>
    <x v="10"/>
    <x v="32"/>
    <n v="1759.91"/>
    <x v="550"/>
  </r>
  <r>
    <x v="244"/>
    <x v="1"/>
    <x v="1"/>
    <x v="1"/>
    <x v="2"/>
    <n v="9"/>
    <x v="11"/>
    <x v="2"/>
    <n v="4485.21"/>
    <x v="551"/>
  </r>
  <r>
    <x v="219"/>
    <x v="0"/>
    <x v="0"/>
    <x v="0"/>
    <x v="4"/>
    <n v="4"/>
    <x v="0"/>
    <x v="33"/>
    <n v="1788.95"/>
    <x v="552"/>
  </r>
  <r>
    <x v="48"/>
    <x v="0"/>
    <x v="4"/>
    <x v="11"/>
    <x v="0"/>
    <n v="15"/>
    <x v="1"/>
    <x v="35"/>
    <n v="916.75"/>
    <x v="553"/>
  </r>
  <r>
    <x v="273"/>
    <x v="2"/>
    <x v="3"/>
    <x v="13"/>
    <x v="0"/>
    <n v="13"/>
    <x v="2"/>
    <x v="25"/>
    <n v="2327.81"/>
    <x v="554"/>
  </r>
  <r>
    <x v="234"/>
    <x v="0"/>
    <x v="0"/>
    <x v="0"/>
    <x v="4"/>
    <n v="16"/>
    <x v="3"/>
    <x v="30"/>
    <n v="2954.32"/>
    <x v="555"/>
  </r>
  <r>
    <x v="285"/>
    <x v="1"/>
    <x v="2"/>
    <x v="6"/>
    <x v="0"/>
    <n v="14"/>
    <x v="4"/>
    <x v="35"/>
    <n v="4935.34"/>
    <x v="556"/>
  </r>
  <r>
    <x v="286"/>
    <x v="1"/>
    <x v="1"/>
    <x v="12"/>
    <x v="0"/>
    <n v="2"/>
    <x v="5"/>
    <x v="37"/>
    <n v="1063.3499999999999"/>
    <x v="557"/>
  </r>
  <r>
    <x v="287"/>
    <x v="0"/>
    <x v="0"/>
    <x v="10"/>
    <x v="4"/>
    <n v="7"/>
    <x v="6"/>
    <x v="8"/>
    <n v="859.87"/>
    <x v="558"/>
  </r>
  <r>
    <x v="279"/>
    <x v="1"/>
    <x v="2"/>
    <x v="2"/>
    <x v="2"/>
    <n v="10"/>
    <x v="7"/>
    <x v="36"/>
    <n v="4413.5"/>
    <x v="559"/>
  </r>
  <r>
    <x v="10"/>
    <x v="0"/>
    <x v="4"/>
    <x v="9"/>
    <x v="2"/>
    <n v="12"/>
    <x v="8"/>
    <x v="11"/>
    <n v="2438.6799999999998"/>
    <x v="560"/>
  </r>
  <r>
    <x v="33"/>
    <x v="2"/>
    <x v="3"/>
    <x v="14"/>
    <x v="0"/>
    <n v="5"/>
    <x v="9"/>
    <x v="12"/>
    <n v="214.25"/>
    <x v="561"/>
  </r>
  <r>
    <x v="44"/>
    <x v="1"/>
    <x v="1"/>
    <x v="12"/>
    <x v="3"/>
    <n v="9"/>
    <x v="10"/>
    <x v="5"/>
    <n v="3193.9"/>
    <x v="562"/>
  </r>
  <r>
    <x v="51"/>
    <x v="0"/>
    <x v="0"/>
    <x v="0"/>
    <x v="3"/>
    <n v="15"/>
    <x v="11"/>
    <x v="10"/>
    <n v="4785.6099999999997"/>
    <x v="563"/>
  </r>
  <r>
    <x v="187"/>
    <x v="2"/>
    <x v="3"/>
    <x v="4"/>
    <x v="4"/>
    <n v="8"/>
    <x v="0"/>
    <x v="11"/>
    <n v="2606.36"/>
    <x v="564"/>
  </r>
  <r>
    <x v="126"/>
    <x v="2"/>
    <x v="3"/>
    <x v="14"/>
    <x v="1"/>
    <n v="18"/>
    <x v="1"/>
    <x v="9"/>
    <n v="1986.52"/>
    <x v="565"/>
  </r>
  <r>
    <x v="288"/>
    <x v="0"/>
    <x v="0"/>
    <x v="5"/>
    <x v="3"/>
    <n v="4"/>
    <x v="2"/>
    <x v="6"/>
    <n v="4245.67"/>
    <x v="566"/>
  </r>
  <r>
    <x v="240"/>
    <x v="0"/>
    <x v="4"/>
    <x v="8"/>
    <x v="2"/>
    <n v="14"/>
    <x v="3"/>
    <x v="4"/>
    <n v="283.7"/>
    <x v="567"/>
  </r>
  <r>
    <x v="130"/>
    <x v="0"/>
    <x v="0"/>
    <x v="10"/>
    <x v="0"/>
    <n v="2"/>
    <x v="4"/>
    <x v="30"/>
    <n v="3753.37"/>
    <x v="568"/>
  </r>
  <r>
    <x v="259"/>
    <x v="1"/>
    <x v="1"/>
    <x v="1"/>
    <x v="4"/>
    <n v="5"/>
    <x v="5"/>
    <x v="10"/>
    <n v="1566.04"/>
    <x v="569"/>
  </r>
  <r>
    <x v="271"/>
    <x v="2"/>
    <x v="3"/>
    <x v="14"/>
    <x v="3"/>
    <n v="19"/>
    <x v="6"/>
    <x v="37"/>
    <n v="3694.62"/>
    <x v="570"/>
  </r>
  <r>
    <x v="89"/>
    <x v="1"/>
    <x v="1"/>
    <x v="7"/>
    <x v="3"/>
    <n v="15"/>
    <x v="7"/>
    <x v="37"/>
    <n v="413.63"/>
    <x v="571"/>
  </r>
  <r>
    <x v="135"/>
    <x v="0"/>
    <x v="0"/>
    <x v="5"/>
    <x v="1"/>
    <n v="10"/>
    <x v="8"/>
    <x v="8"/>
    <n v="3907.49"/>
    <x v="572"/>
  </r>
  <r>
    <x v="122"/>
    <x v="0"/>
    <x v="0"/>
    <x v="0"/>
    <x v="3"/>
    <n v="14"/>
    <x v="9"/>
    <x v="9"/>
    <n v="3259.64"/>
    <x v="573"/>
  </r>
  <r>
    <x v="110"/>
    <x v="1"/>
    <x v="2"/>
    <x v="2"/>
    <x v="0"/>
    <n v="4"/>
    <x v="10"/>
    <x v="20"/>
    <n v="637.89"/>
    <x v="574"/>
  </r>
  <r>
    <x v="278"/>
    <x v="1"/>
    <x v="2"/>
    <x v="2"/>
    <x v="1"/>
    <n v="20"/>
    <x v="11"/>
    <x v="20"/>
    <n v="2123.15"/>
    <x v="575"/>
  </r>
  <r>
    <x v="150"/>
    <x v="1"/>
    <x v="2"/>
    <x v="3"/>
    <x v="3"/>
    <n v="19"/>
    <x v="0"/>
    <x v="0"/>
    <n v="4771.5"/>
    <x v="576"/>
  </r>
  <r>
    <x v="6"/>
    <x v="1"/>
    <x v="1"/>
    <x v="7"/>
    <x v="0"/>
    <n v="12"/>
    <x v="1"/>
    <x v="39"/>
    <n v="3703.31"/>
    <x v="577"/>
  </r>
  <r>
    <x v="289"/>
    <x v="0"/>
    <x v="4"/>
    <x v="9"/>
    <x v="0"/>
    <n v="5"/>
    <x v="2"/>
    <x v="8"/>
    <n v="3631.01"/>
    <x v="578"/>
  </r>
  <r>
    <x v="212"/>
    <x v="2"/>
    <x v="3"/>
    <x v="4"/>
    <x v="3"/>
    <n v="20"/>
    <x v="3"/>
    <x v="0"/>
    <n v="4035.61"/>
    <x v="579"/>
  </r>
  <r>
    <x v="181"/>
    <x v="0"/>
    <x v="0"/>
    <x v="5"/>
    <x v="3"/>
    <n v="2"/>
    <x v="4"/>
    <x v="39"/>
    <n v="3297.48"/>
    <x v="580"/>
  </r>
  <r>
    <x v="70"/>
    <x v="2"/>
    <x v="3"/>
    <x v="4"/>
    <x v="0"/>
    <n v="9"/>
    <x v="5"/>
    <x v="27"/>
    <n v="455.98"/>
    <x v="581"/>
  </r>
  <r>
    <x v="157"/>
    <x v="2"/>
    <x v="3"/>
    <x v="4"/>
    <x v="0"/>
    <n v="19"/>
    <x v="6"/>
    <x v="21"/>
    <n v="1414.78"/>
    <x v="582"/>
  </r>
  <r>
    <x v="215"/>
    <x v="1"/>
    <x v="2"/>
    <x v="6"/>
    <x v="2"/>
    <n v="7"/>
    <x v="7"/>
    <x v="25"/>
    <n v="705.03"/>
    <x v="583"/>
  </r>
  <r>
    <x v="67"/>
    <x v="0"/>
    <x v="0"/>
    <x v="0"/>
    <x v="3"/>
    <n v="2"/>
    <x v="8"/>
    <x v="19"/>
    <n v="1377.64"/>
    <x v="584"/>
  </r>
  <r>
    <x v="211"/>
    <x v="2"/>
    <x v="3"/>
    <x v="13"/>
    <x v="2"/>
    <n v="20"/>
    <x v="9"/>
    <x v="30"/>
    <n v="2344.7600000000002"/>
    <x v="585"/>
  </r>
  <r>
    <x v="249"/>
    <x v="0"/>
    <x v="4"/>
    <x v="8"/>
    <x v="0"/>
    <n v="19"/>
    <x v="10"/>
    <x v="6"/>
    <n v="4920.4399999999996"/>
    <x v="586"/>
  </r>
  <r>
    <x v="152"/>
    <x v="0"/>
    <x v="4"/>
    <x v="9"/>
    <x v="2"/>
    <n v="9"/>
    <x v="11"/>
    <x v="30"/>
    <n v="3209.83"/>
    <x v="587"/>
  </r>
  <r>
    <x v="122"/>
    <x v="0"/>
    <x v="4"/>
    <x v="8"/>
    <x v="2"/>
    <n v="20"/>
    <x v="0"/>
    <x v="18"/>
    <n v="1916.52"/>
    <x v="588"/>
  </r>
  <r>
    <x v="260"/>
    <x v="1"/>
    <x v="2"/>
    <x v="3"/>
    <x v="2"/>
    <n v="4"/>
    <x v="1"/>
    <x v="24"/>
    <n v="2740.14"/>
    <x v="589"/>
  </r>
  <r>
    <x v="290"/>
    <x v="2"/>
    <x v="3"/>
    <x v="4"/>
    <x v="1"/>
    <n v="14"/>
    <x v="2"/>
    <x v="17"/>
    <n v="1116.79"/>
    <x v="590"/>
  </r>
  <r>
    <x v="222"/>
    <x v="0"/>
    <x v="0"/>
    <x v="5"/>
    <x v="1"/>
    <n v="11"/>
    <x v="3"/>
    <x v="6"/>
    <n v="335.31"/>
    <x v="591"/>
  </r>
  <r>
    <x v="25"/>
    <x v="0"/>
    <x v="0"/>
    <x v="5"/>
    <x v="0"/>
    <n v="9"/>
    <x v="4"/>
    <x v="30"/>
    <n v="1474.56"/>
    <x v="592"/>
  </r>
  <r>
    <x v="105"/>
    <x v="1"/>
    <x v="2"/>
    <x v="3"/>
    <x v="2"/>
    <n v="5"/>
    <x v="5"/>
    <x v="18"/>
    <n v="695.3"/>
    <x v="593"/>
  </r>
  <r>
    <x v="284"/>
    <x v="1"/>
    <x v="1"/>
    <x v="12"/>
    <x v="1"/>
    <n v="15"/>
    <x v="6"/>
    <x v="16"/>
    <n v="3611.2"/>
    <x v="594"/>
  </r>
  <r>
    <x v="167"/>
    <x v="1"/>
    <x v="2"/>
    <x v="6"/>
    <x v="3"/>
    <n v="8"/>
    <x v="7"/>
    <x v="17"/>
    <n v="592.82000000000005"/>
    <x v="595"/>
  </r>
  <r>
    <x v="208"/>
    <x v="0"/>
    <x v="0"/>
    <x v="0"/>
    <x v="4"/>
    <n v="1"/>
    <x v="8"/>
    <x v="21"/>
    <n v="568.54999999999995"/>
    <x v="596"/>
  </r>
  <r>
    <x v="159"/>
    <x v="1"/>
    <x v="2"/>
    <x v="6"/>
    <x v="3"/>
    <n v="5"/>
    <x v="9"/>
    <x v="23"/>
    <n v="1319.46"/>
    <x v="597"/>
  </r>
  <r>
    <x v="248"/>
    <x v="1"/>
    <x v="2"/>
    <x v="6"/>
    <x v="4"/>
    <n v="7"/>
    <x v="10"/>
    <x v="19"/>
    <n v="222.61"/>
    <x v="598"/>
  </r>
  <r>
    <x v="1"/>
    <x v="0"/>
    <x v="4"/>
    <x v="11"/>
    <x v="3"/>
    <n v="1"/>
    <x v="11"/>
    <x v="33"/>
    <n v="4117.97"/>
    <x v="599"/>
  </r>
  <r>
    <x v="240"/>
    <x v="2"/>
    <x v="3"/>
    <x v="14"/>
    <x v="1"/>
    <n v="1"/>
    <x v="0"/>
    <x v="24"/>
    <n v="1793.18"/>
    <x v="600"/>
  </r>
  <r>
    <x v="25"/>
    <x v="0"/>
    <x v="0"/>
    <x v="5"/>
    <x v="1"/>
    <n v="7"/>
    <x v="1"/>
    <x v="33"/>
    <n v="4046.34"/>
    <x v="601"/>
  </r>
  <r>
    <x v="29"/>
    <x v="1"/>
    <x v="2"/>
    <x v="2"/>
    <x v="1"/>
    <n v="18"/>
    <x v="2"/>
    <x v="4"/>
    <n v="4403.6899999999996"/>
    <x v="602"/>
  </r>
  <r>
    <x v="118"/>
    <x v="2"/>
    <x v="3"/>
    <x v="13"/>
    <x v="3"/>
    <n v="16"/>
    <x v="3"/>
    <x v="38"/>
    <n v="338.38"/>
    <x v="603"/>
  </r>
  <r>
    <x v="136"/>
    <x v="0"/>
    <x v="4"/>
    <x v="9"/>
    <x v="1"/>
    <n v="12"/>
    <x v="4"/>
    <x v="35"/>
    <n v="2232.4899999999998"/>
    <x v="604"/>
  </r>
  <r>
    <x v="79"/>
    <x v="1"/>
    <x v="2"/>
    <x v="3"/>
    <x v="0"/>
    <n v="20"/>
    <x v="5"/>
    <x v="12"/>
    <n v="3280.87"/>
    <x v="605"/>
  </r>
  <r>
    <x v="140"/>
    <x v="0"/>
    <x v="4"/>
    <x v="8"/>
    <x v="2"/>
    <n v="6"/>
    <x v="6"/>
    <x v="12"/>
    <n v="744.85"/>
    <x v="606"/>
  </r>
  <r>
    <x v="156"/>
    <x v="2"/>
    <x v="3"/>
    <x v="13"/>
    <x v="0"/>
    <n v="18"/>
    <x v="7"/>
    <x v="20"/>
    <n v="2880.41"/>
    <x v="607"/>
  </r>
  <r>
    <x v="162"/>
    <x v="0"/>
    <x v="4"/>
    <x v="11"/>
    <x v="4"/>
    <n v="6"/>
    <x v="8"/>
    <x v="7"/>
    <n v="4265.8599999999997"/>
    <x v="608"/>
  </r>
  <r>
    <x v="254"/>
    <x v="0"/>
    <x v="0"/>
    <x v="5"/>
    <x v="4"/>
    <n v="15"/>
    <x v="9"/>
    <x v="37"/>
    <n v="1790.03"/>
    <x v="609"/>
  </r>
  <r>
    <x v="244"/>
    <x v="1"/>
    <x v="1"/>
    <x v="7"/>
    <x v="4"/>
    <n v="12"/>
    <x v="10"/>
    <x v="1"/>
    <n v="1104.74"/>
    <x v="610"/>
  </r>
  <r>
    <x v="291"/>
    <x v="0"/>
    <x v="4"/>
    <x v="9"/>
    <x v="3"/>
    <n v="14"/>
    <x v="11"/>
    <x v="29"/>
    <n v="948.05"/>
    <x v="611"/>
  </r>
  <r>
    <x v="292"/>
    <x v="1"/>
    <x v="1"/>
    <x v="7"/>
    <x v="4"/>
    <n v="4"/>
    <x v="0"/>
    <x v="17"/>
    <n v="2625.31"/>
    <x v="612"/>
  </r>
  <r>
    <x v="87"/>
    <x v="1"/>
    <x v="2"/>
    <x v="2"/>
    <x v="1"/>
    <n v="12"/>
    <x v="1"/>
    <x v="16"/>
    <n v="3785.29"/>
    <x v="613"/>
  </r>
  <r>
    <x v="16"/>
    <x v="1"/>
    <x v="1"/>
    <x v="7"/>
    <x v="0"/>
    <n v="19"/>
    <x v="2"/>
    <x v="25"/>
    <n v="2386.59"/>
    <x v="614"/>
  </r>
  <r>
    <x v="239"/>
    <x v="2"/>
    <x v="3"/>
    <x v="14"/>
    <x v="4"/>
    <n v="20"/>
    <x v="3"/>
    <x v="27"/>
    <n v="3438.25"/>
    <x v="615"/>
  </r>
  <r>
    <x v="30"/>
    <x v="1"/>
    <x v="2"/>
    <x v="6"/>
    <x v="1"/>
    <n v="18"/>
    <x v="4"/>
    <x v="17"/>
    <n v="4422.21"/>
    <x v="616"/>
  </r>
  <r>
    <x v="161"/>
    <x v="1"/>
    <x v="2"/>
    <x v="6"/>
    <x v="0"/>
    <n v="7"/>
    <x v="5"/>
    <x v="37"/>
    <n v="299.68"/>
    <x v="617"/>
  </r>
  <r>
    <x v="293"/>
    <x v="0"/>
    <x v="0"/>
    <x v="5"/>
    <x v="1"/>
    <n v="6"/>
    <x v="6"/>
    <x v="16"/>
    <n v="3279.45"/>
    <x v="618"/>
  </r>
  <r>
    <x v="131"/>
    <x v="0"/>
    <x v="0"/>
    <x v="5"/>
    <x v="2"/>
    <n v="4"/>
    <x v="7"/>
    <x v="13"/>
    <n v="2298.98"/>
    <x v="619"/>
  </r>
  <r>
    <x v="150"/>
    <x v="1"/>
    <x v="2"/>
    <x v="3"/>
    <x v="1"/>
    <n v="15"/>
    <x v="8"/>
    <x v="12"/>
    <n v="2174.4499999999998"/>
    <x v="620"/>
  </r>
  <r>
    <x v="215"/>
    <x v="1"/>
    <x v="1"/>
    <x v="12"/>
    <x v="2"/>
    <n v="10"/>
    <x v="9"/>
    <x v="1"/>
    <n v="4761.1899999999996"/>
    <x v="621"/>
  </r>
  <r>
    <x v="23"/>
    <x v="0"/>
    <x v="0"/>
    <x v="0"/>
    <x v="1"/>
    <n v="18"/>
    <x v="10"/>
    <x v="4"/>
    <n v="1533.77"/>
    <x v="622"/>
  </r>
  <r>
    <x v="11"/>
    <x v="0"/>
    <x v="4"/>
    <x v="9"/>
    <x v="0"/>
    <n v="4"/>
    <x v="11"/>
    <x v="20"/>
    <n v="2331.1"/>
    <x v="623"/>
  </r>
  <r>
    <x v="294"/>
    <x v="0"/>
    <x v="4"/>
    <x v="9"/>
    <x v="4"/>
    <n v="12"/>
    <x v="0"/>
    <x v="17"/>
    <n v="3443.54"/>
    <x v="624"/>
  </r>
  <r>
    <x v="283"/>
    <x v="1"/>
    <x v="1"/>
    <x v="1"/>
    <x v="2"/>
    <n v="8"/>
    <x v="1"/>
    <x v="3"/>
    <n v="3547.38"/>
    <x v="625"/>
  </r>
  <r>
    <x v="273"/>
    <x v="0"/>
    <x v="4"/>
    <x v="11"/>
    <x v="0"/>
    <n v="15"/>
    <x v="2"/>
    <x v="39"/>
    <n v="866.62"/>
    <x v="626"/>
  </r>
  <r>
    <x v="43"/>
    <x v="0"/>
    <x v="0"/>
    <x v="5"/>
    <x v="4"/>
    <n v="9"/>
    <x v="3"/>
    <x v="14"/>
    <n v="1280.74"/>
    <x v="627"/>
  </r>
  <r>
    <x v="269"/>
    <x v="1"/>
    <x v="1"/>
    <x v="1"/>
    <x v="2"/>
    <n v="19"/>
    <x v="4"/>
    <x v="7"/>
    <n v="2513.27"/>
    <x v="628"/>
  </r>
  <r>
    <x v="193"/>
    <x v="2"/>
    <x v="3"/>
    <x v="14"/>
    <x v="1"/>
    <n v="14"/>
    <x v="5"/>
    <x v="21"/>
    <n v="2371.85"/>
    <x v="629"/>
  </r>
  <r>
    <x v="119"/>
    <x v="1"/>
    <x v="1"/>
    <x v="1"/>
    <x v="1"/>
    <n v="9"/>
    <x v="6"/>
    <x v="28"/>
    <n v="2438.9899999999998"/>
    <x v="630"/>
  </r>
  <r>
    <x v="58"/>
    <x v="1"/>
    <x v="1"/>
    <x v="1"/>
    <x v="3"/>
    <n v="19"/>
    <x v="7"/>
    <x v="32"/>
    <n v="3044.32"/>
    <x v="631"/>
  </r>
  <r>
    <x v="295"/>
    <x v="0"/>
    <x v="4"/>
    <x v="8"/>
    <x v="0"/>
    <n v="3"/>
    <x v="8"/>
    <x v="38"/>
    <n v="2880.4"/>
    <x v="632"/>
  </r>
  <r>
    <x v="3"/>
    <x v="1"/>
    <x v="1"/>
    <x v="12"/>
    <x v="1"/>
    <n v="2"/>
    <x v="9"/>
    <x v="2"/>
    <n v="2087.14"/>
    <x v="633"/>
  </r>
  <r>
    <x v="157"/>
    <x v="0"/>
    <x v="0"/>
    <x v="5"/>
    <x v="2"/>
    <n v="14"/>
    <x v="10"/>
    <x v="35"/>
    <n v="1694.59"/>
    <x v="634"/>
  </r>
  <r>
    <x v="296"/>
    <x v="0"/>
    <x v="4"/>
    <x v="9"/>
    <x v="1"/>
    <n v="5"/>
    <x v="11"/>
    <x v="9"/>
    <n v="4182.07"/>
    <x v="635"/>
  </r>
  <r>
    <x v="288"/>
    <x v="0"/>
    <x v="0"/>
    <x v="0"/>
    <x v="2"/>
    <n v="20"/>
    <x v="0"/>
    <x v="36"/>
    <n v="4638.2"/>
    <x v="636"/>
  </r>
  <r>
    <x v="16"/>
    <x v="0"/>
    <x v="0"/>
    <x v="10"/>
    <x v="2"/>
    <n v="1"/>
    <x v="1"/>
    <x v="19"/>
    <n v="1999.98"/>
    <x v="637"/>
  </r>
  <r>
    <x v="28"/>
    <x v="0"/>
    <x v="4"/>
    <x v="9"/>
    <x v="1"/>
    <n v="14"/>
    <x v="2"/>
    <x v="30"/>
    <n v="3931.74"/>
    <x v="638"/>
  </r>
  <r>
    <x v="297"/>
    <x v="1"/>
    <x v="1"/>
    <x v="7"/>
    <x v="2"/>
    <n v="5"/>
    <x v="3"/>
    <x v="25"/>
    <n v="3898.88"/>
    <x v="639"/>
  </r>
  <r>
    <x v="117"/>
    <x v="1"/>
    <x v="2"/>
    <x v="6"/>
    <x v="0"/>
    <n v="19"/>
    <x v="4"/>
    <x v="2"/>
    <n v="4134.01"/>
    <x v="640"/>
  </r>
  <r>
    <x v="66"/>
    <x v="0"/>
    <x v="4"/>
    <x v="9"/>
    <x v="4"/>
    <n v="1"/>
    <x v="5"/>
    <x v="24"/>
    <n v="2571.59"/>
    <x v="641"/>
  </r>
  <r>
    <x v="91"/>
    <x v="0"/>
    <x v="4"/>
    <x v="8"/>
    <x v="2"/>
    <n v="1"/>
    <x v="6"/>
    <x v="36"/>
    <n v="1286.1099999999999"/>
    <x v="642"/>
  </r>
  <r>
    <x v="101"/>
    <x v="1"/>
    <x v="1"/>
    <x v="12"/>
    <x v="4"/>
    <n v="5"/>
    <x v="7"/>
    <x v="3"/>
    <n v="1372.78"/>
    <x v="643"/>
  </r>
  <r>
    <x v="197"/>
    <x v="0"/>
    <x v="4"/>
    <x v="9"/>
    <x v="1"/>
    <n v="2"/>
    <x v="8"/>
    <x v="6"/>
    <n v="1673.1"/>
    <x v="644"/>
  </r>
  <r>
    <x v="258"/>
    <x v="0"/>
    <x v="0"/>
    <x v="5"/>
    <x v="4"/>
    <n v="7"/>
    <x v="9"/>
    <x v="4"/>
    <n v="1576.4"/>
    <x v="645"/>
  </r>
  <r>
    <x v="142"/>
    <x v="0"/>
    <x v="4"/>
    <x v="9"/>
    <x v="4"/>
    <n v="3"/>
    <x v="10"/>
    <x v="32"/>
    <n v="403.5"/>
    <x v="646"/>
  </r>
  <r>
    <x v="141"/>
    <x v="0"/>
    <x v="0"/>
    <x v="0"/>
    <x v="2"/>
    <n v="10"/>
    <x v="11"/>
    <x v="0"/>
    <n v="2691.21"/>
    <x v="647"/>
  </r>
  <r>
    <x v="159"/>
    <x v="1"/>
    <x v="1"/>
    <x v="12"/>
    <x v="4"/>
    <n v="8"/>
    <x v="0"/>
    <x v="9"/>
    <n v="372.22"/>
    <x v="648"/>
  </r>
  <r>
    <x v="157"/>
    <x v="1"/>
    <x v="2"/>
    <x v="2"/>
    <x v="4"/>
    <n v="19"/>
    <x v="1"/>
    <x v="26"/>
    <n v="4642.84"/>
    <x v="649"/>
  </r>
  <r>
    <x v="8"/>
    <x v="1"/>
    <x v="2"/>
    <x v="3"/>
    <x v="3"/>
    <n v="20"/>
    <x v="2"/>
    <x v="18"/>
    <n v="2860.11"/>
    <x v="650"/>
  </r>
  <r>
    <x v="140"/>
    <x v="2"/>
    <x v="3"/>
    <x v="4"/>
    <x v="4"/>
    <n v="8"/>
    <x v="3"/>
    <x v="30"/>
    <n v="4986.3100000000004"/>
    <x v="651"/>
  </r>
  <r>
    <x v="206"/>
    <x v="0"/>
    <x v="4"/>
    <x v="11"/>
    <x v="0"/>
    <n v="3"/>
    <x v="4"/>
    <x v="24"/>
    <n v="4888.03"/>
    <x v="652"/>
  </r>
  <r>
    <x v="109"/>
    <x v="2"/>
    <x v="3"/>
    <x v="13"/>
    <x v="2"/>
    <n v="11"/>
    <x v="5"/>
    <x v="1"/>
    <n v="3011.73"/>
    <x v="653"/>
  </r>
  <r>
    <x v="40"/>
    <x v="0"/>
    <x v="4"/>
    <x v="8"/>
    <x v="0"/>
    <n v="16"/>
    <x v="6"/>
    <x v="33"/>
    <n v="3082.84"/>
    <x v="654"/>
  </r>
  <r>
    <x v="202"/>
    <x v="0"/>
    <x v="0"/>
    <x v="5"/>
    <x v="1"/>
    <n v="6"/>
    <x v="7"/>
    <x v="3"/>
    <n v="4908.9799999999996"/>
    <x v="655"/>
  </r>
  <r>
    <x v="144"/>
    <x v="0"/>
    <x v="4"/>
    <x v="8"/>
    <x v="2"/>
    <n v="16"/>
    <x v="8"/>
    <x v="39"/>
    <n v="1514.31"/>
    <x v="656"/>
  </r>
  <r>
    <x v="206"/>
    <x v="1"/>
    <x v="1"/>
    <x v="7"/>
    <x v="4"/>
    <n v="18"/>
    <x v="9"/>
    <x v="24"/>
    <n v="4450.2299999999996"/>
    <x v="657"/>
  </r>
  <r>
    <x v="57"/>
    <x v="0"/>
    <x v="4"/>
    <x v="9"/>
    <x v="3"/>
    <n v="15"/>
    <x v="10"/>
    <x v="6"/>
    <n v="4678.57"/>
    <x v="658"/>
  </r>
  <r>
    <x v="112"/>
    <x v="0"/>
    <x v="0"/>
    <x v="10"/>
    <x v="4"/>
    <n v="18"/>
    <x v="11"/>
    <x v="7"/>
    <n v="1177.8"/>
    <x v="659"/>
  </r>
  <r>
    <x v="70"/>
    <x v="0"/>
    <x v="4"/>
    <x v="8"/>
    <x v="0"/>
    <n v="17"/>
    <x v="0"/>
    <x v="15"/>
    <n v="4136.3100000000004"/>
    <x v="660"/>
  </r>
  <r>
    <x v="154"/>
    <x v="0"/>
    <x v="0"/>
    <x v="0"/>
    <x v="1"/>
    <n v="5"/>
    <x v="1"/>
    <x v="35"/>
    <n v="3156.9"/>
    <x v="661"/>
  </r>
  <r>
    <x v="298"/>
    <x v="1"/>
    <x v="1"/>
    <x v="7"/>
    <x v="3"/>
    <n v="5"/>
    <x v="2"/>
    <x v="3"/>
    <n v="1185.45"/>
    <x v="662"/>
  </r>
  <r>
    <x v="299"/>
    <x v="1"/>
    <x v="2"/>
    <x v="6"/>
    <x v="1"/>
    <n v="13"/>
    <x v="3"/>
    <x v="14"/>
    <n v="818.58"/>
    <x v="663"/>
  </r>
  <r>
    <x v="0"/>
    <x v="1"/>
    <x v="1"/>
    <x v="12"/>
    <x v="2"/>
    <n v="10"/>
    <x v="4"/>
    <x v="2"/>
    <n v="2539.6799999999998"/>
    <x v="664"/>
  </r>
  <r>
    <x v="45"/>
    <x v="1"/>
    <x v="2"/>
    <x v="6"/>
    <x v="4"/>
    <n v="7"/>
    <x v="5"/>
    <x v="39"/>
    <n v="1316.13"/>
    <x v="665"/>
  </r>
  <r>
    <x v="122"/>
    <x v="1"/>
    <x v="1"/>
    <x v="1"/>
    <x v="2"/>
    <n v="5"/>
    <x v="6"/>
    <x v="6"/>
    <n v="1991.64"/>
    <x v="666"/>
  </r>
  <r>
    <x v="1"/>
    <x v="1"/>
    <x v="1"/>
    <x v="7"/>
    <x v="2"/>
    <n v="12"/>
    <x v="7"/>
    <x v="2"/>
    <n v="4572.79"/>
    <x v="667"/>
  </r>
  <r>
    <x v="258"/>
    <x v="1"/>
    <x v="1"/>
    <x v="7"/>
    <x v="2"/>
    <n v="2"/>
    <x v="8"/>
    <x v="3"/>
    <n v="2493.06"/>
    <x v="668"/>
  </r>
  <r>
    <x v="300"/>
    <x v="1"/>
    <x v="1"/>
    <x v="1"/>
    <x v="4"/>
    <n v="15"/>
    <x v="9"/>
    <x v="35"/>
    <n v="3270.81"/>
    <x v="669"/>
  </r>
  <r>
    <x v="135"/>
    <x v="0"/>
    <x v="4"/>
    <x v="8"/>
    <x v="0"/>
    <n v="8"/>
    <x v="10"/>
    <x v="30"/>
    <n v="4009.51"/>
    <x v="670"/>
  </r>
  <r>
    <x v="144"/>
    <x v="0"/>
    <x v="4"/>
    <x v="8"/>
    <x v="2"/>
    <n v="1"/>
    <x v="11"/>
    <x v="7"/>
    <n v="302.02"/>
    <x v="671"/>
  </r>
  <r>
    <x v="246"/>
    <x v="0"/>
    <x v="0"/>
    <x v="10"/>
    <x v="0"/>
    <n v="10"/>
    <x v="0"/>
    <x v="28"/>
    <n v="4995.74"/>
    <x v="672"/>
  </r>
  <r>
    <x v="301"/>
    <x v="0"/>
    <x v="0"/>
    <x v="0"/>
    <x v="0"/>
    <n v="9"/>
    <x v="1"/>
    <x v="36"/>
    <n v="4858.75"/>
    <x v="673"/>
  </r>
  <r>
    <x v="208"/>
    <x v="0"/>
    <x v="4"/>
    <x v="11"/>
    <x v="4"/>
    <n v="2"/>
    <x v="2"/>
    <x v="39"/>
    <n v="1971"/>
    <x v="674"/>
  </r>
  <r>
    <x v="143"/>
    <x v="0"/>
    <x v="0"/>
    <x v="5"/>
    <x v="4"/>
    <n v="12"/>
    <x v="3"/>
    <x v="27"/>
    <n v="4713.26"/>
    <x v="675"/>
  </r>
  <r>
    <x v="16"/>
    <x v="2"/>
    <x v="3"/>
    <x v="4"/>
    <x v="1"/>
    <n v="5"/>
    <x v="4"/>
    <x v="14"/>
    <n v="4993.87"/>
    <x v="676"/>
  </r>
  <r>
    <x v="302"/>
    <x v="0"/>
    <x v="4"/>
    <x v="8"/>
    <x v="4"/>
    <n v="12"/>
    <x v="5"/>
    <x v="11"/>
    <n v="255.59"/>
    <x v="677"/>
  </r>
  <r>
    <x v="171"/>
    <x v="1"/>
    <x v="1"/>
    <x v="1"/>
    <x v="4"/>
    <n v="11"/>
    <x v="6"/>
    <x v="34"/>
    <n v="1169.3"/>
    <x v="678"/>
  </r>
  <r>
    <x v="303"/>
    <x v="0"/>
    <x v="0"/>
    <x v="10"/>
    <x v="1"/>
    <n v="12"/>
    <x v="7"/>
    <x v="37"/>
    <n v="593.52"/>
    <x v="679"/>
  </r>
  <r>
    <x v="304"/>
    <x v="0"/>
    <x v="0"/>
    <x v="10"/>
    <x v="0"/>
    <n v="7"/>
    <x v="8"/>
    <x v="4"/>
    <n v="1711.81"/>
    <x v="680"/>
  </r>
  <r>
    <x v="216"/>
    <x v="1"/>
    <x v="1"/>
    <x v="7"/>
    <x v="3"/>
    <n v="12"/>
    <x v="9"/>
    <x v="32"/>
    <n v="4945.7700000000004"/>
    <x v="681"/>
  </r>
  <r>
    <x v="248"/>
    <x v="2"/>
    <x v="3"/>
    <x v="4"/>
    <x v="3"/>
    <n v="17"/>
    <x v="10"/>
    <x v="24"/>
    <n v="4502.3900000000003"/>
    <x v="682"/>
  </r>
  <r>
    <x v="107"/>
    <x v="0"/>
    <x v="0"/>
    <x v="5"/>
    <x v="0"/>
    <n v="3"/>
    <x v="11"/>
    <x v="5"/>
    <n v="264.98"/>
    <x v="683"/>
  </r>
  <r>
    <x v="176"/>
    <x v="1"/>
    <x v="1"/>
    <x v="12"/>
    <x v="1"/>
    <n v="11"/>
    <x v="0"/>
    <x v="28"/>
    <n v="4758.46"/>
    <x v="684"/>
  </r>
  <r>
    <x v="305"/>
    <x v="0"/>
    <x v="0"/>
    <x v="10"/>
    <x v="1"/>
    <n v="1"/>
    <x v="1"/>
    <x v="36"/>
    <n v="2517.3200000000002"/>
    <x v="685"/>
  </r>
  <r>
    <x v="306"/>
    <x v="1"/>
    <x v="1"/>
    <x v="12"/>
    <x v="2"/>
    <n v="16"/>
    <x v="2"/>
    <x v="26"/>
    <n v="2231.67"/>
    <x v="686"/>
  </r>
  <r>
    <x v="209"/>
    <x v="1"/>
    <x v="2"/>
    <x v="2"/>
    <x v="4"/>
    <n v="20"/>
    <x v="3"/>
    <x v="26"/>
    <n v="4710.8500000000004"/>
    <x v="687"/>
  </r>
  <r>
    <x v="307"/>
    <x v="2"/>
    <x v="3"/>
    <x v="13"/>
    <x v="0"/>
    <n v="13"/>
    <x v="4"/>
    <x v="0"/>
    <n v="3423.36"/>
    <x v="688"/>
  </r>
  <r>
    <x v="257"/>
    <x v="0"/>
    <x v="0"/>
    <x v="10"/>
    <x v="3"/>
    <n v="12"/>
    <x v="5"/>
    <x v="25"/>
    <n v="3686.27"/>
    <x v="689"/>
  </r>
  <r>
    <x v="222"/>
    <x v="1"/>
    <x v="2"/>
    <x v="2"/>
    <x v="3"/>
    <n v="8"/>
    <x v="6"/>
    <x v="20"/>
    <n v="562.98"/>
    <x v="690"/>
  </r>
  <r>
    <x v="308"/>
    <x v="1"/>
    <x v="1"/>
    <x v="12"/>
    <x v="2"/>
    <n v="11"/>
    <x v="7"/>
    <x v="28"/>
    <n v="3590.89"/>
    <x v="691"/>
  </r>
  <r>
    <x v="128"/>
    <x v="0"/>
    <x v="0"/>
    <x v="10"/>
    <x v="0"/>
    <n v="12"/>
    <x v="8"/>
    <x v="20"/>
    <n v="4765.33"/>
    <x v="692"/>
  </r>
  <r>
    <x v="309"/>
    <x v="1"/>
    <x v="2"/>
    <x v="3"/>
    <x v="1"/>
    <n v="18"/>
    <x v="9"/>
    <x v="7"/>
    <n v="913.13"/>
    <x v="693"/>
  </r>
  <r>
    <x v="165"/>
    <x v="2"/>
    <x v="3"/>
    <x v="14"/>
    <x v="2"/>
    <n v="18"/>
    <x v="10"/>
    <x v="21"/>
    <n v="497.68"/>
    <x v="694"/>
  </r>
  <r>
    <x v="35"/>
    <x v="0"/>
    <x v="4"/>
    <x v="11"/>
    <x v="1"/>
    <n v="4"/>
    <x v="11"/>
    <x v="30"/>
    <n v="1303.8800000000001"/>
    <x v="695"/>
  </r>
  <r>
    <x v="268"/>
    <x v="1"/>
    <x v="1"/>
    <x v="12"/>
    <x v="2"/>
    <n v="15"/>
    <x v="0"/>
    <x v="31"/>
    <n v="2477.09"/>
    <x v="696"/>
  </r>
  <r>
    <x v="149"/>
    <x v="1"/>
    <x v="2"/>
    <x v="2"/>
    <x v="1"/>
    <n v="13"/>
    <x v="1"/>
    <x v="13"/>
    <n v="4021.84"/>
    <x v="697"/>
  </r>
  <r>
    <x v="46"/>
    <x v="1"/>
    <x v="1"/>
    <x v="12"/>
    <x v="0"/>
    <n v="7"/>
    <x v="2"/>
    <x v="34"/>
    <n v="4083.1"/>
    <x v="698"/>
  </r>
  <r>
    <x v="157"/>
    <x v="1"/>
    <x v="2"/>
    <x v="2"/>
    <x v="2"/>
    <n v="17"/>
    <x v="3"/>
    <x v="1"/>
    <n v="2603.4899999999998"/>
    <x v="699"/>
  </r>
  <r>
    <x v="309"/>
    <x v="1"/>
    <x v="1"/>
    <x v="12"/>
    <x v="4"/>
    <n v="19"/>
    <x v="4"/>
    <x v="38"/>
    <n v="2900.31"/>
    <x v="700"/>
  </r>
  <r>
    <x v="248"/>
    <x v="0"/>
    <x v="4"/>
    <x v="9"/>
    <x v="3"/>
    <n v="2"/>
    <x v="5"/>
    <x v="20"/>
    <n v="1316.79"/>
    <x v="701"/>
  </r>
  <r>
    <x v="147"/>
    <x v="0"/>
    <x v="0"/>
    <x v="10"/>
    <x v="0"/>
    <n v="5"/>
    <x v="6"/>
    <x v="2"/>
    <n v="4716.38"/>
    <x v="702"/>
  </r>
  <r>
    <x v="201"/>
    <x v="1"/>
    <x v="2"/>
    <x v="6"/>
    <x v="1"/>
    <n v="4"/>
    <x v="7"/>
    <x v="35"/>
    <n v="4961.01"/>
    <x v="703"/>
  </r>
  <r>
    <x v="210"/>
    <x v="0"/>
    <x v="4"/>
    <x v="8"/>
    <x v="2"/>
    <n v="7"/>
    <x v="8"/>
    <x v="5"/>
    <n v="1500.87"/>
    <x v="704"/>
  </r>
  <r>
    <x v="93"/>
    <x v="0"/>
    <x v="4"/>
    <x v="11"/>
    <x v="2"/>
    <n v="5"/>
    <x v="9"/>
    <x v="28"/>
    <n v="879.82"/>
    <x v="705"/>
  </r>
  <r>
    <x v="7"/>
    <x v="0"/>
    <x v="4"/>
    <x v="8"/>
    <x v="3"/>
    <n v="2"/>
    <x v="10"/>
    <x v="10"/>
    <n v="2400.5500000000002"/>
    <x v="706"/>
  </r>
  <r>
    <x v="310"/>
    <x v="2"/>
    <x v="3"/>
    <x v="14"/>
    <x v="1"/>
    <n v="17"/>
    <x v="11"/>
    <x v="29"/>
    <n v="3878.66"/>
    <x v="707"/>
  </r>
  <r>
    <x v="214"/>
    <x v="1"/>
    <x v="1"/>
    <x v="12"/>
    <x v="2"/>
    <n v="6"/>
    <x v="0"/>
    <x v="27"/>
    <n v="3116.12"/>
    <x v="708"/>
  </r>
  <r>
    <x v="291"/>
    <x v="0"/>
    <x v="4"/>
    <x v="8"/>
    <x v="0"/>
    <n v="16"/>
    <x v="1"/>
    <x v="9"/>
    <n v="2747.36"/>
    <x v="709"/>
  </r>
  <r>
    <x v="216"/>
    <x v="0"/>
    <x v="4"/>
    <x v="8"/>
    <x v="3"/>
    <n v="17"/>
    <x v="2"/>
    <x v="23"/>
    <n v="3971.7"/>
    <x v="710"/>
  </r>
  <r>
    <x v="66"/>
    <x v="1"/>
    <x v="1"/>
    <x v="7"/>
    <x v="4"/>
    <n v="18"/>
    <x v="3"/>
    <x v="7"/>
    <n v="678.76"/>
    <x v="711"/>
  </r>
  <r>
    <x v="82"/>
    <x v="1"/>
    <x v="1"/>
    <x v="7"/>
    <x v="0"/>
    <n v="18"/>
    <x v="4"/>
    <x v="34"/>
    <n v="4888.0200000000004"/>
    <x v="712"/>
  </r>
  <r>
    <x v="52"/>
    <x v="0"/>
    <x v="4"/>
    <x v="9"/>
    <x v="4"/>
    <n v="17"/>
    <x v="5"/>
    <x v="36"/>
    <n v="2107.36"/>
    <x v="713"/>
  </r>
  <r>
    <x v="210"/>
    <x v="2"/>
    <x v="3"/>
    <x v="14"/>
    <x v="4"/>
    <n v="4"/>
    <x v="6"/>
    <x v="12"/>
    <n v="1181.3900000000001"/>
    <x v="714"/>
  </r>
  <r>
    <x v="260"/>
    <x v="1"/>
    <x v="1"/>
    <x v="1"/>
    <x v="3"/>
    <n v="1"/>
    <x v="7"/>
    <x v="33"/>
    <n v="3374.31"/>
    <x v="715"/>
  </r>
  <r>
    <x v="160"/>
    <x v="2"/>
    <x v="3"/>
    <x v="4"/>
    <x v="1"/>
    <n v="19"/>
    <x v="8"/>
    <x v="32"/>
    <n v="609.63"/>
    <x v="716"/>
  </r>
  <r>
    <x v="219"/>
    <x v="0"/>
    <x v="4"/>
    <x v="8"/>
    <x v="4"/>
    <n v="11"/>
    <x v="9"/>
    <x v="14"/>
    <n v="3538.83"/>
    <x v="717"/>
  </r>
  <r>
    <x v="44"/>
    <x v="1"/>
    <x v="2"/>
    <x v="2"/>
    <x v="2"/>
    <n v="16"/>
    <x v="10"/>
    <x v="3"/>
    <n v="3155.43"/>
    <x v="718"/>
  </r>
  <r>
    <x v="311"/>
    <x v="2"/>
    <x v="3"/>
    <x v="4"/>
    <x v="3"/>
    <n v="6"/>
    <x v="11"/>
    <x v="21"/>
    <n v="863.69"/>
    <x v="719"/>
  </r>
  <r>
    <x v="278"/>
    <x v="2"/>
    <x v="3"/>
    <x v="13"/>
    <x v="4"/>
    <n v="4"/>
    <x v="0"/>
    <x v="14"/>
    <n v="1128.8900000000001"/>
    <x v="720"/>
  </r>
  <r>
    <x v="302"/>
    <x v="0"/>
    <x v="4"/>
    <x v="9"/>
    <x v="4"/>
    <n v="8"/>
    <x v="1"/>
    <x v="3"/>
    <n v="4197.6400000000003"/>
    <x v="721"/>
  </r>
  <r>
    <x v="157"/>
    <x v="1"/>
    <x v="2"/>
    <x v="6"/>
    <x v="2"/>
    <n v="11"/>
    <x v="2"/>
    <x v="35"/>
    <n v="3561.4"/>
    <x v="722"/>
  </r>
  <r>
    <x v="235"/>
    <x v="2"/>
    <x v="3"/>
    <x v="14"/>
    <x v="2"/>
    <n v="16"/>
    <x v="3"/>
    <x v="26"/>
    <n v="3836.1"/>
    <x v="723"/>
  </r>
  <r>
    <x v="199"/>
    <x v="0"/>
    <x v="4"/>
    <x v="8"/>
    <x v="2"/>
    <n v="18"/>
    <x v="4"/>
    <x v="25"/>
    <n v="3943.82"/>
    <x v="724"/>
  </r>
  <r>
    <x v="149"/>
    <x v="0"/>
    <x v="4"/>
    <x v="9"/>
    <x v="4"/>
    <n v="15"/>
    <x v="5"/>
    <x v="26"/>
    <n v="3005.08"/>
    <x v="725"/>
  </r>
  <r>
    <x v="13"/>
    <x v="1"/>
    <x v="1"/>
    <x v="1"/>
    <x v="1"/>
    <n v="17"/>
    <x v="6"/>
    <x v="8"/>
    <n v="3342.49"/>
    <x v="726"/>
  </r>
  <r>
    <x v="53"/>
    <x v="0"/>
    <x v="0"/>
    <x v="10"/>
    <x v="3"/>
    <n v="11"/>
    <x v="7"/>
    <x v="7"/>
    <n v="212.86"/>
    <x v="727"/>
  </r>
  <r>
    <x v="312"/>
    <x v="1"/>
    <x v="1"/>
    <x v="12"/>
    <x v="3"/>
    <n v="6"/>
    <x v="8"/>
    <x v="10"/>
    <n v="1872.18"/>
    <x v="728"/>
  </r>
  <r>
    <x v="20"/>
    <x v="0"/>
    <x v="0"/>
    <x v="0"/>
    <x v="4"/>
    <n v="14"/>
    <x v="9"/>
    <x v="37"/>
    <n v="4428"/>
    <x v="729"/>
  </r>
  <r>
    <x v="313"/>
    <x v="1"/>
    <x v="2"/>
    <x v="2"/>
    <x v="2"/>
    <n v="15"/>
    <x v="10"/>
    <x v="7"/>
    <n v="2905.47"/>
    <x v="730"/>
  </r>
  <r>
    <x v="106"/>
    <x v="1"/>
    <x v="1"/>
    <x v="12"/>
    <x v="1"/>
    <n v="14"/>
    <x v="11"/>
    <x v="12"/>
    <n v="4200.9799999999996"/>
    <x v="731"/>
  </r>
  <r>
    <x v="97"/>
    <x v="0"/>
    <x v="0"/>
    <x v="10"/>
    <x v="0"/>
    <n v="19"/>
    <x v="0"/>
    <x v="39"/>
    <n v="3927.27"/>
    <x v="732"/>
  </r>
  <r>
    <x v="139"/>
    <x v="2"/>
    <x v="3"/>
    <x v="14"/>
    <x v="2"/>
    <n v="16"/>
    <x v="1"/>
    <x v="33"/>
    <n v="3788.36"/>
    <x v="733"/>
  </r>
  <r>
    <x v="33"/>
    <x v="2"/>
    <x v="3"/>
    <x v="4"/>
    <x v="0"/>
    <n v="2"/>
    <x v="2"/>
    <x v="7"/>
    <n v="4527.13"/>
    <x v="734"/>
  </r>
  <r>
    <x v="314"/>
    <x v="2"/>
    <x v="3"/>
    <x v="14"/>
    <x v="3"/>
    <n v="20"/>
    <x v="3"/>
    <x v="35"/>
    <n v="3753.15"/>
    <x v="735"/>
  </r>
  <r>
    <x v="229"/>
    <x v="0"/>
    <x v="0"/>
    <x v="0"/>
    <x v="0"/>
    <n v="6"/>
    <x v="4"/>
    <x v="34"/>
    <n v="3363.77"/>
    <x v="736"/>
  </r>
  <r>
    <x v="270"/>
    <x v="2"/>
    <x v="3"/>
    <x v="4"/>
    <x v="0"/>
    <n v="12"/>
    <x v="5"/>
    <x v="15"/>
    <n v="1973.14"/>
    <x v="737"/>
  </r>
  <r>
    <x v="157"/>
    <x v="0"/>
    <x v="4"/>
    <x v="8"/>
    <x v="0"/>
    <n v="16"/>
    <x v="6"/>
    <x v="23"/>
    <n v="355.63"/>
    <x v="738"/>
  </r>
  <r>
    <x v="1"/>
    <x v="2"/>
    <x v="3"/>
    <x v="13"/>
    <x v="0"/>
    <n v="7"/>
    <x v="7"/>
    <x v="20"/>
    <n v="4243.95"/>
    <x v="739"/>
  </r>
  <r>
    <x v="124"/>
    <x v="2"/>
    <x v="3"/>
    <x v="14"/>
    <x v="3"/>
    <n v="15"/>
    <x v="8"/>
    <x v="39"/>
    <n v="3256.2"/>
    <x v="740"/>
  </r>
  <r>
    <x v="12"/>
    <x v="0"/>
    <x v="4"/>
    <x v="9"/>
    <x v="4"/>
    <n v="13"/>
    <x v="9"/>
    <x v="10"/>
    <n v="4076.94"/>
    <x v="741"/>
  </r>
  <r>
    <x v="237"/>
    <x v="1"/>
    <x v="2"/>
    <x v="6"/>
    <x v="0"/>
    <n v="17"/>
    <x v="10"/>
    <x v="9"/>
    <n v="3771.79"/>
    <x v="742"/>
  </r>
  <r>
    <x v="268"/>
    <x v="1"/>
    <x v="1"/>
    <x v="1"/>
    <x v="0"/>
    <n v="7"/>
    <x v="11"/>
    <x v="10"/>
    <n v="2016.03"/>
    <x v="743"/>
  </r>
  <r>
    <x v="315"/>
    <x v="0"/>
    <x v="4"/>
    <x v="8"/>
    <x v="2"/>
    <n v="9"/>
    <x v="0"/>
    <x v="1"/>
    <n v="722.4"/>
    <x v="744"/>
  </r>
  <r>
    <x v="200"/>
    <x v="1"/>
    <x v="1"/>
    <x v="1"/>
    <x v="0"/>
    <n v="5"/>
    <x v="1"/>
    <x v="20"/>
    <n v="491.78"/>
    <x v="745"/>
  </r>
  <r>
    <x v="25"/>
    <x v="0"/>
    <x v="4"/>
    <x v="8"/>
    <x v="1"/>
    <n v="19"/>
    <x v="2"/>
    <x v="34"/>
    <n v="2146.17"/>
    <x v="746"/>
  </r>
  <r>
    <x v="13"/>
    <x v="0"/>
    <x v="4"/>
    <x v="8"/>
    <x v="3"/>
    <n v="14"/>
    <x v="3"/>
    <x v="0"/>
    <n v="2715.54"/>
    <x v="747"/>
  </r>
  <r>
    <x v="80"/>
    <x v="0"/>
    <x v="0"/>
    <x v="0"/>
    <x v="4"/>
    <n v="11"/>
    <x v="4"/>
    <x v="32"/>
    <n v="1708.99"/>
    <x v="748"/>
  </r>
  <r>
    <x v="263"/>
    <x v="0"/>
    <x v="4"/>
    <x v="8"/>
    <x v="3"/>
    <n v="1"/>
    <x v="5"/>
    <x v="31"/>
    <n v="1898.15"/>
    <x v="749"/>
  </r>
  <r>
    <x v="7"/>
    <x v="1"/>
    <x v="2"/>
    <x v="3"/>
    <x v="0"/>
    <n v="1"/>
    <x v="6"/>
    <x v="39"/>
    <n v="648.88"/>
    <x v="750"/>
  </r>
  <r>
    <x v="156"/>
    <x v="1"/>
    <x v="1"/>
    <x v="1"/>
    <x v="0"/>
    <n v="8"/>
    <x v="7"/>
    <x v="27"/>
    <n v="4516.82"/>
    <x v="751"/>
  </r>
  <r>
    <x v="182"/>
    <x v="2"/>
    <x v="3"/>
    <x v="14"/>
    <x v="1"/>
    <n v="7"/>
    <x v="8"/>
    <x v="37"/>
    <n v="1102.48"/>
    <x v="752"/>
  </r>
  <r>
    <x v="238"/>
    <x v="1"/>
    <x v="2"/>
    <x v="3"/>
    <x v="0"/>
    <n v="4"/>
    <x v="9"/>
    <x v="7"/>
    <n v="2830.6"/>
    <x v="753"/>
  </r>
  <r>
    <x v="239"/>
    <x v="1"/>
    <x v="1"/>
    <x v="12"/>
    <x v="4"/>
    <n v="9"/>
    <x v="10"/>
    <x v="7"/>
    <n v="515.97"/>
    <x v="754"/>
  </r>
  <r>
    <x v="179"/>
    <x v="2"/>
    <x v="3"/>
    <x v="4"/>
    <x v="4"/>
    <n v="8"/>
    <x v="11"/>
    <x v="3"/>
    <n v="2019.04"/>
    <x v="755"/>
  </r>
  <r>
    <x v="206"/>
    <x v="0"/>
    <x v="0"/>
    <x v="10"/>
    <x v="2"/>
    <n v="1"/>
    <x v="0"/>
    <x v="3"/>
    <n v="1889.5"/>
    <x v="756"/>
  </r>
  <r>
    <x v="107"/>
    <x v="0"/>
    <x v="0"/>
    <x v="0"/>
    <x v="4"/>
    <n v="2"/>
    <x v="1"/>
    <x v="27"/>
    <n v="3239.94"/>
    <x v="757"/>
  </r>
  <r>
    <x v="79"/>
    <x v="1"/>
    <x v="2"/>
    <x v="6"/>
    <x v="0"/>
    <n v="11"/>
    <x v="2"/>
    <x v="7"/>
    <n v="2426.48"/>
    <x v="758"/>
  </r>
  <r>
    <x v="121"/>
    <x v="1"/>
    <x v="1"/>
    <x v="1"/>
    <x v="2"/>
    <n v="3"/>
    <x v="3"/>
    <x v="38"/>
    <n v="1043.3900000000001"/>
    <x v="759"/>
  </r>
  <r>
    <x v="316"/>
    <x v="0"/>
    <x v="4"/>
    <x v="11"/>
    <x v="4"/>
    <n v="6"/>
    <x v="4"/>
    <x v="8"/>
    <n v="3350.51"/>
    <x v="760"/>
  </r>
  <r>
    <x v="70"/>
    <x v="0"/>
    <x v="4"/>
    <x v="11"/>
    <x v="0"/>
    <n v="11"/>
    <x v="5"/>
    <x v="10"/>
    <n v="1278.32"/>
    <x v="761"/>
  </r>
  <r>
    <x v="81"/>
    <x v="0"/>
    <x v="4"/>
    <x v="11"/>
    <x v="3"/>
    <n v="20"/>
    <x v="6"/>
    <x v="14"/>
    <n v="1353.54"/>
    <x v="762"/>
  </r>
  <r>
    <x v="181"/>
    <x v="0"/>
    <x v="0"/>
    <x v="5"/>
    <x v="4"/>
    <n v="17"/>
    <x v="7"/>
    <x v="35"/>
    <n v="1457.07"/>
    <x v="763"/>
  </r>
  <r>
    <x v="248"/>
    <x v="1"/>
    <x v="1"/>
    <x v="12"/>
    <x v="4"/>
    <n v="14"/>
    <x v="8"/>
    <x v="9"/>
    <n v="4894.84"/>
    <x v="764"/>
  </r>
  <r>
    <x v="293"/>
    <x v="1"/>
    <x v="2"/>
    <x v="3"/>
    <x v="2"/>
    <n v="8"/>
    <x v="9"/>
    <x v="35"/>
    <n v="4651.3"/>
    <x v="765"/>
  </r>
  <r>
    <x v="317"/>
    <x v="0"/>
    <x v="0"/>
    <x v="10"/>
    <x v="0"/>
    <n v="1"/>
    <x v="10"/>
    <x v="13"/>
    <n v="1520.22"/>
    <x v="766"/>
  </r>
  <r>
    <x v="66"/>
    <x v="1"/>
    <x v="1"/>
    <x v="7"/>
    <x v="0"/>
    <n v="1"/>
    <x v="11"/>
    <x v="39"/>
    <n v="3754.28"/>
    <x v="767"/>
  </r>
  <r>
    <x v="96"/>
    <x v="1"/>
    <x v="2"/>
    <x v="3"/>
    <x v="3"/>
    <n v="17"/>
    <x v="0"/>
    <x v="1"/>
    <n v="947.7"/>
    <x v="768"/>
  </r>
  <r>
    <x v="318"/>
    <x v="1"/>
    <x v="1"/>
    <x v="12"/>
    <x v="2"/>
    <n v="6"/>
    <x v="1"/>
    <x v="33"/>
    <n v="2207.64"/>
    <x v="769"/>
  </r>
  <r>
    <x v="274"/>
    <x v="0"/>
    <x v="0"/>
    <x v="10"/>
    <x v="2"/>
    <n v="8"/>
    <x v="2"/>
    <x v="3"/>
    <n v="4146.82"/>
    <x v="770"/>
  </r>
  <r>
    <x v="8"/>
    <x v="1"/>
    <x v="2"/>
    <x v="6"/>
    <x v="0"/>
    <n v="14"/>
    <x v="3"/>
    <x v="14"/>
    <n v="1273.8399999999999"/>
    <x v="771"/>
  </r>
  <r>
    <x v="52"/>
    <x v="1"/>
    <x v="2"/>
    <x v="6"/>
    <x v="2"/>
    <n v="4"/>
    <x v="4"/>
    <x v="4"/>
    <n v="4878.16"/>
    <x v="772"/>
  </r>
  <r>
    <x v="221"/>
    <x v="0"/>
    <x v="4"/>
    <x v="11"/>
    <x v="0"/>
    <n v="11"/>
    <x v="5"/>
    <x v="7"/>
    <n v="3072.59"/>
    <x v="773"/>
  </r>
  <r>
    <x v="209"/>
    <x v="1"/>
    <x v="1"/>
    <x v="12"/>
    <x v="2"/>
    <n v="12"/>
    <x v="6"/>
    <x v="9"/>
    <n v="549.84"/>
    <x v="774"/>
  </r>
  <r>
    <x v="3"/>
    <x v="1"/>
    <x v="1"/>
    <x v="7"/>
    <x v="3"/>
    <n v="7"/>
    <x v="7"/>
    <x v="29"/>
    <n v="3402.48"/>
    <x v="775"/>
  </r>
  <r>
    <x v="317"/>
    <x v="1"/>
    <x v="1"/>
    <x v="7"/>
    <x v="4"/>
    <n v="1"/>
    <x v="8"/>
    <x v="8"/>
    <n v="979.17"/>
    <x v="776"/>
  </r>
  <r>
    <x v="64"/>
    <x v="0"/>
    <x v="4"/>
    <x v="8"/>
    <x v="3"/>
    <n v="14"/>
    <x v="9"/>
    <x v="29"/>
    <n v="3433.55"/>
    <x v="777"/>
  </r>
  <r>
    <x v="319"/>
    <x v="1"/>
    <x v="1"/>
    <x v="7"/>
    <x v="1"/>
    <n v="5"/>
    <x v="10"/>
    <x v="9"/>
    <n v="1757.01"/>
    <x v="778"/>
  </r>
  <r>
    <x v="207"/>
    <x v="0"/>
    <x v="4"/>
    <x v="8"/>
    <x v="2"/>
    <n v="16"/>
    <x v="11"/>
    <x v="37"/>
    <n v="4858.3100000000004"/>
    <x v="779"/>
  </r>
  <r>
    <x v="21"/>
    <x v="1"/>
    <x v="1"/>
    <x v="7"/>
    <x v="3"/>
    <n v="8"/>
    <x v="0"/>
    <x v="23"/>
    <n v="1366.18"/>
    <x v="780"/>
  </r>
  <r>
    <x v="83"/>
    <x v="1"/>
    <x v="2"/>
    <x v="6"/>
    <x v="1"/>
    <n v="4"/>
    <x v="1"/>
    <x v="33"/>
    <n v="2425.52"/>
    <x v="781"/>
  </r>
  <r>
    <x v="268"/>
    <x v="1"/>
    <x v="1"/>
    <x v="1"/>
    <x v="3"/>
    <n v="19"/>
    <x v="2"/>
    <x v="5"/>
    <n v="4421.6899999999996"/>
    <x v="782"/>
  </r>
  <r>
    <x v="208"/>
    <x v="1"/>
    <x v="2"/>
    <x v="3"/>
    <x v="0"/>
    <n v="15"/>
    <x v="3"/>
    <x v="2"/>
    <n v="4724.91"/>
    <x v="783"/>
  </r>
  <r>
    <x v="316"/>
    <x v="0"/>
    <x v="4"/>
    <x v="11"/>
    <x v="2"/>
    <n v="15"/>
    <x v="4"/>
    <x v="29"/>
    <n v="3555.88"/>
    <x v="784"/>
  </r>
  <r>
    <x v="99"/>
    <x v="1"/>
    <x v="2"/>
    <x v="2"/>
    <x v="1"/>
    <n v="12"/>
    <x v="5"/>
    <x v="28"/>
    <n v="2557.5700000000002"/>
    <x v="785"/>
  </r>
  <r>
    <x v="320"/>
    <x v="0"/>
    <x v="4"/>
    <x v="9"/>
    <x v="1"/>
    <n v="5"/>
    <x v="6"/>
    <x v="17"/>
    <n v="1997.76"/>
    <x v="786"/>
  </r>
  <r>
    <x v="42"/>
    <x v="1"/>
    <x v="2"/>
    <x v="6"/>
    <x v="3"/>
    <n v="9"/>
    <x v="7"/>
    <x v="26"/>
    <n v="704.39"/>
    <x v="787"/>
  </r>
  <r>
    <x v="232"/>
    <x v="1"/>
    <x v="2"/>
    <x v="6"/>
    <x v="4"/>
    <n v="20"/>
    <x v="8"/>
    <x v="10"/>
    <n v="2446.31"/>
    <x v="788"/>
  </r>
  <r>
    <x v="133"/>
    <x v="0"/>
    <x v="0"/>
    <x v="5"/>
    <x v="1"/>
    <n v="10"/>
    <x v="9"/>
    <x v="23"/>
    <n v="2853.88"/>
    <x v="789"/>
  </r>
  <r>
    <x v="139"/>
    <x v="0"/>
    <x v="4"/>
    <x v="11"/>
    <x v="0"/>
    <n v="15"/>
    <x v="10"/>
    <x v="17"/>
    <n v="1098.31"/>
    <x v="790"/>
  </r>
  <r>
    <x v="186"/>
    <x v="1"/>
    <x v="2"/>
    <x v="3"/>
    <x v="3"/>
    <n v="11"/>
    <x v="11"/>
    <x v="17"/>
    <n v="968.17"/>
    <x v="791"/>
  </r>
  <r>
    <x v="221"/>
    <x v="2"/>
    <x v="3"/>
    <x v="14"/>
    <x v="3"/>
    <n v="10"/>
    <x v="0"/>
    <x v="13"/>
    <n v="373.54"/>
    <x v="792"/>
  </r>
  <r>
    <x v="193"/>
    <x v="2"/>
    <x v="3"/>
    <x v="13"/>
    <x v="1"/>
    <n v="4"/>
    <x v="1"/>
    <x v="33"/>
    <n v="1938.6"/>
    <x v="793"/>
  </r>
  <r>
    <x v="45"/>
    <x v="1"/>
    <x v="2"/>
    <x v="3"/>
    <x v="4"/>
    <n v="9"/>
    <x v="2"/>
    <x v="19"/>
    <n v="3643.26"/>
    <x v="794"/>
  </r>
  <r>
    <x v="166"/>
    <x v="0"/>
    <x v="0"/>
    <x v="5"/>
    <x v="4"/>
    <n v="19"/>
    <x v="3"/>
    <x v="11"/>
    <n v="3374.33"/>
    <x v="795"/>
  </r>
  <r>
    <x v="82"/>
    <x v="2"/>
    <x v="3"/>
    <x v="14"/>
    <x v="3"/>
    <n v="4"/>
    <x v="4"/>
    <x v="19"/>
    <n v="700.07"/>
    <x v="796"/>
  </r>
  <r>
    <x v="64"/>
    <x v="1"/>
    <x v="1"/>
    <x v="7"/>
    <x v="4"/>
    <n v="11"/>
    <x v="5"/>
    <x v="22"/>
    <n v="2677.03"/>
    <x v="797"/>
  </r>
  <r>
    <x v="320"/>
    <x v="1"/>
    <x v="2"/>
    <x v="3"/>
    <x v="4"/>
    <n v="13"/>
    <x v="6"/>
    <x v="17"/>
    <n v="1220.76"/>
    <x v="798"/>
  </r>
  <r>
    <x v="321"/>
    <x v="0"/>
    <x v="0"/>
    <x v="5"/>
    <x v="0"/>
    <n v="1"/>
    <x v="7"/>
    <x v="28"/>
    <n v="4640.17"/>
    <x v="799"/>
  </r>
  <r>
    <x v="57"/>
    <x v="1"/>
    <x v="2"/>
    <x v="2"/>
    <x v="2"/>
    <n v="12"/>
    <x v="8"/>
    <x v="4"/>
    <n v="1608.11"/>
    <x v="800"/>
  </r>
  <r>
    <x v="242"/>
    <x v="0"/>
    <x v="0"/>
    <x v="5"/>
    <x v="4"/>
    <n v="8"/>
    <x v="9"/>
    <x v="33"/>
    <n v="3615.06"/>
    <x v="801"/>
  </r>
  <r>
    <x v="211"/>
    <x v="0"/>
    <x v="0"/>
    <x v="5"/>
    <x v="3"/>
    <n v="7"/>
    <x v="10"/>
    <x v="36"/>
    <n v="4238.07"/>
    <x v="802"/>
  </r>
  <r>
    <x v="73"/>
    <x v="1"/>
    <x v="1"/>
    <x v="12"/>
    <x v="0"/>
    <n v="16"/>
    <x v="11"/>
    <x v="18"/>
    <n v="3981.76"/>
    <x v="803"/>
  </r>
  <r>
    <x v="106"/>
    <x v="2"/>
    <x v="3"/>
    <x v="4"/>
    <x v="3"/>
    <n v="6"/>
    <x v="0"/>
    <x v="13"/>
    <n v="3671.84"/>
    <x v="804"/>
  </r>
  <r>
    <x v="104"/>
    <x v="1"/>
    <x v="2"/>
    <x v="6"/>
    <x v="3"/>
    <n v="3"/>
    <x v="1"/>
    <x v="29"/>
    <n v="1046.06"/>
    <x v="805"/>
  </r>
  <r>
    <x v="151"/>
    <x v="1"/>
    <x v="2"/>
    <x v="3"/>
    <x v="1"/>
    <n v="8"/>
    <x v="2"/>
    <x v="20"/>
    <n v="1595.76"/>
    <x v="806"/>
  </r>
  <r>
    <x v="209"/>
    <x v="2"/>
    <x v="3"/>
    <x v="4"/>
    <x v="4"/>
    <n v="8"/>
    <x v="3"/>
    <x v="17"/>
    <n v="4866.58"/>
    <x v="807"/>
  </r>
  <r>
    <x v="281"/>
    <x v="0"/>
    <x v="4"/>
    <x v="11"/>
    <x v="2"/>
    <n v="2"/>
    <x v="4"/>
    <x v="18"/>
    <n v="4176.99"/>
    <x v="808"/>
  </r>
  <r>
    <x v="132"/>
    <x v="2"/>
    <x v="3"/>
    <x v="4"/>
    <x v="4"/>
    <n v="16"/>
    <x v="5"/>
    <x v="37"/>
    <n v="4860.07"/>
    <x v="809"/>
  </r>
  <r>
    <x v="322"/>
    <x v="1"/>
    <x v="1"/>
    <x v="7"/>
    <x v="1"/>
    <n v="4"/>
    <x v="6"/>
    <x v="17"/>
    <n v="277.45"/>
    <x v="810"/>
  </r>
  <r>
    <x v="57"/>
    <x v="1"/>
    <x v="1"/>
    <x v="7"/>
    <x v="2"/>
    <n v="13"/>
    <x v="7"/>
    <x v="27"/>
    <n v="1030.9000000000001"/>
    <x v="811"/>
  </r>
  <r>
    <x v="116"/>
    <x v="1"/>
    <x v="1"/>
    <x v="12"/>
    <x v="3"/>
    <n v="16"/>
    <x v="8"/>
    <x v="6"/>
    <n v="2573.33"/>
    <x v="812"/>
  </r>
  <r>
    <x v="150"/>
    <x v="1"/>
    <x v="2"/>
    <x v="2"/>
    <x v="0"/>
    <n v="18"/>
    <x v="9"/>
    <x v="28"/>
    <n v="1134.8800000000001"/>
    <x v="813"/>
  </r>
  <r>
    <x v="135"/>
    <x v="2"/>
    <x v="3"/>
    <x v="13"/>
    <x v="3"/>
    <n v="13"/>
    <x v="10"/>
    <x v="11"/>
    <n v="802.18"/>
    <x v="814"/>
  </r>
  <r>
    <x v="317"/>
    <x v="1"/>
    <x v="2"/>
    <x v="6"/>
    <x v="0"/>
    <n v="10"/>
    <x v="11"/>
    <x v="31"/>
    <n v="568.6"/>
    <x v="815"/>
  </r>
  <r>
    <x v="252"/>
    <x v="0"/>
    <x v="0"/>
    <x v="5"/>
    <x v="1"/>
    <n v="7"/>
    <x v="0"/>
    <x v="24"/>
    <n v="1801.74"/>
    <x v="816"/>
  </r>
  <r>
    <x v="291"/>
    <x v="1"/>
    <x v="1"/>
    <x v="12"/>
    <x v="1"/>
    <n v="13"/>
    <x v="1"/>
    <x v="29"/>
    <n v="968.18"/>
    <x v="817"/>
  </r>
  <r>
    <x v="255"/>
    <x v="1"/>
    <x v="1"/>
    <x v="1"/>
    <x v="0"/>
    <n v="6"/>
    <x v="2"/>
    <x v="32"/>
    <n v="3439.83"/>
    <x v="818"/>
  </r>
  <r>
    <x v="24"/>
    <x v="1"/>
    <x v="1"/>
    <x v="7"/>
    <x v="2"/>
    <n v="15"/>
    <x v="3"/>
    <x v="38"/>
    <n v="3943.63"/>
    <x v="819"/>
  </r>
  <r>
    <x v="270"/>
    <x v="2"/>
    <x v="3"/>
    <x v="14"/>
    <x v="0"/>
    <n v="11"/>
    <x v="4"/>
    <x v="6"/>
    <n v="1418.67"/>
    <x v="820"/>
  </r>
  <r>
    <x v="289"/>
    <x v="1"/>
    <x v="1"/>
    <x v="7"/>
    <x v="3"/>
    <n v="16"/>
    <x v="5"/>
    <x v="24"/>
    <n v="2976.17"/>
    <x v="821"/>
  </r>
  <r>
    <x v="323"/>
    <x v="2"/>
    <x v="3"/>
    <x v="13"/>
    <x v="1"/>
    <n v="4"/>
    <x v="6"/>
    <x v="1"/>
    <n v="2984.27"/>
    <x v="822"/>
  </r>
  <r>
    <x v="158"/>
    <x v="1"/>
    <x v="1"/>
    <x v="7"/>
    <x v="2"/>
    <n v="2"/>
    <x v="7"/>
    <x v="30"/>
    <n v="1888.47"/>
    <x v="823"/>
  </r>
  <r>
    <x v="324"/>
    <x v="0"/>
    <x v="4"/>
    <x v="11"/>
    <x v="0"/>
    <n v="18"/>
    <x v="8"/>
    <x v="2"/>
    <n v="651.22"/>
    <x v="824"/>
  </r>
  <r>
    <x v="29"/>
    <x v="1"/>
    <x v="2"/>
    <x v="6"/>
    <x v="0"/>
    <n v="3"/>
    <x v="9"/>
    <x v="10"/>
    <n v="3109.18"/>
    <x v="825"/>
  </r>
  <r>
    <x v="54"/>
    <x v="0"/>
    <x v="0"/>
    <x v="10"/>
    <x v="0"/>
    <n v="11"/>
    <x v="10"/>
    <x v="7"/>
    <n v="587.46"/>
    <x v="826"/>
  </r>
  <r>
    <x v="18"/>
    <x v="2"/>
    <x v="3"/>
    <x v="13"/>
    <x v="1"/>
    <n v="1"/>
    <x v="11"/>
    <x v="39"/>
    <n v="2466.0100000000002"/>
    <x v="827"/>
  </r>
  <r>
    <x v="130"/>
    <x v="0"/>
    <x v="4"/>
    <x v="8"/>
    <x v="3"/>
    <n v="19"/>
    <x v="0"/>
    <x v="7"/>
    <n v="3907.56"/>
    <x v="828"/>
  </r>
  <r>
    <x v="271"/>
    <x v="2"/>
    <x v="3"/>
    <x v="4"/>
    <x v="1"/>
    <n v="5"/>
    <x v="1"/>
    <x v="4"/>
    <n v="2463.9499999999998"/>
    <x v="829"/>
  </r>
  <r>
    <x v="227"/>
    <x v="1"/>
    <x v="1"/>
    <x v="1"/>
    <x v="0"/>
    <n v="7"/>
    <x v="2"/>
    <x v="18"/>
    <n v="410.28"/>
    <x v="830"/>
  </r>
  <r>
    <x v="50"/>
    <x v="0"/>
    <x v="4"/>
    <x v="9"/>
    <x v="2"/>
    <n v="16"/>
    <x v="3"/>
    <x v="10"/>
    <n v="704.88"/>
    <x v="831"/>
  </r>
  <r>
    <x v="68"/>
    <x v="1"/>
    <x v="2"/>
    <x v="2"/>
    <x v="2"/>
    <n v="2"/>
    <x v="4"/>
    <x v="38"/>
    <n v="779.35"/>
    <x v="832"/>
  </r>
  <r>
    <x v="312"/>
    <x v="2"/>
    <x v="3"/>
    <x v="14"/>
    <x v="1"/>
    <n v="18"/>
    <x v="5"/>
    <x v="39"/>
    <n v="276.35000000000002"/>
    <x v="833"/>
  </r>
  <r>
    <x v="288"/>
    <x v="1"/>
    <x v="1"/>
    <x v="7"/>
    <x v="2"/>
    <n v="12"/>
    <x v="6"/>
    <x v="32"/>
    <n v="4964.87"/>
    <x v="834"/>
  </r>
  <r>
    <x v="98"/>
    <x v="0"/>
    <x v="4"/>
    <x v="9"/>
    <x v="2"/>
    <n v="10"/>
    <x v="7"/>
    <x v="13"/>
    <n v="1979.32"/>
    <x v="835"/>
  </r>
  <r>
    <x v="196"/>
    <x v="0"/>
    <x v="4"/>
    <x v="9"/>
    <x v="3"/>
    <n v="7"/>
    <x v="8"/>
    <x v="27"/>
    <n v="978.46"/>
    <x v="836"/>
  </r>
  <r>
    <x v="325"/>
    <x v="2"/>
    <x v="3"/>
    <x v="13"/>
    <x v="4"/>
    <n v="1"/>
    <x v="9"/>
    <x v="0"/>
    <n v="1591.88"/>
    <x v="837"/>
  </r>
  <r>
    <x v="27"/>
    <x v="1"/>
    <x v="2"/>
    <x v="6"/>
    <x v="2"/>
    <n v="12"/>
    <x v="10"/>
    <x v="36"/>
    <n v="4403.8500000000004"/>
    <x v="838"/>
  </r>
  <r>
    <x v="25"/>
    <x v="1"/>
    <x v="2"/>
    <x v="3"/>
    <x v="1"/>
    <n v="8"/>
    <x v="11"/>
    <x v="22"/>
    <n v="1481.04"/>
    <x v="839"/>
  </r>
  <r>
    <x v="323"/>
    <x v="1"/>
    <x v="1"/>
    <x v="7"/>
    <x v="3"/>
    <n v="20"/>
    <x v="0"/>
    <x v="15"/>
    <n v="722.13"/>
    <x v="840"/>
  </r>
  <r>
    <x v="326"/>
    <x v="2"/>
    <x v="3"/>
    <x v="13"/>
    <x v="1"/>
    <n v="6"/>
    <x v="1"/>
    <x v="21"/>
    <n v="2772.51"/>
    <x v="841"/>
  </r>
  <r>
    <x v="327"/>
    <x v="1"/>
    <x v="1"/>
    <x v="12"/>
    <x v="3"/>
    <n v="4"/>
    <x v="2"/>
    <x v="9"/>
    <n v="1993.97"/>
    <x v="842"/>
  </r>
  <r>
    <x v="193"/>
    <x v="0"/>
    <x v="4"/>
    <x v="8"/>
    <x v="3"/>
    <n v="4"/>
    <x v="3"/>
    <x v="8"/>
    <n v="2514.88"/>
    <x v="843"/>
  </r>
  <r>
    <x v="232"/>
    <x v="0"/>
    <x v="4"/>
    <x v="11"/>
    <x v="3"/>
    <n v="15"/>
    <x v="4"/>
    <x v="23"/>
    <n v="2006.04"/>
    <x v="844"/>
  </r>
  <r>
    <x v="154"/>
    <x v="0"/>
    <x v="0"/>
    <x v="5"/>
    <x v="1"/>
    <n v="16"/>
    <x v="5"/>
    <x v="6"/>
    <n v="4780.7700000000004"/>
    <x v="845"/>
  </r>
  <r>
    <x v="288"/>
    <x v="0"/>
    <x v="4"/>
    <x v="11"/>
    <x v="2"/>
    <n v="19"/>
    <x v="6"/>
    <x v="29"/>
    <n v="1067.6199999999999"/>
    <x v="846"/>
  </r>
  <r>
    <x v="267"/>
    <x v="1"/>
    <x v="2"/>
    <x v="3"/>
    <x v="3"/>
    <n v="3"/>
    <x v="7"/>
    <x v="14"/>
    <n v="4363.3"/>
    <x v="847"/>
  </r>
  <r>
    <x v="328"/>
    <x v="0"/>
    <x v="0"/>
    <x v="0"/>
    <x v="0"/>
    <n v="14"/>
    <x v="8"/>
    <x v="18"/>
    <n v="492.06"/>
    <x v="848"/>
  </r>
  <r>
    <x v="329"/>
    <x v="0"/>
    <x v="4"/>
    <x v="9"/>
    <x v="2"/>
    <n v="19"/>
    <x v="9"/>
    <x v="8"/>
    <n v="3326.91"/>
    <x v="849"/>
  </r>
  <r>
    <x v="130"/>
    <x v="1"/>
    <x v="1"/>
    <x v="12"/>
    <x v="2"/>
    <n v="11"/>
    <x v="10"/>
    <x v="29"/>
    <n v="841.99"/>
    <x v="850"/>
  </r>
  <r>
    <x v="328"/>
    <x v="0"/>
    <x v="0"/>
    <x v="0"/>
    <x v="4"/>
    <n v="7"/>
    <x v="11"/>
    <x v="26"/>
    <n v="1458"/>
    <x v="851"/>
  </r>
  <r>
    <x v="108"/>
    <x v="0"/>
    <x v="0"/>
    <x v="5"/>
    <x v="2"/>
    <n v="5"/>
    <x v="0"/>
    <x v="26"/>
    <n v="3342.48"/>
    <x v="852"/>
  </r>
  <r>
    <x v="15"/>
    <x v="1"/>
    <x v="1"/>
    <x v="12"/>
    <x v="0"/>
    <n v="5"/>
    <x v="1"/>
    <x v="9"/>
    <n v="4300.7"/>
    <x v="853"/>
  </r>
  <r>
    <x v="83"/>
    <x v="2"/>
    <x v="3"/>
    <x v="4"/>
    <x v="0"/>
    <n v="18"/>
    <x v="2"/>
    <x v="1"/>
    <n v="4861.3100000000004"/>
    <x v="854"/>
  </r>
  <r>
    <x v="53"/>
    <x v="2"/>
    <x v="3"/>
    <x v="4"/>
    <x v="4"/>
    <n v="17"/>
    <x v="3"/>
    <x v="28"/>
    <n v="2216.38"/>
    <x v="855"/>
  </r>
  <r>
    <x v="267"/>
    <x v="2"/>
    <x v="3"/>
    <x v="4"/>
    <x v="2"/>
    <n v="18"/>
    <x v="4"/>
    <x v="26"/>
    <n v="448.42"/>
    <x v="856"/>
  </r>
  <r>
    <x v="116"/>
    <x v="0"/>
    <x v="0"/>
    <x v="10"/>
    <x v="2"/>
    <n v="20"/>
    <x v="5"/>
    <x v="8"/>
    <n v="4226.93"/>
    <x v="857"/>
  </r>
  <r>
    <x v="47"/>
    <x v="0"/>
    <x v="0"/>
    <x v="10"/>
    <x v="2"/>
    <n v="16"/>
    <x v="6"/>
    <x v="6"/>
    <n v="1575.89"/>
    <x v="858"/>
  </r>
  <r>
    <x v="296"/>
    <x v="1"/>
    <x v="1"/>
    <x v="12"/>
    <x v="0"/>
    <n v="8"/>
    <x v="7"/>
    <x v="3"/>
    <n v="1968.58"/>
    <x v="859"/>
  </r>
  <r>
    <x v="30"/>
    <x v="0"/>
    <x v="4"/>
    <x v="8"/>
    <x v="2"/>
    <n v="4"/>
    <x v="8"/>
    <x v="15"/>
    <n v="3377.27"/>
    <x v="860"/>
  </r>
  <r>
    <x v="123"/>
    <x v="1"/>
    <x v="1"/>
    <x v="12"/>
    <x v="0"/>
    <n v="2"/>
    <x v="9"/>
    <x v="24"/>
    <n v="296.52999999999997"/>
    <x v="861"/>
  </r>
  <r>
    <x v="35"/>
    <x v="0"/>
    <x v="4"/>
    <x v="9"/>
    <x v="1"/>
    <n v="12"/>
    <x v="10"/>
    <x v="27"/>
    <n v="749.68"/>
    <x v="862"/>
  </r>
  <r>
    <x v="330"/>
    <x v="0"/>
    <x v="0"/>
    <x v="5"/>
    <x v="4"/>
    <n v="11"/>
    <x v="11"/>
    <x v="27"/>
    <n v="3584.06"/>
    <x v="863"/>
  </r>
  <r>
    <x v="180"/>
    <x v="0"/>
    <x v="0"/>
    <x v="5"/>
    <x v="2"/>
    <n v="15"/>
    <x v="0"/>
    <x v="28"/>
    <n v="2869.14"/>
    <x v="864"/>
  </r>
  <r>
    <x v="185"/>
    <x v="0"/>
    <x v="0"/>
    <x v="0"/>
    <x v="4"/>
    <n v="17"/>
    <x v="1"/>
    <x v="12"/>
    <n v="4100.2700000000004"/>
    <x v="865"/>
  </r>
  <r>
    <x v="266"/>
    <x v="1"/>
    <x v="2"/>
    <x v="2"/>
    <x v="3"/>
    <n v="3"/>
    <x v="2"/>
    <x v="35"/>
    <n v="2756.83"/>
    <x v="866"/>
  </r>
  <r>
    <x v="67"/>
    <x v="1"/>
    <x v="2"/>
    <x v="3"/>
    <x v="1"/>
    <n v="13"/>
    <x v="3"/>
    <x v="2"/>
    <n v="2829.47"/>
    <x v="867"/>
  </r>
  <r>
    <x v="331"/>
    <x v="0"/>
    <x v="4"/>
    <x v="9"/>
    <x v="2"/>
    <n v="17"/>
    <x v="4"/>
    <x v="2"/>
    <n v="1340.98"/>
    <x v="868"/>
  </r>
  <r>
    <x v="159"/>
    <x v="1"/>
    <x v="1"/>
    <x v="1"/>
    <x v="0"/>
    <n v="10"/>
    <x v="5"/>
    <x v="19"/>
    <n v="429.69"/>
    <x v="869"/>
  </r>
  <r>
    <x v="215"/>
    <x v="0"/>
    <x v="0"/>
    <x v="5"/>
    <x v="0"/>
    <n v="17"/>
    <x v="6"/>
    <x v="4"/>
    <n v="4982.8100000000004"/>
    <x v="870"/>
  </r>
  <r>
    <x v="297"/>
    <x v="0"/>
    <x v="0"/>
    <x v="0"/>
    <x v="1"/>
    <n v="19"/>
    <x v="7"/>
    <x v="15"/>
    <n v="4137.4399999999996"/>
    <x v="871"/>
  </r>
  <r>
    <x v="223"/>
    <x v="2"/>
    <x v="3"/>
    <x v="4"/>
    <x v="4"/>
    <n v="4"/>
    <x v="8"/>
    <x v="11"/>
    <n v="1147.06"/>
    <x v="872"/>
  </r>
  <r>
    <x v="160"/>
    <x v="1"/>
    <x v="1"/>
    <x v="1"/>
    <x v="2"/>
    <n v="15"/>
    <x v="9"/>
    <x v="32"/>
    <n v="1972.75"/>
    <x v="873"/>
  </r>
  <r>
    <x v="199"/>
    <x v="2"/>
    <x v="3"/>
    <x v="4"/>
    <x v="4"/>
    <n v="16"/>
    <x v="10"/>
    <x v="20"/>
    <n v="1192.3800000000001"/>
    <x v="874"/>
  </r>
  <r>
    <x v="162"/>
    <x v="0"/>
    <x v="0"/>
    <x v="5"/>
    <x v="0"/>
    <n v="5"/>
    <x v="11"/>
    <x v="28"/>
    <n v="2545.9299999999998"/>
    <x v="875"/>
  </r>
  <r>
    <x v="279"/>
    <x v="1"/>
    <x v="2"/>
    <x v="6"/>
    <x v="4"/>
    <n v="20"/>
    <x v="0"/>
    <x v="1"/>
    <n v="2860.96"/>
    <x v="876"/>
  </r>
  <r>
    <x v="198"/>
    <x v="0"/>
    <x v="0"/>
    <x v="0"/>
    <x v="4"/>
    <n v="14"/>
    <x v="1"/>
    <x v="4"/>
    <n v="2775.33"/>
    <x v="877"/>
  </r>
  <r>
    <x v="198"/>
    <x v="1"/>
    <x v="1"/>
    <x v="12"/>
    <x v="0"/>
    <n v="15"/>
    <x v="2"/>
    <x v="0"/>
    <n v="3285.68"/>
    <x v="878"/>
  </r>
  <r>
    <x v="14"/>
    <x v="1"/>
    <x v="1"/>
    <x v="12"/>
    <x v="3"/>
    <n v="18"/>
    <x v="3"/>
    <x v="14"/>
    <n v="1132.04"/>
    <x v="879"/>
  </r>
  <r>
    <x v="119"/>
    <x v="0"/>
    <x v="0"/>
    <x v="0"/>
    <x v="3"/>
    <n v="6"/>
    <x v="4"/>
    <x v="17"/>
    <n v="1205.3599999999999"/>
    <x v="880"/>
  </r>
  <r>
    <x v="229"/>
    <x v="0"/>
    <x v="4"/>
    <x v="9"/>
    <x v="2"/>
    <n v="20"/>
    <x v="5"/>
    <x v="7"/>
    <n v="4944.01"/>
    <x v="881"/>
  </r>
  <r>
    <x v="318"/>
    <x v="1"/>
    <x v="1"/>
    <x v="7"/>
    <x v="0"/>
    <n v="11"/>
    <x v="6"/>
    <x v="26"/>
    <n v="268.13"/>
    <x v="882"/>
  </r>
  <r>
    <x v="71"/>
    <x v="2"/>
    <x v="3"/>
    <x v="4"/>
    <x v="0"/>
    <n v="14"/>
    <x v="7"/>
    <x v="7"/>
    <n v="564.63"/>
    <x v="883"/>
  </r>
  <r>
    <x v="224"/>
    <x v="2"/>
    <x v="3"/>
    <x v="13"/>
    <x v="2"/>
    <n v="5"/>
    <x v="8"/>
    <x v="30"/>
    <n v="1412.08"/>
    <x v="884"/>
  </r>
  <r>
    <x v="279"/>
    <x v="1"/>
    <x v="1"/>
    <x v="7"/>
    <x v="3"/>
    <n v="2"/>
    <x v="9"/>
    <x v="19"/>
    <n v="4019.4"/>
    <x v="885"/>
  </r>
  <r>
    <x v="69"/>
    <x v="0"/>
    <x v="0"/>
    <x v="10"/>
    <x v="1"/>
    <n v="12"/>
    <x v="10"/>
    <x v="28"/>
    <n v="3076.03"/>
    <x v="886"/>
  </r>
  <r>
    <x v="129"/>
    <x v="2"/>
    <x v="3"/>
    <x v="4"/>
    <x v="1"/>
    <n v="2"/>
    <x v="11"/>
    <x v="29"/>
    <n v="233.75"/>
    <x v="887"/>
  </r>
  <r>
    <x v="65"/>
    <x v="0"/>
    <x v="0"/>
    <x v="0"/>
    <x v="0"/>
    <n v="9"/>
    <x v="0"/>
    <x v="32"/>
    <n v="2376.12"/>
    <x v="888"/>
  </r>
  <r>
    <x v="60"/>
    <x v="1"/>
    <x v="1"/>
    <x v="12"/>
    <x v="3"/>
    <n v="20"/>
    <x v="1"/>
    <x v="14"/>
    <n v="603.49"/>
    <x v="889"/>
  </r>
  <r>
    <x v="50"/>
    <x v="1"/>
    <x v="1"/>
    <x v="1"/>
    <x v="2"/>
    <n v="15"/>
    <x v="2"/>
    <x v="36"/>
    <n v="4269.32"/>
    <x v="890"/>
  </r>
  <r>
    <x v="252"/>
    <x v="0"/>
    <x v="0"/>
    <x v="0"/>
    <x v="4"/>
    <n v="6"/>
    <x v="3"/>
    <x v="10"/>
    <n v="686.38"/>
    <x v="891"/>
  </r>
  <r>
    <x v="118"/>
    <x v="2"/>
    <x v="3"/>
    <x v="14"/>
    <x v="3"/>
    <n v="14"/>
    <x v="4"/>
    <x v="14"/>
    <n v="2429.23"/>
    <x v="892"/>
  </r>
  <r>
    <x v="193"/>
    <x v="0"/>
    <x v="4"/>
    <x v="11"/>
    <x v="2"/>
    <n v="5"/>
    <x v="5"/>
    <x v="34"/>
    <n v="3770.46"/>
    <x v="893"/>
  </r>
  <r>
    <x v="67"/>
    <x v="0"/>
    <x v="4"/>
    <x v="11"/>
    <x v="0"/>
    <n v="5"/>
    <x v="6"/>
    <x v="32"/>
    <n v="2162.08"/>
    <x v="894"/>
  </r>
  <r>
    <x v="154"/>
    <x v="2"/>
    <x v="3"/>
    <x v="14"/>
    <x v="2"/>
    <n v="6"/>
    <x v="7"/>
    <x v="34"/>
    <n v="1366.98"/>
    <x v="895"/>
  </r>
  <r>
    <x v="126"/>
    <x v="2"/>
    <x v="3"/>
    <x v="4"/>
    <x v="1"/>
    <n v="7"/>
    <x v="8"/>
    <x v="6"/>
    <n v="3063.53"/>
    <x v="896"/>
  </r>
  <r>
    <x v="105"/>
    <x v="1"/>
    <x v="2"/>
    <x v="6"/>
    <x v="2"/>
    <n v="17"/>
    <x v="9"/>
    <x v="1"/>
    <n v="578.88"/>
    <x v="897"/>
  </r>
  <r>
    <x v="60"/>
    <x v="2"/>
    <x v="3"/>
    <x v="14"/>
    <x v="4"/>
    <n v="12"/>
    <x v="10"/>
    <x v="16"/>
    <n v="3981.34"/>
    <x v="898"/>
  </r>
  <r>
    <x v="123"/>
    <x v="1"/>
    <x v="1"/>
    <x v="1"/>
    <x v="1"/>
    <n v="20"/>
    <x v="11"/>
    <x v="1"/>
    <n v="2750.28"/>
    <x v="899"/>
  </r>
  <r>
    <x v="332"/>
    <x v="0"/>
    <x v="0"/>
    <x v="0"/>
    <x v="1"/>
    <n v="13"/>
    <x v="0"/>
    <x v="35"/>
    <n v="2809.29"/>
    <x v="900"/>
  </r>
  <r>
    <x v="311"/>
    <x v="1"/>
    <x v="2"/>
    <x v="3"/>
    <x v="0"/>
    <n v="14"/>
    <x v="1"/>
    <x v="5"/>
    <n v="1487.12"/>
    <x v="901"/>
  </r>
  <r>
    <x v="138"/>
    <x v="1"/>
    <x v="2"/>
    <x v="2"/>
    <x v="4"/>
    <n v="18"/>
    <x v="2"/>
    <x v="7"/>
    <n v="1279.4100000000001"/>
    <x v="902"/>
  </r>
  <r>
    <x v="292"/>
    <x v="0"/>
    <x v="0"/>
    <x v="10"/>
    <x v="3"/>
    <n v="2"/>
    <x v="3"/>
    <x v="33"/>
    <n v="4439.5"/>
    <x v="903"/>
  </r>
  <r>
    <x v="237"/>
    <x v="0"/>
    <x v="0"/>
    <x v="0"/>
    <x v="0"/>
    <n v="13"/>
    <x v="4"/>
    <x v="32"/>
    <n v="4850.17"/>
    <x v="904"/>
  </r>
  <r>
    <x v="13"/>
    <x v="0"/>
    <x v="0"/>
    <x v="5"/>
    <x v="3"/>
    <n v="4"/>
    <x v="5"/>
    <x v="0"/>
    <n v="2792.23"/>
    <x v="905"/>
  </r>
  <r>
    <x v="320"/>
    <x v="0"/>
    <x v="4"/>
    <x v="8"/>
    <x v="0"/>
    <n v="17"/>
    <x v="6"/>
    <x v="12"/>
    <n v="4953.04"/>
    <x v="906"/>
  </r>
  <r>
    <x v="250"/>
    <x v="1"/>
    <x v="1"/>
    <x v="1"/>
    <x v="0"/>
    <n v="14"/>
    <x v="7"/>
    <x v="24"/>
    <n v="4192.8599999999997"/>
    <x v="907"/>
  </r>
  <r>
    <x v="43"/>
    <x v="1"/>
    <x v="1"/>
    <x v="12"/>
    <x v="3"/>
    <n v="19"/>
    <x v="8"/>
    <x v="7"/>
    <n v="2848.96"/>
    <x v="908"/>
  </r>
  <r>
    <x v="66"/>
    <x v="0"/>
    <x v="0"/>
    <x v="0"/>
    <x v="0"/>
    <n v="12"/>
    <x v="9"/>
    <x v="23"/>
    <n v="1352.89"/>
    <x v="909"/>
  </r>
  <r>
    <x v="1"/>
    <x v="1"/>
    <x v="2"/>
    <x v="6"/>
    <x v="3"/>
    <n v="14"/>
    <x v="10"/>
    <x v="3"/>
    <n v="264.60000000000002"/>
    <x v="910"/>
  </r>
  <r>
    <x v="298"/>
    <x v="1"/>
    <x v="1"/>
    <x v="1"/>
    <x v="0"/>
    <n v="17"/>
    <x v="11"/>
    <x v="0"/>
    <n v="2316.09"/>
    <x v="911"/>
  </r>
  <r>
    <x v="333"/>
    <x v="0"/>
    <x v="0"/>
    <x v="10"/>
    <x v="0"/>
    <n v="8"/>
    <x v="0"/>
    <x v="10"/>
    <n v="1371.28"/>
    <x v="912"/>
  </r>
  <r>
    <x v="214"/>
    <x v="2"/>
    <x v="3"/>
    <x v="4"/>
    <x v="1"/>
    <n v="10"/>
    <x v="1"/>
    <x v="32"/>
    <n v="4298.32"/>
    <x v="913"/>
  </r>
  <r>
    <x v="213"/>
    <x v="1"/>
    <x v="1"/>
    <x v="12"/>
    <x v="1"/>
    <n v="19"/>
    <x v="2"/>
    <x v="10"/>
    <n v="636.20000000000005"/>
    <x v="914"/>
  </r>
  <r>
    <x v="98"/>
    <x v="2"/>
    <x v="3"/>
    <x v="4"/>
    <x v="3"/>
    <n v="15"/>
    <x v="3"/>
    <x v="9"/>
    <n v="3218.59"/>
    <x v="915"/>
  </r>
  <r>
    <x v="133"/>
    <x v="0"/>
    <x v="0"/>
    <x v="10"/>
    <x v="2"/>
    <n v="9"/>
    <x v="4"/>
    <x v="18"/>
    <n v="2660.79"/>
    <x v="916"/>
  </r>
  <r>
    <x v="267"/>
    <x v="2"/>
    <x v="3"/>
    <x v="4"/>
    <x v="2"/>
    <n v="5"/>
    <x v="5"/>
    <x v="13"/>
    <n v="334.29"/>
    <x v="917"/>
  </r>
  <r>
    <x v="331"/>
    <x v="1"/>
    <x v="2"/>
    <x v="3"/>
    <x v="3"/>
    <n v="10"/>
    <x v="6"/>
    <x v="34"/>
    <n v="2861.62"/>
    <x v="918"/>
  </r>
  <r>
    <x v="259"/>
    <x v="1"/>
    <x v="2"/>
    <x v="6"/>
    <x v="4"/>
    <n v="4"/>
    <x v="7"/>
    <x v="18"/>
    <n v="4782.74"/>
    <x v="919"/>
  </r>
  <r>
    <x v="212"/>
    <x v="1"/>
    <x v="2"/>
    <x v="6"/>
    <x v="1"/>
    <n v="19"/>
    <x v="8"/>
    <x v="29"/>
    <n v="2304.92"/>
    <x v="920"/>
  </r>
  <r>
    <x v="268"/>
    <x v="1"/>
    <x v="2"/>
    <x v="6"/>
    <x v="4"/>
    <n v="1"/>
    <x v="9"/>
    <x v="37"/>
    <n v="1355.14"/>
    <x v="921"/>
  </r>
  <r>
    <x v="25"/>
    <x v="0"/>
    <x v="0"/>
    <x v="10"/>
    <x v="1"/>
    <n v="19"/>
    <x v="10"/>
    <x v="14"/>
    <n v="3683.04"/>
    <x v="922"/>
  </r>
  <r>
    <x v="232"/>
    <x v="1"/>
    <x v="2"/>
    <x v="6"/>
    <x v="1"/>
    <n v="5"/>
    <x v="11"/>
    <x v="35"/>
    <n v="4281.1499999999996"/>
    <x v="923"/>
  </r>
  <r>
    <x v="49"/>
    <x v="1"/>
    <x v="2"/>
    <x v="3"/>
    <x v="0"/>
    <n v="3"/>
    <x v="0"/>
    <x v="38"/>
    <n v="1577.9"/>
    <x v="924"/>
  </r>
  <r>
    <x v="5"/>
    <x v="1"/>
    <x v="2"/>
    <x v="3"/>
    <x v="1"/>
    <n v="19"/>
    <x v="1"/>
    <x v="32"/>
    <n v="2814.94"/>
    <x v="925"/>
  </r>
  <r>
    <x v="304"/>
    <x v="1"/>
    <x v="1"/>
    <x v="1"/>
    <x v="2"/>
    <n v="13"/>
    <x v="2"/>
    <x v="13"/>
    <n v="512.69000000000005"/>
    <x v="926"/>
  </r>
  <r>
    <x v="228"/>
    <x v="2"/>
    <x v="3"/>
    <x v="14"/>
    <x v="2"/>
    <n v="6"/>
    <x v="3"/>
    <x v="38"/>
    <n v="4939.09"/>
    <x v="927"/>
  </r>
  <r>
    <x v="220"/>
    <x v="2"/>
    <x v="3"/>
    <x v="4"/>
    <x v="1"/>
    <n v="6"/>
    <x v="4"/>
    <x v="21"/>
    <n v="4984.92"/>
    <x v="928"/>
  </r>
  <r>
    <x v="250"/>
    <x v="0"/>
    <x v="0"/>
    <x v="10"/>
    <x v="0"/>
    <n v="9"/>
    <x v="5"/>
    <x v="22"/>
    <n v="1001.37"/>
    <x v="929"/>
  </r>
  <r>
    <x v="206"/>
    <x v="1"/>
    <x v="2"/>
    <x v="2"/>
    <x v="1"/>
    <n v="17"/>
    <x v="6"/>
    <x v="10"/>
    <n v="4515.21"/>
    <x v="930"/>
  </r>
  <r>
    <x v="148"/>
    <x v="2"/>
    <x v="3"/>
    <x v="13"/>
    <x v="3"/>
    <n v="19"/>
    <x v="7"/>
    <x v="36"/>
    <n v="2532.7800000000002"/>
    <x v="931"/>
  </r>
  <r>
    <x v="3"/>
    <x v="1"/>
    <x v="2"/>
    <x v="3"/>
    <x v="3"/>
    <n v="17"/>
    <x v="8"/>
    <x v="9"/>
    <n v="4890.5"/>
    <x v="932"/>
  </r>
  <r>
    <x v="163"/>
    <x v="1"/>
    <x v="2"/>
    <x v="3"/>
    <x v="2"/>
    <n v="3"/>
    <x v="9"/>
    <x v="30"/>
    <n v="1076.57"/>
    <x v="933"/>
  </r>
  <r>
    <x v="315"/>
    <x v="1"/>
    <x v="1"/>
    <x v="12"/>
    <x v="2"/>
    <n v="10"/>
    <x v="10"/>
    <x v="6"/>
    <n v="3540.6"/>
    <x v="934"/>
  </r>
  <r>
    <x v="117"/>
    <x v="0"/>
    <x v="4"/>
    <x v="11"/>
    <x v="4"/>
    <n v="13"/>
    <x v="11"/>
    <x v="20"/>
    <n v="2163.4"/>
    <x v="935"/>
  </r>
  <r>
    <x v="308"/>
    <x v="0"/>
    <x v="0"/>
    <x v="0"/>
    <x v="1"/>
    <n v="20"/>
    <x v="0"/>
    <x v="35"/>
    <n v="1977"/>
    <x v="936"/>
  </r>
  <r>
    <x v="331"/>
    <x v="2"/>
    <x v="3"/>
    <x v="14"/>
    <x v="1"/>
    <n v="2"/>
    <x v="1"/>
    <x v="4"/>
    <n v="528.62"/>
    <x v="937"/>
  </r>
  <r>
    <x v="183"/>
    <x v="2"/>
    <x v="3"/>
    <x v="13"/>
    <x v="0"/>
    <n v="19"/>
    <x v="2"/>
    <x v="29"/>
    <n v="1093.8900000000001"/>
    <x v="938"/>
  </r>
  <r>
    <x v="334"/>
    <x v="1"/>
    <x v="2"/>
    <x v="3"/>
    <x v="0"/>
    <n v="15"/>
    <x v="3"/>
    <x v="8"/>
    <n v="3897.39"/>
    <x v="939"/>
  </r>
  <r>
    <x v="318"/>
    <x v="0"/>
    <x v="4"/>
    <x v="8"/>
    <x v="3"/>
    <n v="17"/>
    <x v="4"/>
    <x v="20"/>
    <n v="3791.82"/>
    <x v="940"/>
  </r>
  <r>
    <x v="62"/>
    <x v="0"/>
    <x v="4"/>
    <x v="8"/>
    <x v="3"/>
    <n v="18"/>
    <x v="5"/>
    <x v="20"/>
    <n v="1137.05"/>
    <x v="941"/>
  </r>
  <r>
    <x v="27"/>
    <x v="1"/>
    <x v="2"/>
    <x v="6"/>
    <x v="0"/>
    <n v="5"/>
    <x v="6"/>
    <x v="22"/>
    <n v="1192.82"/>
    <x v="942"/>
  </r>
  <r>
    <x v="61"/>
    <x v="1"/>
    <x v="1"/>
    <x v="1"/>
    <x v="4"/>
    <n v="12"/>
    <x v="7"/>
    <x v="31"/>
    <n v="3358.78"/>
    <x v="943"/>
  </r>
  <r>
    <x v="123"/>
    <x v="2"/>
    <x v="3"/>
    <x v="13"/>
    <x v="0"/>
    <n v="1"/>
    <x v="8"/>
    <x v="17"/>
    <n v="4511.88"/>
    <x v="944"/>
  </r>
  <r>
    <x v="305"/>
    <x v="0"/>
    <x v="0"/>
    <x v="5"/>
    <x v="3"/>
    <n v="10"/>
    <x v="9"/>
    <x v="26"/>
    <n v="3882.87"/>
    <x v="945"/>
  </r>
  <r>
    <x v="174"/>
    <x v="0"/>
    <x v="0"/>
    <x v="5"/>
    <x v="1"/>
    <n v="4"/>
    <x v="10"/>
    <x v="33"/>
    <n v="4020.65"/>
    <x v="946"/>
  </r>
  <r>
    <x v="211"/>
    <x v="1"/>
    <x v="2"/>
    <x v="3"/>
    <x v="2"/>
    <n v="4"/>
    <x v="11"/>
    <x v="31"/>
    <n v="430.91"/>
    <x v="947"/>
  </r>
  <r>
    <x v="63"/>
    <x v="0"/>
    <x v="4"/>
    <x v="8"/>
    <x v="0"/>
    <n v="7"/>
    <x v="0"/>
    <x v="19"/>
    <n v="4508.28"/>
    <x v="948"/>
  </r>
  <r>
    <x v="244"/>
    <x v="2"/>
    <x v="3"/>
    <x v="14"/>
    <x v="2"/>
    <n v="5"/>
    <x v="1"/>
    <x v="18"/>
    <n v="438.69"/>
    <x v="949"/>
  </r>
  <r>
    <x v="335"/>
    <x v="1"/>
    <x v="1"/>
    <x v="1"/>
    <x v="1"/>
    <n v="10"/>
    <x v="2"/>
    <x v="14"/>
    <n v="3439.35"/>
    <x v="950"/>
  </r>
  <r>
    <x v="195"/>
    <x v="0"/>
    <x v="0"/>
    <x v="0"/>
    <x v="0"/>
    <n v="16"/>
    <x v="3"/>
    <x v="3"/>
    <n v="2563.69"/>
    <x v="951"/>
  </r>
  <r>
    <x v="119"/>
    <x v="1"/>
    <x v="1"/>
    <x v="1"/>
    <x v="3"/>
    <n v="5"/>
    <x v="4"/>
    <x v="18"/>
    <n v="975.39"/>
    <x v="952"/>
  </r>
  <r>
    <x v="336"/>
    <x v="0"/>
    <x v="0"/>
    <x v="5"/>
    <x v="1"/>
    <n v="7"/>
    <x v="5"/>
    <x v="15"/>
    <n v="2384.5100000000002"/>
    <x v="953"/>
  </r>
  <r>
    <x v="33"/>
    <x v="0"/>
    <x v="4"/>
    <x v="11"/>
    <x v="3"/>
    <n v="20"/>
    <x v="6"/>
    <x v="13"/>
    <n v="3470.23"/>
    <x v="954"/>
  </r>
  <r>
    <x v="259"/>
    <x v="1"/>
    <x v="1"/>
    <x v="12"/>
    <x v="1"/>
    <n v="1"/>
    <x v="7"/>
    <x v="29"/>
    <n v="3964.08"/>
    <x v="955"/>
  </r>
  <r>
    <x v="132"/>
    <x v="2"/>
    <x v="3"/>
    <x v="14"/>
    <x v="2"/>
    <n v="7"/>
    <x v="8"/>
    <x v="23"/>
    <n v="2227.0700000000002"/>
    <x v="956"/>
  </r>
  <r>
    <x v="122"/>
    <x v="1"/>
    <x v="2"/>
    <x v="3"/>
    <x v="1"/>
    <n v="5"/>
    <x v="9"/>
    <x v="38"/>
    <n v="1460.84"/>
    <x v="957"/>
  </r>
  <r>
    <x v="226"/>
    <x v="1"/>
    <x v="1"/>
    <x v="12"/>
    <x v="3"/>
    <n v="13"/>
    <x v="10"/>
    <x v="20"/>
    <n v="914.82"/>
    <x v="958"/>
  </r>
  <r>
    <x v="95"/>
    <x v="1"/>
    <x v="1"/>
    <x v="7"/>
    <x v="1"/>
    <n v="8"/>
    <x v="11"/>
    <x v="27"/>
    <n v="1794.45"/>
    <x v="959"/>
  </r>
  <r>
    <x v="263"/>
    <x v="2"/>
    <x v="3"/>
    <x v="13"/>
    <x v="2"/>
    <n v="9"/>
    <x v="0"/>
    <x v="2"/>
    <n v="593.01"/>
    <x v="960"/>
  </r>
  <r>
    <x v="226"/>
    <x v="0"/>
    <x v="4"/>
    <x v="9"/>
    <x v="2"/>
    <n v="2"/>
    <x v="1"/>
    <x v="28"/>
    <n v="2704.98"/>
    <x v="961"/>
  </r>
  <r>
    <x v="88"/>
    <x v="2"/>
    <x v="3"/>
    <x v="13"/>
    <x v="2"/>
    <n v="1"/>
    <x v="2"/>
    <x v="28"/>
    <n v="1981.82"/>
    <x v="962"/>
  </r>
  <r>
    <x v="196"/>
    <x v="1"/>
    <x v="2"/>
    <x v="6"/>
    <x v="4"/>
    <n v="20"/>
    <x v="3"/>
    <x v="10"/>
    <n v="774.07"/>
    <x v="963"/>
  </r>
  <r>
    <x v="337"/>
    <x v="1"/>
    <x v="2"/>
    <x v="3"/>
    <x v="1"/>
    <n v="11"/>
    <x v="4"/>
    <x v="18"/>
    <n v="146.47"/>
    <x v="964"/>
  </r>
  <r>
    <x v="338"/>
    <x v="0"/>
    <x v="0"/>
    <x v="5"/>
    <x v="1"/>
    <n v="12"/>
    <x v="5"/>
    <x v="39"/>
    <n v="283.86"/>
    <x v="965"/>
  </r>
  <r>
    <x v="307"/>
    <x v="0"/>
    <x v="0"/>
    <x v="0"/>
    <x v="4"/>
    <n v="8"/>
    <x v="6"/>
    <x v="31"/>
    <n v="4576.97"/>
    <x v="966"/>
  </r>
  <r>
    <x v="238"/>
    <x v="0"/>
    <x v="0"/>
    <x v="10"/>
    <x v="3"/>
    <n v="4"/>
    <x v="7"/>
    <x v="25"/>
    <n v="4368.46"/>
    <x v="967"/>
  </r>
  <r>
    <x v="62"/>
    <x v="1"/>
    <x v="1"/>
    <x v="7"/>
    <x v="2"/>
    <n v="17"/>
    <x v="8"/>
    <x v="17"/>
    <n v="4825.24"/>
    <x v="968"/>
  </r>
  <r>
    <x v="296"/>
    <x v="0"/>
    <x v="4"/>
    <x v="11"/>
    <x v="4"/>
    <n v="18"/>
    <x v="9"/>
    <x v="31"/>
    <n v="3982.89"/>
    <x v="969"/>
  </r>
  <r>
    <x v="339"/>
    <x v="2"/>
    <x v="3"/>
    <x v="13"/>
    <x v="1"/>
    <n v="4"/>
    <x v="10"/>
    <x v="7"/>
    <n v="2169.61"/>
    <x v="970"/>
  </r>
  <r>
    <x v="95"/>
    <x v="2"/>
    <x v="3"/>
    <x v="14"/>
    <x v="4"/>
    <n v="18"/>
    <x v="11"/>
    <x v="38"/>
    <n v="1601.74"/>
    <x v="971"/>
  </r>
  <r>
    <x v="150"/>
    <x v="2"/>
    <x v="3"/>
    <x v="13"/>
    <x v="0"/>
    <n v="8"/>
    <x v="0"/>
    <x v="13"/>
    <n v="4334.41"/>
    <x v="972"/>
  </r>
  <r>
    <x v="141"/>
    <x v="1"/>
    <x v="2"/>
    <x v="3"/>
    <x v="4"/>
    <n v="17"/>
    <x v="1"/>
    <x v="25"/>
    <n v="3933.92"/>
    <x v="973"/>
  </r>
  <r>
    <x v="245"/>
    <x v="1"/>
    <x v="1"/>
    <x v="7"/>
    <x v="2"/>
    <n v="6"/>
    <x v="2"/>
    <x v="5"/>
    <n v="3466.7"/>
    <x v="974"/>
  </r>
  <r>
    <x v="183"/>
    <x v="0"/>
    <x v="4"/>
    <x v="8"/>
    <x v="4"/>
    <n v="3"/>
    <x v="3"/>
    <x v="20"/>
    <n v="4083.59"/>
    <x v="975"/>
  </r>
  <r>
    <x v="211"/>
    <x v="1"/>
    <x v="2"/>
    <x v="3"/>
    <x v="0"/>
    <n v="14"/>
    <x v="4"/>
    <x v="20"/>
    <n v="1972.22"/>
    <x v="976"/>
  </r>
  <r>
    <x v="340"/>
    <x v="1"/>
    <x v="1"/>
    <x v="12"/>
    <x v="3"/>
    <n v="4"/>
    <x v="5"/>
    <x v="19"/>
    <n v="722.05"/>
    <x v="977"/>
  </r>
  <r>
    <x v="18"/>
    <x v="2"/>
    <x v="3"/>
    <x v="13"/>
    <x v="3"/>
    <n v="7"/>
    <x v="6"/>
    <x v="1"/>
    <n v="4803.62"/>
    <x v="978"/>
  </r>
  <r>
    <x v="49"/>
    <x v="1"/>
    <x v="2"/>
    <x v="2"/>
    <x v="2"/>
    <n v="1"/>
    <x v="7"/>
    <x v="32"/>
    <n v="1094.8800000000001"/>
    <x v="979"/>
  </r>
  <r>
    <x v="330"/>
    <x v="1"/>
    <x v="2"/>
    <x v="2"/>
    <x v="1"/>
    <n v="16"/>
    <x v="8"/>
    <x v="23"/>
    <n v="2640.08"/>
    <x v="980"/>
  </r>
  <r>
    <x v="39"/>
    <x v="1"/>
    <x v="1"/>
    <x v="1"/>
    <x v="2"/>
    <n v="15"/>
    <x v="9"/>
    <x v="2"/>
    <n v="1259.1600000000001"/>
    <x v="981"/>
  </r>
  <r>
    <x v="104"/>
    <x v="1"/>
    <x v="2"/>
    <x v="6"/>
    <x v="2"/>
    <n v="20"/>
    <x v="10"/>
    <x v="35"/>
    <n v="2487.65"/>
    <x v="982"/>
  </r>
  <r>
    <x v="249"/>
    <x v="0"/>
    <x v="4"/>
    <x v="11"/>
    <x v="1"/>
    <n v="3"/>
    <x v="11"/>
    <x v="15"/>
    <n v="4678.38"/>
    <x v="983"/>
  </r>
  <r>
    <x v="20"/>
    <x v="1"/>
    <x v="2"/>
    <x v="3"/>
    <x v="4"/>
    <n v="8"/>
    <x v="0"/>
    <x v="8"/>
    <n v="308.68"/>
    <x v="984"/>
  </r>
  <r>
    <x v="162"/>
    <x v="0"/>
    <x v="4"/>
    <x v="8"/>
    <x v="3"/>
    <n v="19"/>
    <x v="1"/>
    <x v="6"/>
    <n v="4348.7299999999996"/>
    <x v="985"/>
  </r>
  <r>
    <x v="90"/>
    <x v="0"/>
    <x v="4"/>
    <x v="9"/>
    <x v="1"/>
    <n v="8"/>
    <x v="2"/>
    <x v="12"/>
    <n v="758.58"/>
    <x v="986"/>
  </r>
  <r>
    <x v="341"/>
    <x v="1"/>
    <x v="2"/>
    <x v="2"/>
    <x v="1"/>
    <n v="13"/>
    <x v="3"/>
    <x v="16"/>
    <n v="857.86"/>
    <x v="987"/>
  </r>
  <r>
    <x v="342"/>
    <x v="0"/>
    <x v="4"/>
    <x v="9"/>
    <x v="3"/>
    <n v="16"/>
    <x v="4"/>
    <x v="8"/>
    <n v="4614.01"/>
    <x v="988"/>
  </r>
  <r>
    <x v="245"/>
    <x v="1"/>
    <x v="1"/>
    <x v="7"/>
    <x v="3"/>
    <n v="14"/>
    <x v="5"/>
    <x v="30"/>
    <n v="1658.39"/>
    <x v="989"/>
  </r>
  <r>
    <x v="120"/>
    <x v="0"/>
    <x v="0"/>
    <x v="5"/>
    <x v="0"/>
    <n v="12"/>
    <x v="6"/>
    <x v="38"/>
    <n v="3028.88"/>
    <x v="990"/>
  </r>
  <r>
    <x v="241"/>
    <x v="2"/>
    <x v="3"/>
    <x v="13"/>
    <x v="0"/>
    <n v="7"/>
    <x v="7"/>
    <x v="11"/>
    <n v="1501.06"/>
    <x v="991"/>
  </r>
  <r>
    <x v="288"/>
    <x v="2"/>
    <x v="3"/>
    <x v="4"/>
    <x v="3"/>
    <n v="5"/>
    <x v="8"/>
    <x v="1"/>
    <n v="3404.87"/>
    <x v="992"/>
  </r>
  <r>
    <x v="326"/>
    <x v="1"/>
    <x v="1"/>
    <x v="12"/>
    <x v="0"/>
    <n v="8"/>
    <x v="9"/>
    <x v="31"/>
    <n v="2112.66"/>
    <x v="993"/>
  </r>
  <r>
    <x v="114"/>
    <x v="1"/>
    <x v="2"/>
    <x v="2"/>
    <x v="1"/>
    <n v="1"/>
    <x v="10"/>
    <x v="27"/>
    <n v="1520.97"/>
    <x v="994"/>
  </r>
  <r>
    <x v="343"/>
    <x v="0"/>
    <x v="4"/>
    <x v="8"/>
    <x v="3"/>
    <n v="5"/>
    <x v="11"/>
    <x v="6"/>
    <n v="172.99"/>
    <x v="995"/>
  </r>
  <r>
    <x v="216"/>
    <x v="1"/>
    <x v="1"/>
    <x v="7"/>
    <x v="0"/>
    <n v="9"/>
    <x v="0"/>
    <x v="39"/>
    <n v="4781.72"/>
    <x v="996"/>
  </r>
  <r>
    <x v="139"/>
    <x v="1"/>
    <x v="1"/>
    <x v="12"/>
    <x v="1"/>
    <n v="6"/>
    <x v="1"/>
    <x v="19"/>
    <n v="4894.41"/>
    <x v="997"/>
  </r>
  <r>
    <x v="184"/>
    <x v="0"/>
    <x v="4"/>
    <x v="8"/>
    <x v="2"/>
    <n v="19"/>
    <x v="2"/>
    <x v="10"/>
    <n v="1199.24"/>
    <x v="998"/>
  </r>
  <r>
    <x v="320"/>
    <x v="1"/>
    <x v="1"/>
    <x v="12"/>
    <x v="2"/>
    <n v="16"/>
    <x v="3"/>
    <x v="1"/>
    <n v="317.82"/>
    <x v="99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d v="2023-11-11T00:00:00"/>
    <s v="West"/>
    <s v="Maharashtra"/>
    <s v="Mumbai"/>
    <s v="Stationery"/>
    <n v="3"/>
    <x v="0"/>
    <n v="43"/>
    <n v="4210.7700000000004"/>
    <n v="12632.31"/>
  </r>
  <r>
    <d v="2023-06-24T00:00:00"/>
    <s v="South"/>
    <s v="Karnataka"/>
    <s v="Mysuru"/>
    <s v="Clothing"/>
    <n v="19"/>
    <x v="1"/>
    <n v="47"/>
    <n v="2873.83"/>
    <n v="54602.77"/>
  </r>
  <r>
    <d v="2023-01-23T00:00:00"/>
    <s v="South"/>
    <s v="Tamil Nadu"/>
    <s v="Chennai"/>
    <s v="Groceries"/>
    <n v="1"/>
    <x v="2"/>
    <n v="21"/>
    <n v="267.32"/>
    <n v="267.32"/>
  </r>
  <r>
    <d v="2023-11-30T00:00:00"/>
    <s v="South"/>
    <s v="Tamil Nadu"/>
    <s v="Madurai"/>
    <s v="Stationery"/>
    <n v="9"/>
    <x v="3"/>
    <n v="41"/>
    <n v="1378.65"/>
    <n v="12407.85"/>
  </r>
  <r>
    <d v="2023-12-29T00:00:00"/>
    <s v="North"/>
    <s v="Delhi"/>
    <s v="New Delhi"/>
    <s v="Stationery"/>
    <n v="9"/>
    <x v="4"/>
    <n v="31"/>
    <n v="1161.02"/>
    <n v="10449.18"/>
  </r>
  <r>
    <d v="2023-03-11T00:00:00"/>
    <s v="West"/>
    <s v="Maharashtra"/>
    <s v="Nagpur"/>
    <s v="Clothing"/>
    <n v="5"/>
    <x v="5"/>
    <n v="40"/>
    <n v="3732.82"/>
    <n v="18664.099999999999"/>
  </r>
  <r>
    <d v="2023-11-20T00:00:00"/>
    <s v="North"/>
    <s v="Delhi"/>
    <s v="New Delhi"/>
    <s v="Furniture"/>
    <n v="4"/>
    <x v="6"/>
    <n v="28"/>
    <n v="961.38"/>
    <n v="3845.52"/>
  </r>
  <r>
    <d v="2023-10-14T00:00:00"/>
    <s v="North"/>
    <s v="Delhi"/>
    <s v="New Delhi"/>
    <s v="Groceries"/>
    <n v="14"/>
    <x v="7"/>
    <n v="23"/>
    <n v="4457.21"/>
    <n v="62400.94"/>
  </r>
  <r>
    <d v="2023-02-05T00:00:00"/>
    <s v="South"/>
    <s v="Tamil Nadu"/>
    <s v="Coimbatore"/>
    <s v="Clothing"/>
    <n v="6"/>
    <x v="8"/>
    <n v="25"/>
    <n v="2463.6799999999998"/>
    <n v="14782.08"/>
  </r>
  <r>
    <d v="2023-11-06T00:00:00"/>
    <s v="South"/>
    <s v="Karnataka"/>
    <s v="Hubli"/>
    <s v="Groceries"/>
    <n v="13"/>
    <x v="9"/>
    <n v="31"/>
    <n v="4226.47"/>
    <n v="54944.11"/>
  </r>
  <r>
    <d v="2023-05-12T00:00:00"/>
    <s v="South"/>
    <s v="Tamil Nadu"/>
    <s v="Madurai"/>
    <s v="Electronics"/>
    <n v="11"/>
    <x v="10"/>
    <n v="16"/>
    <n v="2852.22"/>
    <n v="31374.42"/>
  </r>
  <r>
    <d v="2023-02-16T00:00:00"/>
    <s v="North"/>
    <s v="Delhi"/>
    <s v="New Delhi"/>
    <s v="Groceries"/>
    <n v="2"/>
    <x v="11"/>
    <n v="44"/>
    <n v="4059.61"/>
    <n v="8119.22"/>
  </r>
  <r>
    <d v="2023-05-19T00:00:00"/>
    <s v="North"/>
    <s v="Delhi"/>
    <s v="New Delhi"/>
    <s v="Stationery"/>
    <n v="13"/>
    <x v="0"/>
    <n v="22"/>
    <n v="1965.63"/>
    <n v="25553.19"/>
  </r>
  <r>
    <d v="2023-05-24T00:00:00"/>
    <s v="North"/>
    <s v="Delhi"/>
    <s v="New Delhi"/>
    <s v="Electronics"/>
    <n v="4"/>
    <x v="1"/>
    <n v="42"/>
    <n v="1020.23"/>
    <n v="4080.92"/>
  </r>
  <r>
    <d v="2023-10-26T00:00:00"/>
    <s v="North"/>
    <s v="Delhi"/>
    <s v="New Delhi"/>
    <s v="Furniture"/>
    <n v="16"/>
    <x v="2"/>
    <n v="30"/>
    <n v="2178.7800000000002"/>
    <n v="34860.480000000003"/>
  </r>
  <r>
    <d v="2023-03-10T00:00:00"/>
    <s v="North"/>
    <s v="Delhi"/>
    <s v="New Delhi"/>
    <s v="Electronics"/>
    <n v="3"/>
    <x v="3"/>
    <n v="22"/>
    <n v="4229.84"/>
    <n v="12689.52"/>
  </r>
  <r>
    <d v="2023-10-27T00:00:00"/>
    <s v="West"/>
    <s v="Gujarat"/>
    <s v="Ahmedabad"/>
    <s v="Stationery"/>
    <n v="11"/>
    <x v="4"/>
    <n v="50"/>
    <n v="255.3"/>
    <n v="2808.3"/>
  </r>
  <r>
    <d v="2023-12-01T00:00:00"/>
    <s v="West"/>
    <s v="Gujarat"/>
    <s v="Vadodara"/>
    <s v="Clothing"/>
    <n v="1"/>
    <x v="5"/>
    <n v="39"/>
    <n v="4557.0600000000004"/>
    <n v="4557.0600000000004"/>
  </r>
  <r>
    <d v="2023-02-15T00:00:00"/>
    <s v="West"/>
    <s v="Gujarat"/>
    <s v="Ahmedabad"/>
    <s v="Electronics"/>
    <n v="10"/>
    <x v="6"/>
    <n v="31"/>
    <n v="843.5"/>
    <n v="8435"/>
  </r>
  <r>
    <d v="2023-03-13T00:00:00"/>
    <s v="West"/>
    <s v="Maharashtra"/>
    <s v="Mumbai"/>
    <s v="Stationery"/>
    <n v="5"/>
    <x v="7"/>
    <n v="21"/>
    <n v="4987.7"/>
    <n v="24938.5"/>
  </r>
  <r>
    <d v="2023-06-18T00:00:00"/>
    <s v="West"/>
    <s v="Gujarat"/>
    <s v="Vadodara"/>
    <s v="Clothing"/>
    <n v="5"/>
    <x v="8"/>
    <n v="25"/>
    <n v="3860.73"/>
    <n v="19303.650000000001"/>
  </r>
  <r>
    <d v="2023-07-18T00:00:00"/>
    <s v="West"/>
    <s v="Maharashtra"/>
    <s v="Mumbai"/>
    <s v="Furniture"/>
    <n v="14"/>
    <x v="9"/>
    <n v="44"/>
    <n v="4649.53"/>
    <n v="65093.42"/>
  </r>
  <r>
    <d v="2023-12-07T00:00:00"/>
    <s v="North"/>
    <s v="Delhi"/>
    <s v="New Delhi"/>
    <s v="Clothing"/>
    <n v="3"/>
    <x v="10"/>
    <n v="36"/>
    <n v="144.38999999999999"/>
    <n v="433.17"/>
  </r>
  <r>
    <d v="2023-12-30T00:00:00"/>
    <s v="South"/>
    <s v="Karnataka"/>
    <s v="Hubli"/>
    <s v="Furniture"/>
    <n v="15"/>
    <x v="11"/>
    <n v="55"/>
    <n v="4402.43"/>
    <n v="66036.45"/>
  </r>
  <r>
    <d v="2023-08-08T00:00:00"/>
    <s v="West"/>
    <s v="Maharashtra"/>
    <s v="Pune"/>
    <s v="Clothing"/>
    <n v="8"/>
    <x v="0"/>
    <n v="42"/>
    <n v="1461.31"/>
    <n v="11690.48"/>
  </r>
  <r>
    <d v="2023-02-20T00:00:00"/>
    <s v="West"/>
    <s v="Maharashtra"/>
    <s v="Nagpur"/>
    <s v="Stationery"/>
    <n v="9"/>
    <x v="1"/>
    <n v="47"/>
    <n v="3318.1"/>
    <n v="29862.9"/>
  </r>
  <r>
    <d v="2023-08-12T00:00:00"/>
    <s v="West"/>
    <s v="Gujarat"/>
    <s v="Surat"/>
    <s v="Clothing"/>
    <n v="13"/>
    <x v="2"/>
    <n v="24"/>
    <n v="2475.98"/>
    <n v="32187.74"/>
  </r>
  <r>
    <d v="2023-03-01T00:00:00"/>
    <s v="South"/>
    <s v="Tamil Nadu"/>
    <s v="Chennai"/>
    <s v="Electronics"/>
    <n v="3"/>
    <x v="3"/>
    <n v="45"/>
    <n v="4132.17"/>
    <n v="12396.51"/>
  </r>
  <r>
    <d v="2023-10-13T00:00:00"/>
    <s v="South"/>
    <s v="Karnataka"/>
    <s v="Mysuru"/>
    <s v="Clothing"/>
    <n v="12"/>
    <x v="4"/>
    <n v="54"/>
    <n v="835.83"/>
    <n v="10029.959999999999"/>
  </r>
  <r>
    <d v="2023-06-12T00:00:00"/>
    <s v="North"/>
    <s v="Delhi"/>
    <s v="New Delhi"/>
    <s v="Furniture"/>
    <n v="12"/>
    <x v="5"/>
    <n v="16"/>
    <n v="1377.41"/>
    <n v="16528.919999999998"/>
  </r>
  <r>
    <d v="2023-09-14T00:00:00"/>
    <s v="South"/>
    <s v="Tamil Nadu"/>
    <s v="Coimbatore"/>
    <s v="Electronics"/>
    <n v="2"/>
    <x v="6"/>
    <n v="16"/>
    <n v="1983.93"/>
    <n v="3967.86"/>
  </r>
  <r>
    <d v="2023-08-31T00:00:00"/>
    <s v="West"/>
    <s v="Maharashtra"/>
    <s v="Mumbai"/>
    <s v="Furniture"/>
    <n v="8"/>
    <x v="7"/>
    <n v="26"/>
    <n v="4621.75"/>
    <n v="36974"/>
  </r>
  <r>
    <d v="2023-07-04T00:00:00"/>
    <s v="South"/>
    <s v="Karnataka"/>
    <s v="Bengaluru"/>
    <s v="Groceries"/>
    <n v="8"/>
    <x v="8"/>
    <n v="23"/>
    <n v="2342.02"/>
    <n v="18736.16"/>
  </r>
  <r>
    <d v="2023-08-08T00:00:00"/>
    <s v="West"/>
    <s v="Maharashtra"/>
    <s v="Mumbai"/>
    <s v="Furniture"/>
    <n v="9"/>
    <x v="9"/>
    <n v="21"/>
    <n v="489.27"/>
    <n v="4403.43"/>
  </r>
  <r>
    <d v="2023-10-20T00:00:00"/>
    <s v="South"/>
    <s v="Tamil Nadu"/>
    <s v="Coimbatore"/>
    <s v="Furniture"/>
    <n v="3"/>
    <x v="10"/>
    <n v="17"/>
    <n v="2444.6"/>
    <n v="7333.8"/>
  </r>
  <r>
    <d v="2023-07-25T00:00:00"/>
    <s v="South"/>
    <s v="Tamil Nadu"/>
    <s v="Chennai"/>
    <s v="Stationery"/>
    <n v="5"/>
    <x v="11"/>
    <n v="55"/>
    <n v="1346.45"/>
    <n v="6732.25"/>
  </r>
  <r>
    <d v="2023-11-27T00:00:00"/>
    <s v="West"/>
    <s v="Maharashtra"/>
    <s v="Pune"/>
    <s v="Furniture"/>
    <n v="17"/>
    <x v="0"/>
    <n v="47"/>
    <n v="1333.71"/>
    <n v="22673.07"/>
  </r>
  <r>
    <d v="2023-10-31T00:00:00"/>
    <s v="South"/>
    <s v="Karnataka"/>
    <s v="Bengaluru"/>
    <s v="Electronics"/>
    <n v="2"/>
    <x v="1"/>
    <n v="33"/>
    <n v="2287.09"/>
    <n v="4574.18"/>
  </r>
  <r>
    <d v="2023-10-20T00:00:00"/>
    <s v="West"/>
    <s v="Gujarat"/>
    <s v="Ahmedabad"/>
    <s v="Electronics"/>
    <n v="12"/>
    <x v="2"/>
    <n v="24"/>
    <n v="2384.1"/>
    <n v="28609.200000000001"/>
  </r>
  <r>
    <d v="2023-04-01T00:00:00"/>
    <s v="West"/>
    <s v="Gujarat"/>
    <s v="Vadodara"/>
    <s v="Stationery"/>
    <n v="2"/>
    <x v="3"/>
    <n v="55"/>
    <n v="3037.55"/>
    <n v="6075.1"/>
  </r>
  <r>
    <d v="2023-01-15T00:00:00"/>
    <s v="West"/>
    <s v="Maharashtra"/>
    <s v="Mumbai"/>
    <s v="Stationery"/>
    <n v="7"/>
    <x v="4"/>
    <n v="33"/>
    <n v="3163.37"/>
    <n v="22143.59"/>
  </r>
  <r>
    <d v="2023-12-29T00:00:00"/>
    <s v="West"/>
    <s v="Maharashtra"/>
    <s v="Pune"/>
    <s v="Stationery"/>
    <n v="13"/>
    <x v="5"/>
    <n v="41"/>
    <n v="4985.82"/>
    <n v="64815.66"/>
  </r>
  <r>
    <d v="2023-09-20T00:00:00"/>
    <s v="West"/>
    <s v="Gujarat"/>
    <s v="Surat"/>
    <s v="Furniture"/>
    <n v="8"/>
    <x v="6"/>
    <n v="17"/>
    <n v="285.94"/>
    <n v="2287.52"/>
  </r>
  <r>
    <d v="2023-12-04T00:00:00"/>
    <s v="South"/>
    <s v="Karnataka"/>
    <s v="Mysuru"/>
    <s v="Furniture"/>
    <n v="11"/>
    <x v="7"/>
    <n v="47"/>
    <n v="1905.7"/>
    <n v="20962.7"/>
  </r>
  <r>
    <d v="2023-02-13T00:00:00"/>
    <s v="South"/>
    <s v="Karnataka"/>
    <s v="Hubli"/>
    <s v="Furniture"/>
    <n v="20"/>
    <x v="8"/>
    <n v="30"/>
    <n v="1310.3699999999999"/>
    <n v="26207.4"/>
  </r>
  <r>
    <d v="2023-04-05T00:00:00"/>
    <s v="West"/>
    <s v="Gujarat"/>
    <s v="Vadodara"/>
    <s v="Groceries"/>
    <n v="8"/>
    <x v="9"/>
    <n v="30"/>
    <n v="1185.17"/>
    <n v="9481.36"/>
  </r>
  <r>
    <d v="2023-07-27T00:00:00"/>
    <s v="North"/>
    <s v="Delhi"/>
    <s v="New Delhi"/>
    <s v="Clothing"/>
    <n v="6"/>
    <x v="10"/>
    <n v="26"/>
    <n v="4100.9799999999996"/>
    <n v="24605.88"/>
  </r>
  <r>
    <d v="2023-10-11T00:00:00"/>
    <s v="South"/>
    <s v="Karnataka"/>
    <s v="Hubli"/>
    <s v="Groceries"/>
    <n v="16"/>
    <x v="11"/>
    <n v="18"/>
    <n v="2619.73"/>
    <n v="41915.68"/>
  </r>
  <r>
    <d v="2023-10-30T00:00:00"/>
    <s v="South"/>
    <s v="Karnataka"/>
    <s v="Hubli"/>
    <s v="Furniture"/>
    <n v="5"/>
    <x v="0"/>
    <n v="32"/>
    <n v="3103.12"/>
    <n v="15515.6"/>
  </r>
  <r>
    <d v="2023-08-28T00:00:00"/>
    <s v="South"/>
    <s v="Tamil Nadu"/>
    <s v="Coimbatore"/>
    <s v="Furniture"/>
    <n v="19"/>
    <x v="1"/>
    <n v="16"/>
    <n v="3074.32"/>
    <n v="58412.08"/>
  </r>
  <r>
    <d v="2023-07-24T00:00:00"/>
    <s v="South"/>
    <s v="Tamil Nadu"/>
    <s v="Coimbatore"/>
    <s v="Clothing"/>
    <n v="20"/>
    <x v="2"/>
    <n v="44"/>
    <n v="3331.04"/>
    <n v="66620.800000000003"/>
  </r>
  <r>
    <d v="2023-11-30T00:00:00"/>
    <s v="North"/>
    <s v="Delhi"/>
    <s v="New Delhi"/>
    <s v="Stationery"/>
    <n v="7"/>
    <x v="3"/>
    <n v="37"/>
    <n v="4813.28"/>
    <n v="33692.959999999999"/>
  </r>
  <r>
    <d v="2023-09-08T00:00:00"/>
    <s v="West"/>
    <s v="Gujarat"/>
    <s v="Ahmedabad"/>
    <s v="Furniture"/>
    <n v="18"/>
    <x v="4"/>
    <n v="30"/>
    <n v="1376.52"/>
    <n v="24777.360000000001"/>
  </r>
  <r>
    <d v="2023-08-18T00:00:00"/>
    <s v="West"/>
    <s v="Maharashtra"/>
    <s v="Mumbai"/>
    <s v="Clothing"/>
    <n v="12"/>
    <x v="5"/>
    <n v="32"/>
    <n v="3400.71"/>
    <n v="40808.519999999997"/>
  </r>
  <r>
    <d v="2023-05-23T00:00:00"/>
    <s v="South"/>
    <s v="Karnataka"/>
    <s v="Hubli"/>
    <s v="Stationery"/>
    <n v="2"/>
    <x v="6"/>
    <n v="19"/>
    <n v="4762.71"/>
    <n v="9525.42"/>
  </r>
  <r>
    <d v="2023-11-19T00:00:00"/>
    <s v="North"/>
    <s v="Delhi"/>
    <s v="Karol Bagh"/>
    <s v="Clothing"/>
    <n v="18"/>
    <x v="7"/>
    <n v="52"/>
    <n v="2149.9899999999998"/>
    <n v="38699.82"/>
  </r>
  <r>
    <d v="2023-02-21T00:00:00"/>
    <s v="West"/>
    <s v="Gujarat"/>
    <s v="Ahmedabad"/>
    <s v="Stationery"/>
    <n v="13"/>
    <x v="8"/>
    <n v="20"/>
    <n v="2665.15"/>
    <n v="34646.949999999997"/>
  </r>
  <r>
    <d v="2023-11-08T00:00:00"/>
    <s v="North"/>
    <s v="Delhi"/>
    <s v="New Delhi"/>
    <s v="Electronics"/>
    <n v="15"/>
    <x v="9"/>
    <n v="39"/>
    <n v="1543.85"/>
    <n v="23157.75"/>
  </r>
  <r>
    <d v="2023-08-05T00:00:00"/>
    <s v="North"/>
    <s v="Delhi"/>
    <s v="New Delhi"/>
    <s v="Clothing"/>
    <n v="3"/>
    <x v="10"/>
    <n v="23"/>
    <n v="3366.66"/>
    <n v="10099.98"/>
  </r>
  <r>
    <d v="2023-11-17T00:00:00"/>
    <s v="West"/>
    <s v="Gujarat"/>
    <s v="Surat"/>
    <s v="Electronics"/>
    <n v="19"/>
    <x v="11"/>
    <n v="25"/>
    <n v="1809.9"/>
    <n v="34388.1"/>
  </r>
  <r>
    <d v="2023-03-17T00:00:00"/>
    <s v="South"/>
    <s v="Karnataka"/>
    <s v="Bengaluru"/>
    <s v="Stationery"/>
    <n v="7"/>
    <x v="0"/>
    <n v="36"/>
    <n v="1774.74"/>
    <n v="12423.18"/>
  </r>
  <r>
    <d v="2023-11-27T00:00:00"/>
    <s v="West"/>
    <s v="Maharashtra"/>
    <s v="Pune"/>
    <s v="Groceries"/>
    <n v="1"/>
    <x v="1"/>
    <n v="50"/>
    <n v="3459.33"/>
    <n v="3459.33"/>
  </r>
  <r>
    <d v="2023-11-17T00:00:00"/>
    <s v="North"/>
    <s v="Delhi"/>
    <s v="New Delhi"/>
    <s v="Electronics"/>
    <n v="13"/>
    <x v="2"/>
    <n v="42"/>
    <n v="4339.46"/>
    <n v="56412.98"/>
  </r>
  <r>
    <d v="2023-02-08T00:00:00"/>
    <s v="South"/>
    <s v="Karnataka"/>
    <s v="Mysuru"/>
    <s v="Groceries"/>
    <n v="17"/>
    <x v="3"/>
    <n v="22"/>
    <n v="269.7"/>
    <n v="4584.8999999999996"/>
  </r>
  <r>
    <d v="2023-06-09T00:00:00"/>
    <s v="South"/>
    <s v="Tamil Nadu"/>
    <s v="Chennai"/>
    <s v="Stationery"/>
    <n v="18"/>
    <x v="4"/>
    <n v="54"/>
    <n v="4103.6099999999997"/>
    <n v="73864.98"/>
  </r>
  <r>
    <d v="2023-05-23T00:00:00"/>
    <s v="West"/>
    <s v="Maharashtra"/>
    <s v="Nagpur"/>
    <s v="Clothing"/>
    <n v="14"/>
    <x v="5"/>
    <n v="35"/>
    <n v="2785.95"/>
    <n v="39003.300000000003"/>
  </r>
  <r>
    <d v="2023-05-16T00:00:00"/>
    <s v="West"/>
    <s v="Maharashtra"/>
    <s v="Mumbai"/>
    <s v="Stationery"/>
    <n v="15"/>
    <x v="6"/>
    <n v="46"/>
    <n v="2330.62"/>
    <n v="34959.300000000003"/>
  </r>
  <r>
    <d v="2023-06-30T00:00:00"/>
    <s v="West"/>
    <s v="Maharashtra"/>
    <s v="Pune"/>
    <s v="Groceries"/>
    <n v="1"/>
    <x v="7"/>
    <n v="45"/>
    <n v="3698.2"/>
    <n v="3698.2"/>
  </r>
  <r>
    <d v="2023-05-02T00:00:00"/>
    <s v="South"/>
    <s v="Tamil Nadu"/>
    <s v="Coimbatore"/>
    <s v="Clothing"/>
    <n v="16"/>
    <x v="8"/>
    <n v="46"/>
    <n v="3586.87"/>
    <n v="57389.919999999998"/>
  </r>
  <r>
    <d v="2023-03-26T00:00:00"/>
    <s v="South"/>
    <s v="Karnataka"/>
    <s v="Hubli"/>
    <s v="Clothing"/>
    <n v="4"/>
    <x v="9"/>
    <n v="28"/>
    <n v="1434.97"/>
    <n v="5739.88"/>
  </r>
  <r>
    <d v="2023-01-09T00:00:00"/>
    <s v="South"/>
    <s v="Tamil Nadu"/>
    <s v="Madurai"/>
    <s v="Clothing"/>
    <n v="18"/>
    <x v="10"/>
    <n v="32"/>
    <n v="4168.59"/>
    <n v="75034.62"/>
  </r>
  <r>
    <d v="2023-09-18T00:00:00"/>
    <s v="South"/>
    <s v="Tamil Nadu"/>
    <s v="Madurai"/>
    <s v="Furniture"/>
    <n v="7"/>
    <x v="11"/>
    <n v="50"/>
    <n v="2706.33"/>
    <n v="18944.310000000001"/>
  </r>
  <r>
    <d v="2023-04-11T00:00:00"/>
    <s v="West"/>
    <s v="Gujarat"/>
    <s v="Vadodara"/>
    <s v="Groceries"/>
    <n v="6"/>
    <x v="0"/>
    <n v="52"/>
    <n v="4042.16"/>
    <n v="24252.959999999999"/>
  </r>
  <r>
    <d v="2023-09-30T00:00:00"/>
    <s v="South"/>
    <s v="Tamil Nadu"/>
    <s v="Coimbatore"/>
    <s v="Furniture"/>
    <n v="10"/>
    <x v="1"/>
    <n v="53"/>
    <n v="4496.3900000000003"/>
    <n v="44963.9"/>
  </r>
  <r>
    <d v="2023-12-18T00:00:00"/>
    <s v="South"/>
    <s v="Tamil Nadu"/>
    <s v="Chennai"/>
    <s v="Groceries"/>
    <n v="9"/>
    <x v="2"/>
    <n v="23"/>
    <n v="4638.57"/>
    <n v="41747.129999999997"/>
  </r>
  <r>
    <d v="2023-06-30T00:00:00"/>
    <s v="West"/>
    <s v="Maharashtra"/>
    <s v="Nagpur"/>
    <s v="Stationery"/>
    <n v="16"/>
    <x v="3"/>
    <n v="51"/>
    <n v="494.05"/>
    <n v="7904.8"/>
  </r>
  <r>
    <d v="2023-01-06T00:00:00"/>
    <s v="South"/>
    <s v="Karnataka"/>
    <s v="Hubli"/>
    <s v="Electronics"/>
    <n v="12"/>
    <x v="4"/>
    <n v="17"/>
    <n v="1061.49"/>
    <n v="12737.88"/>
  </r>
  <r>
    <d v="2023-11-27T00:00:00"/>
    <s v="South"/>
    <s v="Karnataka"/>
    <s v="Bengaluru"/>
    <s v="Groceries"/>
    <n v="16"/>
    <x v="5"/>
    <n v="25"/>
    <n v="795.17"/>
    <n v="12722.72"/>
  </r>
  <r>
    <d v="2023-06-27T00:00:00"/>
    <s v="South"/>
    <s v="Tamil Nadu"/>
    <s v="Chennai"/>
    <s v="Stationery"/>
    <n v="14"/>
    <x v="6"/>
    <n v="19"/>
    <n v="771.61"/>
    <n v="10802.54"/>
  </r>
  <r>
    <d v="2023-01-08T00:00:00"/>
    <s v="West"/>
    <s v="Maharashtra"/>
    <s v="Pune"/>
    <s v="Stationery"/>
    <n v="16"/>
    <x v="7"/>
    <n v="45"/>
    <n v="3702.43"/>
    <n v="59238.879999999997"/>
  </r>
  <r>
    <d v="2023-04-05T00:00:00"/>
    <s v="South"/>
    <s v="Karnataka"/>
    <s v="Mysuru"/>
    <s v="Stationery"/>
    <n v="4"/>
    <x v="8"/>
    <n v="51"/>
    <n v="1456.19"/>
    <n v="5824.76"/>
  </r>
  <r>
    <d v="2023-07-05T00:00:00"/>
    <s v="South"/>
    <s v="Tamil Nadu"/>
    <s v="Coimbatore"/>
    <s v="Groceries"/>
    <n v="14"/>
    <x v="9"/>
    <n v="54"/>
    <n v="2808.58"/>
    <n v="39320.120000000003"/>
  </r>
  <r>
    <d v="2023-10-09T00:00:00"/>
    <s v="West"/>
    <s v="Maharashtra"/>
    <s v="Mumbai"/>
    <s v="Stationery"/>
    <n v="4"/>
    <x v="10"/>
    <n v="46"/>
    <n v="1640.54"/>
    <n v="6562.16"/>
  </r>
  <r>
    <d v="2023-11-09T00:00:00"/>
    <s v="South"/>
    <s v="Tamil Nadu"/>
    <s v="Chennai"/>
    <s v="Stationery"/>
    <n v="15"/>
    <x v="11"/>
    <n v="21"/>
    <n v="3909.42"/>
    <n v="58641.3"/>
  </r>
  <r>
    <d v="2023-08-17T00:00:00"/>
    <s v="South"/>
    <s v="Karnataka"/>
    <s v="Hubli"/>
    <s v="Clothing"/>
    <n v="17"/>
    <x v="0"/>
    <n v="39"/>
    <n v="4517.78"/>
    <n v="76802.259999999995"/>
  </r>
  <r>
    <d v="2023-08-12T00:00:00"/>
    <s v="West"/>
    <s v="Maharashtra"/>
    <s v="Pune"/>
    <s v="Furniture"/>
    <n v="5"/>
    <x v="1"/>
    <n v="29"/>
    <n v="4198.97"/>
    <n v="20994.85"/>
  </r>
  <r>
    <d v="2023-12-06T00:00:00"/>
    <s v="West"/>
    <s v="Gujarat"/>
    <s v="Vadodara"/>
    <s v="Furniture"/>
    <n v="14"/>
    <x v="2"/>
    <n v="46"/>
    <n v="4839.1099999999997"/>
    <n v="67747.539999999994"/>
  </r>
  <r>
    <d v="2023-04-26T00:00:00"/>
    <s v="West"/>
    <s v="Maharashtra"/>
    <s v="Nagpur"/>
    <s v="Stationery"/>
    <n v="18"/>
    <x v="3"/>
    <n v="28"/>
    <n v="4022.66"/>
    <n v="72407.88"/>
  </r>
  <r>
    <d v="2023-07-30T00:00:00"/>
    <s v="West"/>
    <s v="Gujarat"/>
    <s v="Surat"/>
    <s v="Electronics"/>
    <n v="11"/>
    <x v="4"/>
    <n v="19"/>
    <n v="1798.54"/>
    <n v="19783.939999999999"/>
  </r>
  <r>
    <d v="2023-09-06T00:00:00"/>
    <s v="West"/>
    <s v="Gujarat"/>
    <s v="Vadodara"/>
    <s v="Clothing"/>
    <n v="10"/>
    <x v="5"/>
    <n v="18"/>
    <n v="3205.57"/>
    <n v="32055.7"/>
  </r>
  <r>
    <d v="2023-12-06T00:00:00"/>
    <s v="South"/>
    <s v="Tamil Nadu"/>
    <s v="Coimbatore"/>
    <s v="Stationery"/>
    <n v="5"/>
    <x v="6"/>
    <n v="51"/>
    <n v="4987.84"/>
    <n v="24939.200000000001"/>
  </r>
  <r>
    <d v="2023-01-20T00:00:00"/>
    <s v="South"/>
    <s v="Tamil Nadu"/>
    <s v="Coimbatore"/>
    <s v="Furniture"/>
    <n v="14"/>
    <x v="7"/>
    <n v="38"/>
    <n v="1507.19"/>
    <n v="21100.66"/>
  </r>
  <r>
    <d v="2023-10-20T00:00:00"/>
    <s v="West"/>
    <s v="Maharashtra"/>
    <s v="Mumbai"/>
    <s v="Stationery"/>
    <n v="17"/>
    <x v="8"/>
    <n v="52"/>
    <n v="3490.72"/>
    <n v="59342.239999999998"/>
  </r>
  <r>
    <d v="2023-04-10T00:00:00"/>
    <s v="South"/>
    <s v="Tamil Nadu"/>
    <s v="Coimbatore"/>
    <s v="Clothing"/>
    <n v="5"/>
    <x v="9"/>
    <n v="28"/>
    <n v="3786.28"/>
    <n v="18931.400000000001"/>
  </r>
  <r>
    <d v="2023-02-17T00:00:00"/>
    <s v="South"/>
    <s v="Karnataka"/>
    <s v="Hubli"/>
    <s v="Groceries"/>
    <n v="10"/>
    <x v="10"/>
    <n v="22"/>
    <n v="4196.24"/>
    <n v="41962.400000000001"/>
  </r>
  <r>
    <d v="2023-02-17T00:00:00"/>
    <s v="South"/>
    <s v="Karnataka"/>
    <s v="Bengaluru"/>
    <s v="Groceries"/>
    <n v="4"/>
    <x v="11"/>
    <n v="45"/>
    <n v="1493.04"/>
    <n v="5972.16"/>
  </r>
  <r>
    <d v="2023-10-25T00:00:00"/>
    <s v="North"/>
    <s v="Delhi"/>
    <s v="Dwarka"/>
    <s v="Furniture"/>
    <n v="16"/>
    <x v="0"/>
    <n v="42"/>
    <n v="2502.5700000000002"/>
    <n v="40041.120000000003"/>
  </r>
  <r>
    <d v="2023-05-06T00:00:00"/>
    <s v="South"/>
    <s v="Tamil Nadu"/>
    <s v="Coimbatore"/>
    <s v="Groceries"/>
    <n v="19"/>
    <x v="1"/>
    <n v="27"/>
    <n v="548.70000000000005"/>
    <n v="10425.299999999999"/>
  </r>
  <r>
    <d v="2023-08-11T00:00:00"/>
    <s v="South"/>
    <s v="Tamil Nadu"/>
    <s v="Madurai"/>
    <s v="Clothing"/>
    <n v="19"/>
    <x v="2"/>
    <n v="31"/>
    <n v="1309.6500000000001"/>
    <n v="24883.35"/>
  </r>
  <r>
    <d v="2023-07-23T00:00:00"/>
    <s v="West"/>
    <s v="Maharashtra"/>
    <s v="Nagpur"/>
    <s v="Stationery"/>
    <n v="2"/>
    <x v="3"/>
    <n v="46"/>
    <n v="741.33"/>
    <n v="1482.66"/>
  </r>
  <r>
    <d v="2023-08-12T00:00:00"/>
    <s v="West"/>
    <s v="Maharashtra"/>
    <s v="Mumbai"/>
    <s v="Furniture"/>
    <n v="3"/>
    <x v="4"/>
    <n v="25"/>
    <n v="3957.38"/>
    <n v="11872.14"/>
  </r>
  <r>
    <d v="2023-01-13T00:00:00"/>
    <s v="West"/>
    <s v="Maharashtra"/>
    <s v="Pune"/>
    <s v="Clothing"/>
    <n v="18"/>
    <x v="5"/>
    <n v="22"/>
    <n v="2777.65"/>
    <n v="49997.7"/>
  </r>
  <r>
    <d v="2023-06-01T00:00:00"/>
    <s v="West"/>
    <s v="Gujarat"/>
    <s v="Surat"/>
    <s v="Groceries"/>
    <n v="15"/>
    <x v="6"/>
    <n v="39"/>
    <n v="2586.8000000000002"/>
    <n v="38802"/>
  </r>
  <r>
    <d v="2023-09-15T00:00:00"/>
    <s v="South"/>
    <s v="Karnataka"/>
    <s v="Mysuru"/>
    <s v="Clothing"/>
    <n v="13"/>
    <x v="7"/>
    <n v="42"/>
    <n v="4337.22"/>
    <n v="56383.86"/>
  </r>
  <r>
    <d v="2023-09-26T00:00:00"/>
    <s v="South"/>
    <s v="Tamil Nadu"/>
    <s v="Chennai"/>
    <s v="Groceries"/>
    <n v="5"/>
    <x v="8"/>
    <n v="34"/>
    <n v="4499.88"/>
    <n v="22499.4"/>
  </r>
  <r>
    <d v="2023-11-14T00:00:00"/>
    <s v="West"/>
    <s v="Maharashtra"/>
    <s v="Nagpur"/>
    <s v="Stationery"/>
    <n v="13"/>
    <x v="9"/>
    <n v="53"/>
    <n v="4357.0200000000004"/>
    <n v="56641.26"/>
  </r>
  <r>
    <d v="2023-01-23T00:00:00"/>
    <s v="West"/>
    <s v="Maharashtra"/>
    <s v="Mumbai"/>
    <s v="Clothing"/>
    <n v="9"/>
    <x v="10"/>
    <n v="21"/>
    <n v="808.93"/>
    <n v="7280.37"/>
  </r>
  <r>
    <d v="2023-02-05T00:00:00"/>
    <s v="West"/>
    <s v="Maharashtra"/>
    <s v="Pune"/>
    <s v="Stationery"/>
    <n v="9"/>
    <x v="11"/>
    <n v="25"/>
    <n v="2267.7199999999998"/>
    <n v="20409.48"/>
  </r>
  <r>
    <d v="2023-10-07T00:00:00"/>
    <s v="South"/>
    <s v="Karnataka"/>
    <s v="Bengaluru"/>
    <s v="Electronics"/>
    <n v="13"/>
    <x v="0"/>
    <n v="36"/>
    <n v="2238.96"/>
    <n v="29106.48"/>
  </r>
  <r>
    <d v="2023-09-14T00:00:00"/>
    <s v="West"/>
    <s v="Gujarat"/>
    <s v="Surat"/>
    <s v="Stationery"/>
    <n v="3"/>
    <x v="1"/>
    <n v="20"/>
    <n v="4195.66"/>
    <n v="12586.98"/>
  </r>
  <r>
    <d v="2023-04-30T00:00:00"/>
    <s v="North"/>
    <s v="Delhi"/>
    <s v="Karol Bagh"/>
    <s v="Furniture"/>
    <n v="6"/>
    <x v="2"/>
    <n v="46"/>
    <n v="1508.35"/>
    <n v="9050.1"/>
  </r>
  <r>
    <d v="2023-01-27T00:00:00"/>
    <s v="North"/>
    <s v="Delhi"/>
    <s v="Karol Bagh"/>
    <s v="Furniture"/>
    <n v="8"/>
    <x v="3"/>
    <n v="22"/>
    <n v="1314.71"/>
    <n v="10517.68"/>
  </r>
  <r>
    <d v="2023-03-24T00:00:00"/>
    <s v="West"/>
    <s v="Gujarat"/>
    <s v="Surat"/>
    <s v="Groceries"/>
    <n v="11"/>
    <x v="4"/>
    <n v="25"/>
    <n v="1435.18"/>
    <n v="15786.98"/>
  </r>
  <r>
    <d v="2023-12-14T00:00:00"/>
    <s v="West"/>
    <s v="Gujarat"/>
    <s v="Surat"/>
    <s v="Furniture"/>
    <n v="11"/>
    <x v="5"/>
    <n v="53"/>
    <n v="4188.37"/>
    <n v="46072.07"/>
  </r>
  <r>
    <d v="2023-05-22T00:00:00"/>
    <s v="North"/>
    <s v="Delhi"/>
    <s v="Karol Bagh"/>
    <s v="Furniture"/>
    <n v="1"/>
    <x v="6"/>
    <n v="35"/>
    <n v="4859.6499999999996"/>
    <n v="4859.6499999999996"/>
  </r>
  <r>
    <d v="2023-05-16T00:00:00"/>
    <s v="South"/>
    <s v="Karnataka"/>
    <s v="Bengaluru"/>
    <s v="Clothing"/>
    <n v="18"/>
    <x v="7"/>
    <n v="24"/>
    <n v="3913.42"/>
    <n v="70441.56"/>
  </r>
  <r>
    <d v="2023-04-13T00:00:00"/>
    <s v="South"/>
    <s v="Karnataka"/>
    <s v="Bengaluru"/>
    <s v="Electronics"/>
    <n v="8"/>
    <x v="8"/>
    <n v="35"/>
    <n v="4402.3599999999997"/>
    <n v="35218.879999999997"/>
  </r>
  <r>
    <d v="2023-06-15T00:00:00"/>
    <s v="West"/>
    <s v="Maharashtra"/>
    <s v="Mumbai"/>
    <s v="Clothing"/>
    <n v="19"/>
    <x v="9"/>
    <n v="48"/>
    <n v="1965.12"/>
    <n v="37337.279999999999"/>
  </r>
  <r>
    <d v="2023-08-16T00:00:00"/>
    <s v="West"/>
    <s v="Gujarat"/>
    <s v="Surat"/>
    <s v="Furniture"/>
    <n v="11"/>
    <x v="10"/>
    <n v="26"/>
    <n v="2522.63"/>
    <n v="27748.93"/>
  </r>
  <r>
    <d v="2023-09-19T00:00:00"/>
    <s v="West"/>
    <s v="Gujarat"/>
    <s v="Vadodara"/>
    <s v="Electronics"/>
    <n v="19"/>
    <x v="11"/>
    <n v="28"/>
    <n v="2493.0300000000002"/>
    <n v="47367.57"/>
  </r>
  <r>
    <d v="2023-12-08T00:00:00"/>
    <s v="South"/>
    <s v="Karnataka"/>
    <s v="Bengaluru"/>
    <s v="Groceries"/>
    <n v="16"/>
    <x v="0"/>
    <n v="30"/>
    <n v="3895.18"/>
    <n v="62322.879999999997"/>
  </r>
  <r>
    <d v="2023-08-28T00:00:00"/>
    <s v="South"/>
    <s v="Karnataka"/>
    <s v="Bengaluru"/>
    <s v="Clothing"/>
    <n v="2"/>
    <x v="1"/>
    <n v="54"/>
    <n v="1827.28"/>
    <n v="3654.56"/>
  </r>
  <r>
    <d v="2023-01-26T00:00:00"/>
    <s v="West"/>
    <s v="Gujarat"/>
    <s v="Ahmedabad"/>
    <s v="Electronics"/>
    <n v="13"/>
    <x v="2"/>
    <n v="51"/>
    <n v="1753.48"/>
    <n v="22795.24"/>
  </r>
  <r>
    <d v="2023-07-17T00:00:00"/>
    <s v="South"/>
    <s v="Karnataka"/>
    <s v="Bengaluru"/>
    <s v="Furniture"/>
    <n v="16"/>
    <x v="3"/>
    <n v="25"/>
    <n v="971.39"/>
    <n v="15542.24"/>
  </r>
  <r>
    <d v="2023-10-15T00:00:00"/>
    <s v="South"/>
    <s v="Tamil Nadu"/>
    <s v="Madurai"/>
    <s v="Electronics"/>
    <n v="15"/>
    <x v="4"/>
    <n v="46"/>
    <n v="346.45"/>
    <n v="5196.75"/>
  </r>
  <r>
    <d v="2023-11-19T00:00:00"/>
    <s v="West"/>
    <s v="Gujarat"/>
    <s v="Vadodara"/>
    <s v="Stationery"/>
    <n v="12"/>
    <x v="5"/>
    <n v="44"/>
    <n v="186.62"/>
    <n v="2239.44"/>
  </r>
  <r>
    <d v="2023-03-25T00:00:00"/>
    <s v="North"/>
    <s v="Delhi"/>
    <s v="New Delhi"/>
    <s v="Groceries"/>
    <n v="4"/>
    <x v="6"/>
    <n v="31"/>
    <n v="431.75"/>
    <n v="1727"/>
  </r>
  <r>
    <d v="2023-12-30T00:00:00"/>
    <s v="South"/>
    <s v="Karnataka"/>
    <s v="Hubli"/>
    <s v="Furniture"/>
    <n v="19"/>
    <x v="7"/>
    <n v="20"/>
    <n v="4411.57"/>
    <n v="83819.83"/>
  </r>
  <r>
    <d v="2023-01-17T00:00:00"/>
    <s v="South"/>
    <s v="Karnataka"/>
    <s v="Mysuru"/>
    <s v="Electronics"/>
    <n v="8"/>
    <x v="8"/>
    <n v="34"/>
    <n v="918.76"/>
    <n v="7350.08"/>
  </r>
  <r>
    <d v="2023-06-19T00:00:00"/>
    <s v="West"/>
    <s v="Gujarat"/>
    <s v="Surat"/>
    <s v="Stationery"/>
    <n v="13"/>
    <x v="9"/>
    <n v="40"/>
    <n v="1767.86"/>
    <n v="22982.18"/>
  </r>
  <r>
    <d v="2023-08-29T00:00:00"/>
    <s v="South"/>
    <s v="Karnataka"/>
    <s v="Bengaluru"/>
    <s v="Furniture"/>
    <n v="13"/>
    <x v="10"/>
    <n v="50"/>
    <n v="4650.74"/>
    <n v="60459.62"/>
  </r>
  <r>
    <d v="2023-08-04T00:00:00"/>
    <s v="South"/>
    <s v="Karnataka"/>
    <s v="Bengaluru"/>
    <s v="Furniture"/>
    <n v="3"/>
    <x v="11"/>
    <n v="38"/>
    <n v="4876.51"/>
    <n v="14629.53"/>
  </r>
  <r>
    <d v="2023-10-01T00:00:00"/>
    <s v="South"/>
    <s v="Karnataka"/>
    <s v="Bengaluru"/>
    <s v="Groceries"/>
    <n v="16"/>
    <x v="0"/>
    <n v="40"/>
    <n v="4354.03"/>
    <n v="69664.479999999996"/>
  </r>
  <r>
    <d v="2023-10-13T00:00:00"/>
    <s v="South"/>
    <s v="Tamil Nadu"/>
    <s v="Chennai"/>
    <s v="Stationery"/>
    <n v="16"/>
    <x v="1"/>
    <n v="50"/>
    <n v="2682.3"/>
    <n v="42916.800000000003"/>
  </r>
  <r>
    <d v="2023-03-25T00:00:00"/>
    <s v="West"/>
    <s v="Maharashtra"/>
    <s v="Pune"/>
    <s v="Stationery"/>
    <n v="16"/>
    <x v="2"/>
    <n v="20"/>
    <n v="328.65"/>
    <n v="5258.4"/>
  </r>
  <r>
    <d v="2023-11-21T00:00:00"/>
    <s v="West"/>
    <s v="Maharashtra"/>
    <s v="Nagpur"/>
    <s v="Clothing"/>
    <n v="13"/>
    <x v="3"/>
    <n v="30"/>
    <n v="1198.5"/>
    <n v="15580.5"/>
  </r>
  <r>
    <d v="2023-07-09T00:00:00"/>
    <s v="North"/>
    <s v="Delhi"/>
    <s v="New Delhi"/>
    <s v="Clothing"/>
    <n v="17"/>
    <x v="4"/>
    <n v="36"/>
    <n v="3679.89"/>
    <n v="62558.13"/>
  </r>
  <r>
    <d v="2023-06-03T00:00:00"/>
    <s v="South"/>
    <s v="Tamil Nadu"/>
    <s v="Chennai"/>
    <s v="Clothing"/>
    <n v="1"/>
    <x v="5"/>
    <n v="39"/>
    <n v="696.38"/>
    <n v="696.38"/>
  </r>
  <r>
    <d v="2023-06-12T00:00:00"/>
    <s v="South"/>
    <s v="Tamil Nadu"/>
    <s v="Chennai"/>
    <s v="Stationery"/>
    <n v="13"/>
    <x v="6"/>
    <n v="34"/>
    <n v="3551.21"/>
    <n v="46165.73"/>
  </r>
  <r>
    <d v="2023-11-01T00:00:00"/>
    <s v="South"/>
    <s v="Tamil Nadu"/>
    <s v="Coimbatore"/>
    <s v="Electronics"/>
    <n v="18"/>
    <x v="7"/>
    <n v="46"/>
    <n v="262.12"/>
    <n v="4718.16"/>
  </r>
  <r>
    <d v="2023-12-06T00:00:00"/>
    <s v="South"/>
    <s v="Karnataka"/>
    <s v="Mysuru"/>
    <s v="Electronics"/>
    <n v="16"/>
    <x v="8"/>
    <n v="54"/>
    <n v="3897.57"/>
    <n v="62361.120000000003"/>
  </r>
  <r>
    <d v="2023-04-17T00:00:00"/>
    <s v="South"/>
    <s v="Karnataka"/>
    <s v="Hubli"/>
    <s v="Clothing"/>
    <n v="1"/>
    <x v="9"/>
    <n v="33"/>
    <n v="3042.8"/>
    <n v="3042.8"/>
  </r>
  <r>
    <d v="2023-11-28T00:00:00"/>
    <s v="West"/>
    <s v="Gujarat"/>
    <s v="Surat"/>
    <s v="Furniture"/>
    <n v="20"/>
    <x v="10"/>
    <n v="45"/>
    <n v="4066.74"/>
    <n v="81334.8"/>
  </r>
  <r>
    <d v="2023-10-11T00:00:00"/>
    <s v="South"/>
    <s v="Karnataka"/>
    <s v="Bengaluru"/>
    <s v="Stationery"/>
    <n v="11"/>
    <x v="11"/>
    <n v="26"/>
    <n v="4066.2"/>
    <n v="44728.2"/>
  </r>
  <r>
    <d v="2023-03-14T00:00:00"/>
    <s v="South"/>
    <s v="Karnataka"/>
    <s v="Mysuru"/>
    <s v="Furniture"/>
    <n v="19"/>
    <x v="0"/>
    <n v="18"/>
    <n v="1398.49"/>
    <n v="26571.31"/>
  </r>
  <r>
    <d v="2023-07-01T00:00:00"/>
    <s v="West"/>
    <s v="Maharashtra"/>
    <s v="Mumbai"/>
    <s v="Furniture"/>
    <n v="11"/>
    <x v="1"/>
    <n v="52"/>
    <n v="3969.39"/>
    <n v="43663.29"/>
  </r>
  <r>
    <d v="2023-12-04T00:00:00"/>
    <s v="South"/>
    <s v="Tamil Nadu"/>
    <s v="Madurai"/>
    <s v="Furniture"/>
    <n v="7"/>
    <x v="2"/>
    <n v="37"/>
    <n v="4720.63"/>
    <n v="33044.410000000003"/>
  </r>
  <r>
    <d v="2023-10-15T00:00:00"/>
    <s v="West"/>
    <s v="Gujarat"/>
    <s v="Surat"/>
    <s v="Clothing"/>
    <n v="1"/>
    <x v="3"/>
    <n v="50"/>
    <n v="3658.84"/>
    <n v="3658.84"/>
  </r>
  <r>
    <d v="2023-06-06T00:00:00"/>
    <s v="West"/>
    <s v="Maharashtra"/>
    <s v="Nagpur"/>
    <s v="Clothing"/>
    <n v="1"/>
    <x v="4"/>
    <n v="47"/>
    <n v="4681.07"/>
    <n v="4681.07"/>
  </r>
  <r>
    <d v="2023-11-16T00:00:00"/>
    <s v="South"/>
    <s v="Tamil Nadu"/>
    <s v="Coimbatore"/>
    <s v="Stationery"/>
    <n v="11"/>
    <x v="5"/>
    <n v="47"/>
    <n v="4089.16"/>
    <n v="44980.76"/>
  </r>
  <r>
    <d v="2023-12-15T00:00:00"/>
    <s v="North"/>
    <s v="Delhi"/>
    <s v="New Delhi"/>
    <s v="Furniture"/>
    <n v="13"/>
    <x v="6"/>
    <n v="19"/>
    <n v="3069.28"/>
    <n v="39900.639999999999"/>
  </r>
  <r>
    <d v="2023-03-07T00:00:00"/>
    <s v="South"/>
    <s v="Tamil Nadu"/>
    <s v="Madurai"/>
    <s v="Clothing"/>
    <n v="4"/>
    <x v="7"/>
    <n v="27"/>
    <n v="1385.95"/>
    <n v="5543.8"/>
  </r>
  <r>
    <d v="2023-07-05T00:00:00"/>
    <s v="South"/>
    <s v="Tamil Nadu"/>
    <s v="Coimbatore"/>
    <s v="Clothing"/>
    <n v="14"/>
    <x v="8"/>
    <n v="29"/>
    <n v="1770.36"/>
    <n v="24785.040000000001"/>
  </r>
  <r>
    <d v="2023-02-22T00:00:00"/>
    <s v="North"/>
    <s v="Delhi"/>
    <s v="Dwarka"/>
    <s v="Electronics"/>
    <n v="3"/>
    <x v="9"/>
    <n v="22"/>
    <n v="4020.68"/>
    <n v="12062.04"/>
  </r>
  <r>
    <d v="2023-03-19T00:00:00"/>
    <s v="West"/>
    <s v="Maharashtra"/>
    <s v="Nagpur"/>
    <s v="Electronics"/>
    <n v="9"/>
    <x v="10"/>
    <n v="34"/>
    <n v="4953.3999999999996"/>
    <n v="44580.6"/>
  </r>
  <r>
    <d v="2023-11-09T00:00:00"/>
    <s v="West"/>
    <s v="Gujarat"/>
    <s v="Vadodara"/>
    <s v="Electronics"/>
    <n v="7"/>
    <x v="11"/>
    <n v="35"/>
    <n v="1729.24"/>
    <n v="12104.68"/>
  </r>
  <r>
    <d v="2023-11-25T00:00:00"/>
    <s v="South"/>
    <s v="Karnataka"/>
    <s v="Mysuru"/>
    <s v="Groceries"/>
    <n v="15"/>
    <x v="0"/>
    <n v="28"/>
    <n v="534.41999999999996"/>
    <n v="8016.3"/>
  </r>
  <r>
    <d v="2023-09-17T00:00:00"/>
    <s v="North"/>
    <s v="Delhi"/>
    <s v="Dwarka"/>
    <s v="Groceries"/>
    <n v="12"/>
    <x v="1"/>
    <n v="26"/>
    <n v="4378.41"/>
    <n v="52540.92"/>
  </r>
  <r>
    <d v="2023-02-24T00:00:00"/>
    <s v="South"/>
    <s v="Karnataka"/>
    <s v="Bengaluru"/>
    <s v="Groceries"/>
    <n v="16"/>
    <x v="2"/>
    <n v="30"/>
    <n v="3931.95"/>
    <n v="62911.199999999997"/>
  </r>
  <r>
    <d v="2023-12-26T00:00:00"/>
    <s v="South"/>
    <s v="Tamil Nadu"/>
    <s v="Coimbatore"/>
    <s v="Clothing"/>
    <n v="20"/>
    <x v="3"/>
    <n v="19"/>
    <n v="3751.01"/>
    <n v="75020.2"/>
  </r>
  <r>
    <d v="2023-03-23T00:00:00"/>
    <s v="North"/>
    <s v="Delhi"/>
    <s v="Karol Bagh"/>
    <s v="Clothing"/>
    <n v="20"/>
    <x v="4"/>
    <n v="24"/>
    <n v="2580.02"/>
    <n v="51600.4"/>
  </r>
  <r>
    <d v="2023-10-24T00:00:00"/>
    <s v="South"/>
    <s v="Karnataka"/>
    <s v="Bengaluru"/>
    <s v="Clothing"/>
    <n v="3"/>
    <x v="5"/>
    <n v="24"/>
    <n v="468.7"/>
    <n v="1406.1"/>
  </r>
  <r>
    <d v="2023-03-25T00:00:00"/>
    <s v="North"/>
    <s v="Delhi"/>
    <s v="Dwarka"/>
    <s v="Clothing"/>
    <n v="6"/>
    <x v="6"/>
    <n v="26"/>
    <n v="3125.31"/>
    <n v="18751.86"/>
  </r>
  <r>
    <d v="2023-05-31T00:00:00"/>
    <s v="West"/>
    <s v="Gujarat"/>
    <s v="Vadodara"/>
    <s v="Clothing"/>
    <n v="19"/>
    <x v="7"/>
    <n v="55"/>
    <n v="1641.98"/>
    <n v="31197.62"/>
  </r>
  <r>
    <d v="2023-10-04T00:00:00"/>
    <s v="South"/>
    <s v="Tamil Nadu"/>
    <s v="Coimbatore"/>
    <s v="Clothing"/>
    <n v="17"/>
    <x v="8"/>
    <n v="25"/>
    <n v="463.54"/>
    <n v="7880.18"/>
  </r>
  <r>
    <d v="2023-09-11T00:00:00"/>
    <s v="South"/>
    <s v="Karnataka"/>
    <s v="Bengaluru"/>
    <s v="Clothing"/>
    <n v="17"/>
    <x v="9"/>
    <n v="44"/>
    <n v="4088.77"/>
    <n v="69509.09"/>
  </r>
  <r>
    <d v="2023-10-03T00:00:00"/>
    <s v="South"/>
    <s v="Karnataka"/>
    <s v="Mysuru"/>
    <s v="Electronics"/>
    <n v="17"/>
    <x v="10"/>
    <n v="32"/>
    <n v="1194.33"/>
    <n v="20303.61"/>
  </r>
  <r>
    <d v="2023-12-23T00:00:00"/>
    <s v="West"/>
    <s v="Gujarat"/>
    <s v="Ahmedabad"/>
    <s v="Electronics"/>
    <n v="14"/>
    <x v="11"/>
    <n v="18"/>
    <n v="1215.6199999999999"/>
    <n v="17018.68"/>
  </r>
  <r>
    <d v="2023-05-16T00:00:00"/>
    <s v="South"/>
    <s v="Tamil Nadu"/>
    <s v="Chennai"/>
    <s v="Stationery"/>
    <n v="5"/>
    <x v="0"/>
    <n v="25"/>
    <n v="4619.16"/>
    <n v="23095.8"/>
  </r>
  <r>
    <d v="2023-02-08T00:00:00"/>
    <s v="South"/>
    <s v="Karnataka"/>
    <s v="Bengaluru"/>
    <s v="Stationery"/>
    <n v="6"/>
    <x v="1"/>
    <n v="52"/>
    <n v="3277.95"/>
    <n v="19667.7"/>
  </r>
  <r>
    <d v="2023-01-03T00:00:00"/>
    <s v="West"/>
    <s v="Gujarat"/>
    <s v="Ahmedabad"/>
    <s v="Furniture"/>
    <n v="11"/>
    <x v="2"/>
    <n v="47"/>
    <n v="4205.55"/>
    <n v="46261.05"/>
  </r>
  <r>
    <d v="2023-10-10T00:00:00"/>
    <s v="West"/>
    <s v="Maharashtra"/>
    <s v="Mumbai"/>
    <s v="Groceries"/>
    <n v="5"/>
    <x v="3"/>
    <n v="32"/>
    <n v="800.88"/>
    <n v="4004.4"/>
  </r>
  <r>
    <d v="2023-07-09T00:00:00"/>
    <s v="South"/>
    <s v="Tamil Nadu"/>
    <s v="Chennai"/>
    <s v="Electronics"/>
    <n v="4"/>
    <x v="4"/>
    <n v="49"/>
    <n v="3022.72"/>
    <n v="12090.88"/>
  </r>
  <r>
    <d v="2023-12-25T00:00:00"/>
    <s v="West"/>
    <s v="Gujarat"/>
    <s v="Vadodara"/>
    <s v="Stationery"/>
    <n v="2"/>
    <x v="5"/>
    <n v="46"/>
    <n v="2171.79"/>
    <n v="4343.58"/>
  </r>
  <r>
    <d v="2023-03-27T00:00:00"/>
    <s v="North"/>
    <s v="Delhi"/>
    <s v="New Delhi"/>
    <s v="Stationery"/>
    <n v="9"/>
    <x v="6"/>
    <n v="41"/>
    <n v="1667.06"/>
    <n v="15003.54"/>
  </r>
  <r>
    <d v="2023-06-27T00:00:00"/>
    <s v="West"/>
    <s v="Gujarat"/>
    <s v="Vadodara"/>
    <s v="Groceries"/>
    <n v="6"/>
    <x v="7"/>
    <n v="32"/>
    <n v="1985.97"/>
    <n v="11915.82"/>
  </r>
  <r>
    <d v="2023-01-24T00:00:00"/>
    <s v="West"/>
    <s v="Maharashtra"/>
    <s v="Nagpur"/>
    <s v="Stationery"/>
    <n v="15"/>
    <x v="8"/>
    <n v="17"/>
    <n v="2706.66"/>
    <n v="40599.9"/>
  </r>
  <r>
    <d v="2023-09-24T00:00:00"/>
    <s v="South"/>
    <s v="Tamil Nadu"/>
    <s v="Coimbatore"/>
    <s v="Furniture"/>
    <n v="16"/>
    <x v="9"/>
    <n v="25"/>
    <n v="2793.48"/>
    <n v="44695.68"/>
  </r>
  <r>
    <d v="2023-08-24T00:00:00"/>
    <s v="West"/>
    <s v="Gujarat"/>
    <s v="Vadodara"/>
    <s v="Clothing"/>
    <n v="16"/>
    <x v="10"/>
    <n v="44"/>
    <n v="2666.78"/>
    <n v="42668.480000000003"/>
  </r>
  <r>
    <d v="2023-11-15T00:00:00"/>
    <s v="North"/>
    <s v="Delhi"/>
    <s v="Karol Bagh"/>
    <s v="Groceries"/>
    <n v="13"/>
    <x v="11"/>
    <n v="37"/>
    <n v="864.09"/>
    <n v="11233.17"/>
  </r>
  <r>
    <d v="2023-02-19T00:00:00"/>
    <s v="West"/>
    <s v="Gujarat"/>
    <s v="Surat"/>
    <s v="Clothing"/>
    <n v="19"/>
    <x v="0"/>
    <n v="18"/>
    <n v="3649.75"/>
    <n v="69345.25"/>
  </r>
  <r>
    <d v="2023-03-28T00:00:00"/>
    <s v="West"/>
    <s v="Gujarat"/>
    <s v="Vadodara"/>
    <s v="Clothing"/>
    <n v="10"/>
    <x v="1"/>
    <n v="39"/>
    <n v="4718.03"/>
    <n v="47180.3"/>
  </r>
  <r>
    <d v="2023-08-22T00:00:00"/>
    <s v="West"/>
    <s v="Maharashtra"/>
    <s v="Nagpur"/>
    <s v="Furniture"/>
    <n v="5"/>
    <x v="2"/>
    <n v="24"/>
    <n v="4386.2"/>
    <n v="21931"/>
  </r>
  <r>
    <d v="2023-07-03T00:00:00"/>
    <s v="South"/>
    <s v="Tamil Nadu"/>
    <s v="Madurai"/>
    <s v="Groceries"/>
    <n v="3"/>
    <x v="3"/>
    <n v="31"/>
    <n v="2966.4"/>
    <n v="8899.2000000000007"/>
  </r>
  <r>
    <d v="2023-11-13T00:00:00"/>
    <s v="West"/>
    <s v="Maharashtra"/>
    <s v="Mumbai"/>
    <s v="Furniture"/>
    <n v="12"/>
    <x v="4"/>
    <n v="32"/>
    <n v="3074.45"/>
    <n v="36893.4"/>
  </r>
  <r>
    <d v="2023-07-11T00:00:00"/>
    <s v="South"/>
    <s v="Tamil Nadu"/>
    <s v="Coimbatore"/>
    <s v="Groceries"/>
    <n v="10"/>
    <x v="5"/>
    <n v="43"/>
    <n v="3122.59"/>
    <n v="31225.9"/>
  </r>
  <r>
    <d v="2023-12-04T00:00:00"/>
    <s v="South"/>
    <s v="Karnataka"/>
    <s v="Mysuru"/>
    <s v="Stationery"/>
    <n v="10"/>
    <x v="6"/>
    <n v="33"/>
    <n v="3964.05"/>
    <n v="39640.5"/>
  </r>
  <r>
    <d v="2023-01-16T00:00:00"/>
    <s v="West"/>
    <s v="Gujarat"/>
    <s v="Surat"/>
    <s v="Electronics"/>
    <n v="18"/>
    <x v="7"/>
    <n v="49"/>
    <n v="3561.06"/>
    <n v="64099.08"/>
  </r>
  <r>
    <d v="2023-12-10T00:00:00"/>
    <s v="West"/>
    <s v="Gujarat"/>
    <s v="Surat"/>
    <s v="Electronics"/>
    <n v="4"/>
    <x v="8"/>
    <n v="48"/>
    <n v="1208.21"/>
    <n v="4832.84"/>
  </r>
  <r>
    <d v="2023-11-22T00:00:00"/>
    <s v="North"/>
    <s v="Delhi"/>
    <s v="New Delhi"/>
    <s v="Stationery"/>
    <n v="9"/>
    <x v="9"/>
    <n v="26"/>
    <n v="3552.02"/>
    <n v="31968.18"/>
  </r>
  <r>
    <d v="2023-12-26T00:00:00"/>
    <s v="West"/>
    <s v="Gujarat"/>
    <s v="Vadodara"/>
    <s v="Clothing"/>
    <n v="14"/>
    <x v="10"/>
    <n v="49"/>
    <n v="2260.17"/>
    <n v="31642.38"/>
  </r>
  <r>
    <d v="2023-12-26T00:00:00"/>
    <s v="South"/>
    <s v="Tamil Nadu"/>
    <s v="Coimbatore"/>
    <s v="Furniture"/>
    <n v="7"/>
    <x v="11"/>
    <n v="37"/>
    <n v="2557.77"/>
    <n v="17904.39"/>
  </r>
  <r>
    <d v="2023-11-13T00:00:00"/>
    <s v="South"/>
    <s v="Karnataka"/>
    <s v="Mysuru"/>
    <s v="Stationery"/>
    <n v="2"/>
    <x v="0"/>
    <n v="20"/>
    <n v="2914.14"/>
    <n v="5828.28"/>
  </r>
  <r>
    <d v="2023-12-09T00:00:00"/>
    <s v="North"/>
    <s v="Delhi"/>
    <s v="Dwarka"/>
    <s v="Stationery"/>
    <n v="12"/>
    <x v="1"/>
    <n v="28"/>
    <n v="2726.43"/>
    <n v="32717.16"/>
  </r>
  <r>
    <d v="2023-12-01T00:00:00"/>
    <s v="South"/>
    <s v="Karnataka"/>
    <s v="Bengaluru"/>
    <s v="Clothing"/>
    <n v="10"/>
    <x v="2"/>
    <n v="44"/>
    <n v="3950.06"/>
    <n v="39500.6"/>
  </r>
  <r>
    <d v="2023-07-03T00:00:00"/>
    <s v="South"/>
    <s v="Tamil Nadu"/>
    <s v="Madurai"/>
    <s v="Clothing"/>
    <n v="3"/>
    <x v="3"/>
    <n v="32"/>
    <n v="4999.6899999999996"/>
    <n v="14999.07"/>
  </r>
  <r>
    <d v="2023-10-10T00:00:00"/>
    <s v="West"/>
    <s v="Maharashtra"/>
    <s v="Mumbai"/>
    <s v="Stationery"/>
    <n v="15"/>
    <x v="4"/>
    <n v="25"/>
    <n v="4657.82"/>
    <n v="69867.3"/>
  </r>
  <r>
    <d v="2023-07-01T00:00:00"/>
    <s v="South"/>
    <s v="Tamil Nadu"/>
    <s v="Coimbatore"/>
    <s v="Furniture"/>
    <n v="2"/>
    <x v="5"/>
    <n v="34"/>
    <n v="4997.2299999999996"/>
    <n v="9994.4599999999991"/>
  </r>
  <r>
    <d v="2023-07-21T00:00:00"/>
    <s v="South"/>
    <s v="Tamil Nadu"/>
    <s v="Coimbatore"/>
    <s v="Clothing"/>
    <n v="15"/>
    <x v="6"/>
    <n v="30"/>
    <n v="4579.29"/>
    <n v="68689.350000000006"/>
  </r>
  <r>
    <d v="2023-11-15T00:00:00"/>
    <s v="West"/>
    <s v="Gujarat"/>
    <s v="Surat"/>
    <s v="Electronics"/>
    <n v="5"/>
    <x v="7"/>
    <n v="55"/>
    <n v="3619.58"/>
    <n v="18097.900000000001"/>
  </r>
  <r>
    <d v="2023-12-19T00:00:00"/>
    <s v="South"/>
    <s v="Tamil Nadu"/>
    <s v="Madurai"/>
    <s v="Groceries"/>
    <n v="11"/>
    <x v="8"/>
    <n v="28"/>
    <n v="1389.59"/>
    <n v="15285.49"/>
  </r>
  <r>
    <d v="2023-12-24T00:00:00"/>
    <s v="South"/>
    <s v="Tamil Nadu"/>
    <s v="Coimbatore"/>
    <s v="Furniture"/>
    <n v="9"/>
    <x v="9"/>
    <n v="47"/>
    <n v="1302.45"/>
    <n v="11722.05"/>
  </r>
  <r>
    <d v="2023-09-24T00:00:00"/>
    <s v="West"/>
    <s v="Gujarat"/>
    <s v="Surat"/>
    <s v="Stationery"/>
    <n v="10"/>
    <x v="10"/>
    <n v="24"/>
    <n v="743.68"/>
    <n v="7436.8"/>
  </r>
  <r>
    <d v="2023-10-14T00:00:00"/>
    <s v="South"/>
    <s v="Tamil Nadu"/>
    <s v="Chennai"/>
    <s v="Groceries"/>
    <n v="5"/>
    <x v="11"/>
    <n v="38"/>
    <n v="1445.72"/>
    <n v="7228.6"/>
  </r>
  <r>
    <d v="2023-07-05T00:00:00"/>
    <s v="North"/>
    <s v="Delhi"/>
    <s v="New Delhi"/>
    <s v="Electronics"/>
    <n v="10"/>
    <x v="0"/>
    <n v="19"/>
    <n v="3411.13"/>
    <n v="34111.300000000003"/>
  </r>
  <r>
    <d v="2023-03-14T00:00:00"/>
    <s v="North"/>
    <s v="Delhi"/>
    <s v="New Delhi"/>
    <s v="Stationery"/>
    <n v="20"/>
    <x v="1"/>
    <n v="40"/>
    <n v="3069.92"/>
    <n v="61398.400000000001"/>
  </r>
  <r>
    <d v="2023-03-08T00:00:00"/>
    <s v="North"/>
    <s v="Delhi"/>
    <s v="Karol Bagh"/>
    <s v="Electronics"/>
    <n v="11"/>
    <x v="2"/>
    <n v="49"/>
    <n v="377.1"/>
    <n v="4148.1000000000004"/>
  </r>
  <r>
    <d v="2023-06-03T00:00:00"/>
    <s v="South"/>
    <s v="Karnataka"/>
    <s v="Bengaluru"/>
    <s v="Clothing"/>
    <n v="9"/>
    <x v="3"/>
    <n v="31"/>
    <n v="203.38"/>
    <n v="1830.42"/>
  </r>
  <r>
    <d v="2023-04-05T00:00:00"/>
    <s v="South"/>
    <s v="Karnataka"/>
    <s v="Hubli"/>
    <s v="Groceries"/>
    <n v="6"/>
    <x v="4"/>
    <n v="32"/>
    <n v="3457.43"/>
    <n v="20744.580000000002"/>
  </r>
  <r>
    <d v="2023-08-16T00:00:00"/>
    <s v="West"/>
    <s v="Maharashtra"/>
    <s v="Nagpur"/>
    <s v="Furniture"/>
    <n v="11"/>
    <x v="5"/>
    <n v="23"/>
    <n v="3646.35"/>
    <n v="40109.85"/>
  </r>
  <r>
    <d v="2023-03-12T00:00:00"/>
    <s v="South"/>
    <s v="Karnataka"/>
    <s v="Hubli"/>
    <s v="Stationery"/>
    <n v="6"/>
    <x v="6"/>
    <n v="25"/>
    <n v="827.78"/>
    <n v="4966.68"/>
  </r>
  <r>
    <d v="2023-02-28T00:00:00"/>
    <s v="South"/>
    <s v="Karnataka"/>
    <s v="Hubli"/>
    <s v="Stationery"/>
    <n v="18"/>
    <x v="7"/>
    <n v="39"/>
    <n v="3102.47"/>
    <n v="55844.46"/>
  </r>
  <r>
    <d v="2023-02-18T00:00:00"/>
    <s v="West"/>
    <s v="Gujarat"/>
    <s v="Ahmedabad"/>
    <s v="Stationery"/>
    <n v="9"/>
    <x v="8"/>
    <n v="35"/>
    <n v="2677.7"/>
    <n v="24099.3"/>
  </r>
  <r>
    <d v="2023-04-21T00:00:00"/>
    <s v="South"/>
    <s v="Karnataka"/>
    <s v="Hubli"/>
    <s v="Stationery"/>
    <n v="17"/>
    <x v="9"/>
    <n v="49"/>
    <n v="1071.3"/>
    <n v="18212.099999999999"/>
  </r>
  <r>
    <d v="2023-07-06T00:00:00"/>
    <s v="South"/>
    <s v="Tamil Nadu"/>
    <s v="Coimbatore"/>
    <s v="Groceries"/>
    <n v="9"/>
    <x v="10"/>
    <n v="29"/>
    <n v="3395.02"/>
    <n v="30555.18"/>
  </r>
  <r>
    <d v="2023-08-23T00:00:00"/>
    <s v="South"/>
    <s v="Tamil Nadu"/>
    <s v="Coimbatore"/>
    <s v="Groceries"/>
    <n v="12"/>
    <x v="11"/>
    <n v="16"/>
    <n v="3932.48"/>
    <n v="47189.760000000002"/>
  </r>
  <r>
    <d v="2023-08-20T00:00:00"/>
    <s v="West"/>
    <s v="Maharashtra"/>
    <s v="Nagpur"/>
    <s v="Stationery"/>
    <n v="2"/>
    <x v="0"/>
    <n v="54"/>
    <n v="3385.43"/>
    <n v="6770.86"/>
  </r>
  <r>
    <d v="2023-01-15T00:00:00"/>
    <s v="South"/>
    <s v="Karnataka"/>
    <s v="Hubli"/>
    <s v="Clothing"/>
    <n v="7"/>
    <x v="1"/>
    <n v="16"/>
    <n v="3070.09"/>
    <n v="21490.63"/>
  </r>
  <r>
    <d v="2023-01-03T00:00:00"/>
    <s v="West"/>
    <s v="Gujarat"/>
    <s v="Surat"/>
    <s v="Clothing"/>
    <n v="12"/>
    <x v="2"/>
    <n v="55"/>
    <n v="1169.8399999999999"/>
    <n v="14038.08"/>
  </r>
  <r>
    <d v="2023-07-27T00:00:00"/>
    <s v="West"/>
    <s v="Maharashtra"/>
    <s v="Nagpur"/>
    <s v="Electronics"/>
    <n v="12"/>
    <x v="3"/>
    <n v="23"/>
    <n v="1333.81"/>
    <n v="16005.72"/>
  </r>
  <r>
    <d v="2023-02-09T00:00:00"/>
    <s v="South"/>
    <s v="Tamil Nadu"/>
    <s v="Madurai"/>
    <s v="Groceries"/>
    <n v="1"/>
    <x v="4"/>
    <n v="43"/>
    <n v="3964.37"/>
    <n v="3964.37"/>
  </r>
  <r>
    <d v="2023-06-27T00:00:00"/>
    <s v="South"/>
    <s v="Karnataka"/>
    <s v="Hubli"/>
    <s v="Electronics"/>
    <n v="8"/>
    <x v="5"/>
    <n v="25"/>
    <n v="720.07"/>
    <n v="5760.56"/>
  </r>
  <r>
    <d v="2023-09-08T00:00:00"/>
    <s v="North"/>
    <s v="Delhi"/>
    <s v="New Delhi"/>
    <s v="Furniture"/>
    <n v="17"/>
    <x v="6"/>
    <n v="49"/>
    <n v="4033.84"/>
    <n v="68575.28"/>
  </r>
  <r>
    <d v="2023-01-09T00:00:00"/>
    <s v="North"/>
    <s v="Delhi"/>
    <s v="New Delhi"/>
    <s v="Electronics"/>
    <n v="16"/>
    <x v="7"/>
    <n v="29"/>
    <n v="3625.28"/>
    <n v="58004.480000000003"/>
  </r>
  <r>
    <d v="2023-07-11T00:00:00"/>
    <s v="South"/>
    <s v="Karnataka"/>
    <s v="Mysuru"/>
    <s v="Electronics"/>
    <n v="9"/>
    <x v="8"/>
    <n v="21"/>
    <n v="773.71"/>
    <n v="6963.39"/>
  </r>
  <r>
    <d v="2023-05-09T00:00:00"/>
    <s v="South"/>
    <s v="Karnataka"/>
    <s v="Hubli"/>
    <s v="Electronics"/>
    <n v="18"/>
    <x v="9"/>
    <n v="27"/>
    <n v="696.83"/>
    <n v="12542.94"/>
  </r>
  <r>
    <d v="2023-04-15T00:00:00"/>
    <s v="South"/>
    <s v="Tamil Nadu"/>
    <s v="Madurai"/>
    <s v="Furniture"/>
    <n v="13"/>
    <x v="10"/>
    <n v="39"/>
    <n v="1466.66"/>
    <n v="19066.580000000002"/>
  </r>
  <r>
    <d v="2023-08-08T00:00:00"/>
    <s v="West"/>
    <s v="Gujarat"/>
    <s v="Vadodara"/>
    <s v="Groceries"/>
    <n v="8"/>
    <x v="11"/>
    <n v="46"/>
    <n v="1927.88"/>
    <n v="15423.04"/>
  </r>
  <r>
    <d v="2023-09-18T00:00:00"/>
    <s v="South"/>
    <s v="Tamil Nadu"/>
    <s v="Madurai"/>
    <s v="Groceries"/>
    <n v="12"/>
    <x v="0"/>
    <n v="27"/>
    <n v="1947.14"/>
    <n v="23365.68"/>
  </r>
  <r>
    <d v="2023-04-13T00:00:00"/>
    <s v="South"/>
    <s v="Tamil Nadu"/>
    <s v="Coimbatore"/>
    <s v="Furniture"/>
    <n v="1"/>
    <x v="1"/>
    <n v="31"/>
    <n v="632.39"/>
    <n v="632.39"/>
  </r>
  <r>
    <d v="2023-05-13T00:00:00"/>
    <s v="North"/>
    <s v="Delhi"/>
    <s v="New Delhi"/>
    <s v="Groceries"/>
    <n v="10"/>
    <x v="2"/>
    <n v="30"/>
    <n v="4092.05"/>
    <n v="40920.5"/>
  </r>
  <r>
    <d v="2023-03-01T00:00:00"/>
    <s v="West"/>
    <s v="Gujarat"/>
    <s v="Vadodara"/>
    <s v="Electronics"/>
    <n v="6"/>
    <x v="3"/>
    <n v="44"/>
    <n v="2609.65"/>
    <n v="15657.9"/>
  </r>
  <r>
    <d v="2023-02-21T00:00:00"/>
    <s v="North"/>
    <s v="Delhi"/>
    <s v="New Delhi"/>
    <s v="Groceries"/>
    <n v="6"/>
    <x v="4"/>
    <n v="36"/>
    <n v="4219.6099999999997"/>
    <n v="25317.66"/>
  </r>
  <r>
    <d v="2023-06-04T00:00:00"/>
    <s v="South"/>
    <s v="Tamil Nadu"/>
    <s v="Madurai"/>
    <s v="Clothing"/>
    <n v="11"/>
    <x v="5"/>
    <n v="42"/>
    <n v="1703.12"/>
    <n v="18734.32"/>
  </r>
  <r>
    <d v="2023-01-02T00:00:00"/>
    <s v="West"/>
    <s v="Gujarat"/>
    <s v="Ahmedabad"/>
    <s v="Groceries"/>
    <n v="11"/>
    <x v="6"/>
    <n v="44"/>
    <n v="548.91999999999996"/>
    <n v="6038.12"/>
  </r>
  <r>
    <d v="2023-06-15T00:00:00"/>
    <s v="South"/>
    <s v="Tamil Nadu"/>
    <s v="Madurai"/>
    <s v="Groceries"/>
    <n v="20"/>
    <x v="7"/>
    <n v="38"/>
    <n v="3684.86"/>
    <n v="73697.2"/>
  </r>
  <r>
    <d v="2023-04-05T00:00:00"/>
    <s v="West"/>
    <s v="Gujarat"/>
    <s v="Vadodara"/>
    <s v="Furniture"/>
    <n v="13"/>
    <x v="8"/>
    <n v="22"/>
    <n v="2351.59"/>
    <n v="30570.67"/>
  </r>
  <r>
    <d v="2023-09-04T00:00:00"/>
    <s v="South"/>
    <s v="Tamil Nadu"/>
    <s v="Coimbatore"/>
    <s v="Furniture"/>
    <n v="8"/>
    <x v="9"/>
    <n v="22"/>
    <n v="1410.46"/>
    <n v="11283.68"/>
  </r>
  <r>
    <d v="2023-06-18T00:00:00"/>
    <s v="South"/>
    <s v="Karnataka"/>
    <s v="Bengaluru"/>
    <s v="Groceries"/>
    <n v="2"/>
    <x v="10"/>
    <n v="36"/>
    <n v="4032.05"/>
    <n v="8064.1"/>
  </r>
  <r>
    <d v="2023-05-15T00:00:00"/>
    <s v="South"/>
    <s v="Tamil Nadu"/>
    <s v="Madurai"/>
    <s v="Electronics"/>
    <n v="16"/>
    <x v="11"/>
    <n v="42"/>
    <n v="325.52"/>
    <n v="5208.32"/>
  </r>
  <r>
    <d v="2023-07-05T00:00:00"/>
    <s v="West"/>
    <s v="Gujarat"/>
    <s v="Ahmedabad"/>
    <s v="Stationery"/>
    <n v="17"/>
    <x v="0"/>
    <n v="43"/>
    <n v="4427.79"/>
    <n v="75272.429999999993"/>
  </r>
  <r>
    <d v="2023-03-19T00:00:00"/>
    <s v="South"/>
    <s v="Tamil Nadu"/>
    <s v="Coimbatore"/>
    <s v="Groceries"/>
    <n v="6"/>
    <x v="1"/>
    <n v="55"/>
    <n v="484.95"/>
    <n v="2909.7"/>
  </r>
  <r>
    <d v="2023-05-01T00:00:00"/>
    <s v="West"/>
    <s v="Maharashtra"/>
    <s v="Mumbai"/>
    <s v="Groceries"/>
    <n v="5"/>
    <x v="2"/>
    <n v="49"/>
    <n v="1204.6400000000001"/>
    <n v="6023.2"/>
  </r>
  <r>
    <d v="2023-04-26T00:00:00"/>
    <s v="South"/>
    <s v="Karnataka"/>
    <s v="Hubli"/>
    <s v="Clothing"/>
    <n v="18"/>
    <x v="3"/>
    <n v="47"/>
    <n v="1576.88"/>
    <n v="28383.84"/>
  </r>
  <r>
    <d v="2023-12-05T00:00:00"/>
    <s v="South"/>
    <s v="Tamil Nadu"/>
    <s v="Coimbatore"/>
    <s v="Electronics"/>
    <n v="13"/>
    <x v="4"/>
    <n v="52"/>
    <n v="3190.8"/>
    <n v="41480.400000000001"/>
  </r>
  <r>
    <d v="2023-11-28T00:00:00"/>
    <s v="South"/>
    <s v="Tamil Nadu"/>
    <s v="Madurai"/>
    <s v="Groceries"/>
    <n v="13"/>
    <x v="5"/>
    <n v="38"/>
    <n v="2347.66"/>
    <n v="30519.58"/>
  </r>
  <r>
    <d v="2023-01-16T00:00:00"/>
    <s v="West"/>
    <s v="Gujarat"/>
    <s v="Vadodara"/>
    <s v="Furniture"/>
    <n v="18"/>
    <x v="6"/>
    <n v="44"/>
    <n v="3524.11"/>
    <n v="63433.98"/>
  </r>
  <r>
    <d v="2023-03-30T00:00:00"/>
    <s v="West"/>
    <s v="Gujarat"/>
    <s v="Vadodara"/>
    <s v="Groceries"/>
    <n v="9"/>
    <x v="7"/>
    <n v="29"/>
    <n v="888.33"/>
    <n v="7994.97"/>
  </r>
  <r>
    <d v="2023-07-06T00:00:00"/>
    <s v="West"/>
    <s v="Gujarat"/>
    <s v="Ahmedabad"/>
    <s v="Groceries"/>
    <n v="8"/>
    <x v="8"/>
    <n v="33"/>
    <n v="1484.56"/>
    <n v="11876.48"/>
  </r>
  <r>
    <d v="2023-09-08T00:00:00"/>
    <s v="West"/>
    <s v="Maharashtra"/>
    <s v="Mumbai"/>
    <s v="Electronics"/>
    <n v="4"/>
    <x v="9"/>
    <n v="44"/>
    <n v="3725.78"/>
    <n v="14903.12"/>
  </r>
  <r>
    <d v="2023-01-13T00:00:00"/>
    <s v="West"/>
    <s v="Maharashtra"/>
    <s v="Pune"/>
    <s v="Stationery"/>
    <n v="18"/>
    <x v="10"/>
    <n v="42"/>
    <n v="4721.4399999999996"/>
    <n v="84985.919999999998"/>
  </r>
  <r>
    <d v="2023-09-02T00:00:00"/>
    <s v="South"/>
    <s v="Tamil Nadu"/>
    <s v="Madurai"/>
    <s v="Furniture"/>
    <n v="15"/>
    <x v="11"/>
    <n v="19"/>
    <n v="4426.4399999999996"/>
    <n v="66396.600000000006"/>
  </r>
  <r>
    <d v="2023-05-06T00:00:00"/>
    <s v="South"/>
    <s v="Karnataka"/>
    <s v="Bengaluru"/>
    <s v="Clothing"/>
    <n v="1"/>
    <x v="0"/>
    <n v="39"/>
    <n v="1219.0999999999999"/>
    <n v="1219.0999999999999"/>
  </r>
  <r>
    <d v="2023-08-14T00:00:00"/>
    <s v="North"/>
    <s v="Delhi"/>
    <s v="Dwarka"/>
    <s v="Clothing"/>
    <n v="8"/>
    <x v="1"/>
    <n v="45"/>
    <n v="2628.31"/>
    <n v="21026.48"/>
  </r>
  <r>
    <d v="2023-12-12T00:00:00"/>
    <s v="South"/>
    <s v="Karnataka"/>
    <s v="Mysuru"/>
    <s v="Electronics"/>
    <n v="18"/>
    <x v="2"/>
    <n v="27"/>
    <n v="2784.49"/>
    <n v="50120.82"/>
  </r>
  <r>
    <d v="2023-08-18T00:00:00"/>
    <s v="West"/>
    <s v="Gujarat"/>
    <s v="Vadodara"/>
    <s v="Groceries"/>
    <n v="16"/>
    <x v="3"/>
    <n v="31"/>
    <n v="1907.95"/>
    <n v="30527.200000000001"/>
  </r>
  <r>
    <d v="2023-05-01T00:00:00"/>
    <s v="South"/>
    <s v="Karnataka"/>
    <s v="Hubli"/>
    <s v="Clothing"/>
    <n v="15"/>
    <x v="4"/>
    <n v="33"/>
    <n v="1712.05"/>
    <n v="25680.75"/>
  </r>
  <r>
    <d v="2023-01-19T00:00:00"/>
    <s v="West"/>
    <s v="Gujarat"/>
    <s v="Vadodara"/>
    <s v="Furniture"/>
    <n v="15"/>
    <x v="5"/>
    <n v="26"/>
    <n v="2167.91"/>
    <n v="32518.65"/>
  </r>
  <r>
    <d v="2023-11-02T00:00:00"/>
    <s v="South"/>
    <s v="Karnataka"/>
    <s v="Mysuru"/>
    <s v="Clothing"/>
    <n v="9"/>
    <x v="6"/>
    <n v="52"/>
    <n v="228.49"/>
    <n v="2056.41"/>
  </r>
  <r>
    <d v="2023-01-27T00:00:00"/>
    <s v="North"/>
    <s v="Delhi"/>
    <s v="Karol Bagh"/>
    <s v="Furniture"/>
    <n v="9"/>
    <x v="7"/>
    <n v="40"/>
    <n v="3095.35"/>
    <n v="27858.15"/>
  </r>
  <r>
    <d v="2023-01-29T00:00:00"/>
    <s v="West"/>
    <s v="Gujarat"/>
    <s v="Surat"/>
    <s v="Electronics"/>
    <n v="5"/>
    <x v="8"/>
    <n v="33"/>
    <n v="714.68"/>
    <n v="3573.4"/>
  </r>
  <r>
    <d v="2023-10-27T00:00:00"/>
    <s v="South"/>
    <s v="Karnataka"/>
    <s v="Mysuru"/>
    <s v="Stationery"/>
    <n v="15"/>
    <x v="9"/>
    <n v="20"/>
    <n v="4545.26"/>
    <n v="68178.899999999994"/>
  </r>
  <r>
    <d v="2023-10-13T00:00:00"/>
    <s v="West"/>
    <s v="Gujarat"/>
    <s v="Ahmedabad"/>
    <s v="Electronics"/>
    <n v="20"/>
    <x v="10"/>
    <n v="32"/>
    <n v="2133.5300000000002"/>
    <n v="42670.6"/>
  </r>
  <r>
    <d v="2023-04-17T00:00:00"/>
    <s v="North"/>
    <s v="Delhi"/>
    <s v="Karol Bagh"/>
    <s v="Clothing"/>
    <n v="13"/>
    <x v="11"/>
    <n v="44"/>
    <n v="993.43"/>
    <n v="12914.59"/>
  </r>
  <r>
    <d v="2023-11-25T00:00:00"/>
    <s v="South"/>
    <s v="Karnataka"/>
    <s v="Hubli"/>
    <s v="Stationery"/>
    <n v="15"/>
    <x v="0"/>
    <n v="25"/>
    <n v="2081.27"/>
    <n v="31219.05"/>
  </r>
  <r>
    <d v="2023-12-15T00:00:00"/>
    <s v="South"/>
    <s v="Tamil Nadu"/>
    <s v="Madurai"/>
    <s v="Clothing"/>
    <n v="12"/>
    <x v="1"/>
    <n v="18"/>
    <n v="2882.46"/>
    <n v="34589.519999999997"/>
  </r>
  <r>
    <d v="2023-11-24T00:00:00"/>
    <s v="West"/>
    <s v="Gujarat"/>
    <s v="Surat"/>
    <s v="Furniture"/>
    <n v="8"/>
    <x v="2"/>
    <n v="49"/>
    <n v="4169.8999999999996"/>
    <n v="33359.199999999997"/>
  </r>
  <r>
    <d v="2023-03-15T00:00:00"/>
    <s v="North"/>
    <s v="Delhi"/>
    <s v="Karol Bagh"/>
    <s v="Groceries"/>
    <n v="6"/>
    <x v="3"/>
    <n v="34"/>
    <n v="4364.67"/>
    <n v="26188.02"/>
  </r>
  <r>
    <d v="2023-03-02T00:00:00"/>
    <s v="South"/>
    <s v="Karnataka"/>
    <s v="Bengaluru"/>
    <s v="Clothing"/>
    <n v="17"/>
    <x v="4"/>
    <n v="39"/>
    <n v="2924.72"/>
    <n v="49720.24"/>
  </r>
  <r>
    <d v="2023-02-04T00:00:00"/>
    <s v="West"/>
    <s v="Maharashtra"/>
    <s v="Nagpur"/>
    <s v="Stationery"/>
    <n v="8"/>
    <x v="5"/>
    <n v="49"/>
    <n v="4290.04"/>
    <n v="34320.32"/>
  </r>
  <r>
    <d v="2023-08-23T00:00:00"/>
    <s v="South"/>
    <s v="Tamil Nadu"/>
    <s v="Coimbatore"/>
    <s v="Electronics"/>
    <n v="19"/>
    <x v="6"/>
    <n v="17"/>
    <n v="3336.46"/>
    <n v="63392.74"/>
  </r>
  <r>
    <d v="2023-08-01T00:00:00"/>
    <s v="South"/>
    <s v="Karnataka"/>
    <s v="Hubli"/>
    <s v="Electronics"/>
    <n v="20"/>
    <x v="7"/>
    <n v="20"/>
    <n v="3728.46"/>
    <n v="74569.2"/>
  </r>
  <r>
    <d v="2023-09-18T00:00:00"/>
    <s v="North"/>
    <s v="Delhi"/>
    <s v="Karol Bagh"/>
    <s v="Furniture"/>
    <n v="20"/>
    <x v="8"/>
    <n v="24"/>
    <n v="1592.52"/>
    <n v="31850.400000000001"/>
  </r>
  <r>
    <d v="2023-07-10T00:00:00"/>
    <s v="West"/>
    <s v="Maharashtra"/>
    <s v="Nagpur"/>
    <s v="Groceries"/>
    <n v="20"/>
    <x v="9"/>
    <n v="31"/>
    <n v="2415.86"/>
    <n v="48317.2"/>
  </r>
  <r>
    <d v="2023-02-14T00:00:00"/>
    <s v="South"/>
    <s v="Tamil Nadu"/>
    <s v="Madurai"/>
    <s v="Stationery"/>
    <n v="12"/>
    <x v="10"/>
    <n v="20"/>
    <n v="2733.87"/>
    <n v="32806.44"/>
  </r>
  <r>
    <d v="2023-06-04T00:00:00"/>
    <s v="South"/>
    <s v="Tamil Nadu"/>
    <s v="Chennai"/>
    <s v="Clothing"/>
    <n v="20"/>
    <x v="11"/>
    <n v="26"/>
    <n v="4398.47"/>
    <n v="87969.4"/>
  </r>
  <r>
    <d v="2023-05-22T00:00:00"/>
    <s v="North"/>
    <s v="Delhi"/>
    <s v="New Delhi"/>
    <s v="Stationery"/>
    <n v="6"/>
    <x v="0"/>
    <n v="34"/>
    <n v="1537.45"/>
    <n v="9224.7000000000007"/>
  </r>
  <r>
    <d v="2023-11-17T00:00:00"/>
    <s v="West"/>
    <s v="Gujarat"/>
    <s v="Surat"/>
    <s v="Clothing"/>
    <n v="3"/>
    <x v="1"/>
    <n v="50"/>
    <n v="1818.3"/>
    <n v="5454.9"/>
  </r>
  <r>
    <d v="2023-10-29T00:00:00"/>
    <s v="South"/>
    <s v="Tamil Nadu"/>
    <s v="Madurai"/>
    <s v="Groceries"/>
    <n v="1"/>
    <x v="2"/>
    <n v="50"/>
    <n v="1239.25"/>
    <n v="1239.25"/>
  </r>
  <r>
    <d v="2023-02-04T00:00:00"/>
    <s v="North"/>
    <s v="Delhi"/>
    <s v="Dwarka"/>
    <s v="Electronics"/>
    <n v="5"/>
    <x v="3"/>
    <n v="44"/>
    <n v="968.86"/>
    <n v="4844.3"/>
  </r>
  <r>
    <d v="2023-12-13T00:00:00"/>
    <s v="West"/>
    <s v="Maharashtra"/>
    <s v="Mumbai"/>
    <s v="Clothing"/>
    <n v="11"/>
    <x v="4"/>
    <n v="47"/>
    <n v="2097.48"/>
    <n v="23072.28"/>
  </r>
  <r>
    <d v="2023-10-12T00:00:00"/>
    <s v="North"/>
    <s v="Delhi"/>
    <s v="Dwarka"/>
    <s v="Furniture"/>
    <n v="14"/>
    <x v="5"/>
    <n v="43"/>
    <n v="188.94"/>
    <n v="2645.16"/>
  </r>
  <r>
    <d v="2023-04-10T00:00:00"/>
    <s v="North"/>
    <s v="Delhi"/>
    <s v="New Delhi"/>
    <s v="Electronics"/>
    <n v="3"/>
    <x v="6"/>
    <n v="51"/>
    <n v="4201.09"/>
    <n v="12603.27"/>
  </r>
  <r>
    <d v="2023-05-04T00:00:00"/>
    <s v="West"/>
    <s v="Maharashtra"/>
    <s v="Nagpur"/>
    <s v="Groceries"/>
    <n v="19"/>
    <x v="7"/>
    <n v="30"/>
    <n v="430.16"/>
    <n v="8173.04"/>
  </r>
  <r>
    <d v="2023-12-14T00:00:00"/>
    <s v="North"/>
    <s v="Delhi"/>
    <s v="New Delhi"/>
    <s v="Furniture"/>
    <n v="5"/>
    <x v="8"/>
    <n v="36"/>
    <n v="2957.2"/>
    <n v="14786"/>
  </r>
  <r>
    <d v="2023-02-03T00:00:00"/>
    <s v="South"/>
    <s v="Karnataka"/>
    <s v="Bengaluru"/>
    <s v="Electronics"/>
    <n v="7"/>
    <x v="9"/>
    <n v="53"/>
    <n v="1164.5999999999999"/>
    <n v="8152.2"/>
  </r>
  <r>
    <d v="2023-01-29T00:00:00"/>
    <s v="South"/>
    <s v="Karnataka"/>
    <s v="Hubli"/>
    <s v="Electronics"/>
    <n v="2"/>
    <x v="10"/>
    <n v="34"/>
    <n v="161.19"/>
    <n v="322.38"/>
  </r>
  <r>
    <d v="2023-05-23T00:00:00"/>
    <s v="South"/>
    <s v="Karnataka"/>
    <s v="Mysuru"/>
    <s v="Furniture"/>
    <n v="4"/>
    <x v="11"/>
    <n v="33"/>
    <n v="2689.7"/>
    <n v="10758.8"/>
  </r>
  <r>
    <d v="2023-04-20T00:00:00"/>
    <s v="West"/>
    <s v="Gujarat"/>
    <s v="Vadodara"/>
    <s v="Electronics"/>
    <n v="16"/>
    <x v="0"/>
    <n v="48"/>
    <n v="523.29999999999995"/>
    <n v="8372.7999999999993"/>
  </r>
  <r>
    <d v="2023-11-03T00:00:00"/>
    <s v="West"/>
    <s v="Gujarat"/>
    <s v="Ahmedabad"/>
    <s v="Electronics"/>
    <n v="3"/>
    <x v="1"/>
    <n v="41"/>
    <n v="884.5"/>
    <n v="2653.5"/>
  </r>
  <r>
    <d v="2023-09-05T00:00:00"/>
    <s v="North"/>
    <s v="Delhi"/>
    <s v="Karol Bagh"/>
    <s v="Clothing"/>
    <n v="13"/>
    <x v="2"/>
    <n v="42"/>
    <n v="3724.27"/>
    <n v="48415.51"/>
  </r>
  <r>
    <d v="2023-10-16T00:00:00"/>
    <s v="West"/>
    <s v="Maharashtra"/>
    <s v="Nagpur"/>
    <s v="Furniture"/>
    <n v="9"/>
    <x v="3"/>
    <n v="48"/>
    <n v="3678.86"/>
    <n v="33109.74"/>
  </r>
  <r>
    <d v="2023-04-23T00:00:00"/>
    <s v="South"/>
    <s v="Tamil Nadu"/>
    <s v="Madurai"/>
    <s v="Electronics"/>
    <n v="3"/>
    <x v="4"/>
    <n v="52"/>
    <n v="938.33"/>
    <n v="2814.99"/>
  </r>
  <r>
    <d v="2023-03-30T00:00:00"/>
    <s v="South"/>
    <s v="Tamil Nadu"/>
    <s v="Coimbatore"/>
    <s v="Electronics"/>
    <n v="17"/>
    <x v="5"/>
    <n v="43"/>
    <n v="2664.62"/>
    <n v="45298.54"/>
  </r>
  <r>
    <d v="2023-07-14T00:00:00"/>
    <s v="West"/>
    <s v="Maharashtra"/>
    <s v="Nagpur"/>
    <s v="Stationery"/>
    <n v="5"/>
    <x v="6"/>
    <n v="45"/>
    <n v="4035.07"/>
    <n v="20175.349999999999"/>
  </r>
  <r>
    <d v="2023-04-02T00:00:00"/>
    <s v="North"/>
    <s v="Delhi"/>
    <s v="Dwarka"/>
    <s v="Groceries"/>
    <n v="20"/>
    <x v="7"/>
    <n v="43"/>
    <n v="605.86"/>
    <n v="12117.2"/>
  </r>
  <r>
    <d v="2023-05-24T00:00:00"/>
    <s v="West"/>
    <s v="Maharashtra"/>
    <s v="Nagpur"/>
    <s v="Furniture"/>
    <n v="3"/>
    <x v="8"/>
    <n v="43"/>
    <n v="2082"/>
    <n v="6246"/>
  </r>
  <r>
    <d v="2023-09-16T00:00:00"/>
    <s v="West"/>
    <s v="Maharashtra"/>
    <s v="Nagpur"/>
    <s v="Groceries"/>
    <n v="8"/>
    <x v="9"/>
    <n v="35"/>
    <n v="3372.86"/>
    <n v="26982.880000000001"/>
  </r>
  <r>
    <d v="2023-08-12T00:00:00"/>
    <s v="North"/>
    <s v="Delhi"/>
    <s v="Karol Bagh"/>
    <s v="Clothing"/>
    <n v="15"/>
    <x v="10"/>
    <n v="37"/>
    <n v="318.32"/>
    <n v="4774.8"/>
  </r>
  <r>
    <d v="2023-11-23T00:00:00"/>
    <s v="North"/>
    <s v="Delhi"/>
    <s v="Dwarka"/>
    <s v="Furniture"/>
    <n v="5"/>
    <x v="11"/>
    <n v="50"/>
    <n v="3900.9"/>
    <n v="19504.5"/>
  </r>
  <r>
    <d v="2023-10-30T00:00:00"/>
    <s v="West"/>
    <s v="Maharashtra"/>
    <s v="Mumbai"/>
    <s v="Electronics"/>
    <n v="15"/>
    <x v="0"/>
    <n v="49"/>
    <n v="1113.76"/>
    <n v="16706.400000000001"/>
  </r>
  <r>
    <d v="2023-09-26T00:00:00"/>
    <s v="North"/>
    <s v="Delhi"/>
    <s v="New Delhi"/>
    <s v="Groceries"/>
    <n v="9"/>
    <x v="1"/>
    <n v="54"/>
    <n v="3458"/>
    <n v="31122"/>
  </r>
  <r>
    <d v="2023-10-29T00:00:00"/>
    <s v="North"/>
    <s v="Delhi"/>
    <s v="Karol Bagh"/>
    <s v="Clothing"/>
    <n v="7"/>
    <x v="2"/>
    <n v="24"/>
    <n v="3415.15"/>
    <n v="23906.05"/>
  </r>
  <r>
    <d v="2023-10-18T00:00:00"/>
    <s v="South"/>
    <s v="Karnataka"/>
    <s v="Bengaluru"/>
    <s v="Stationery"/>
    <n v="15"/>
    <x v="3"/>
    <n v="19"/>
    <n v="2920.62"/>
    <n v="43809.3"/>
  </r>
  <r>
    <d v="2023-08-23T00:00:00"/>
    <s v="West"/>
    <s v="Maharashtra"/>
    <s v="Mumbai"/>
    <s v="Groceries"/>
    <n v="20"/>
    <x v="4"/>
    <n v="45"/>
    <n v="1100.3800000000001"/>
    <n v="22007.599999999999"/>
  </r>
  <r>
    <d v="2023-12-24T00:00:00"/>
    <s v="South"/>
    <s v="Tamil Nadu"/>
    <s v="Chennai"/>
    <s v="Electronics"/>
    <n v="15"/>
    <x v="5"/>
    <n v="42"/>
    <n v="170.6"/>
    <n v="2559"/>
  </r>
  <r>
    <d v="2023-01-06T00:00:00"/>
    <s v="South"/>
    <s v="Karnataka"/>
    <s v="Mysuru"/>
    <s v="Groceries"/>
    <n v="18"/>
    <x v="6"/>
    <n v="28"/>
    <n v="1073"/>
    <n v="19314"/>
  </r>
  <r>
    <d v="2023-02-28T00:00:00"/>
    <s v="West"/>
    <s v="Gujarat"/>
    <s v="Vadodara"/>
    <s v="Stationery"/>
    <n v="9"/>
    <x v="7"/>
    <n v="41"/>
    <n v="3276.04"/>
    <n v="29484.36"/>
  </r>
  <r>
    <d v="2023-08-29T00:00:00"/>
    <s v="South"/>
    <s v="Tamil Nadu"/>
    <s v="Coimbatore"/>
    <s v="Furniture"/>
    <n v="1"/>
    <x v="8"/>
    <n v="38"/>
    <n v="3734.74"/>
    <n v="3734.74"/>
  </r>
  <r>
    <d v="2023-02-25T00:00:00"/>
    <s v="West"/>
    <s v="Maharashtra"/>
    <s v="Mumbai"/>
    <s v="Clothing"/>
    <n v="5"/>
    <x v="9"/>
    <n v="26"/>
    <n v="3926.26"/>
    <n v="19631.3"/>
  </r>
  <r>
    <d v="2023-10-21T00:00:00"/>
    <s v="South"/>
    <s v="Karnataka"/>
    <s v="Bengaluru"/>
    <s v="Groceries"/>
    <n v="7"/>
    <x v="10"/>
    <n v="40"/>
    <n v="2048.48"/>
    <n v="14339.36"/>
  </r>
  <r>
    <d v="2023-10-03T00:00:00"/>
    <s v="West"/>
    <s v="Maharashtra"/>
    <s v="Mumbai"/>
    <s v="Stationery"/>
    <n v="11"/>
    <x v="11"/>
    <n v="48"/>
    <n v="1316.18"/>
    <n v="14477.98"/>
  </r>
  <r>
    <d v="2023-03-31T00:00:00"/>
    <s v="North"/>
    <s v="Delhi"/>
    <s v="Karol Bagh"/>
    <s v="Stationery"/>
    <n v="10"/>
    <x v="0"/>
    <n v="35"/>
    <n v="2027.97"/>
    <n v="20279.7"/>
  </r>
  <r>
    <d v="2023-07-12T00:00:00"/>
    <s v="West"/>
    <s v="Maharashtra"/>
    <s v="Mumbai"/>
    <s v="Electronics"/>
    <n v="9"/>
    <x v="1"/>
    <n v="27"/>
    <n v="4757.53"/>
    <n v="42817.77"/>
  </r>
  <r>
    <d v="2023-03-16T00:00:00"/>
    <s v="West"/>
    <s v="Maharashtra"/>
    <s v="Nagpur"/>
    <s v="Clothing"/>
    <n v="4"/>
    <x v="2"/>
    <n v="52"/>
    <n v="1256.3399999999999"/>
    <n v="5025.3599999999997"/>
  </r>
  <r>
    <d v="2023-09-22T00:00:00"/>
    <s v="North"/>
    <s v="Delhi"/>
    <s v="Karol Bagh"/>
    <s v="Electronics"/>
    <n v="11"/>
    <x v="3"/>
    <n v="53"/>
    <n v="1065.6400000000001"/>
    <n v="11722.04"/>
  </r>
  <r>
    <d v="2023-03-09T00:00:00"/>
    <s v="West"/>
    <s v="Gujarat"/>
    <s v="Surat"/>
    <s v="Furniture"/>
    <n v="15"/>
    <x v="4"/>
    <n v="35"/>
    <n v="961.23"/>
    <n v="14418.45"/>
  </r>
  <r>
    <d v="2023-05-25T00:00:00"/>
    <s v="West"/>
    <s v="Gujarat"/>
    <s v="Ahmedabad"/>
    <s v="Stationery"/>
    <n v="2"/>
    <x v="5"/>
    <n v="33"/>
    <n v="2238.46"/>
    <n v="4476.92"/>
  </r>
  <r>
    <d v="2023-06-30T00:00:00"/>
    <s v="North"/>
    <s v="Delhi"/>
    <s v="Dwarka"/>
    <s v="Furniture"/>
    <n v="17"/>
    <x v="6"/>
    <n v="23"/>
    <n v="1538.4"/>
    <n v="26152.799999999999"/>
  </r>
  <r>
    <d v="2023-10-15T00:00:00"/>
    <s v="West"/>
    <s v="Maharashtra"/>
    <s v="Pune"/>
    <s v="Clothing"/>
    <n v="17"/>
    <x v="7"/>
    <n v="19"/>
    <n v="1307.24"/>
    <n v="22223.08"/>
  </r>
  <r>
    <d v="2023-06-20T00:00:00"/>
    <s v="North"/>
    <s v="Delhi"/>
    <s v="New Delhi"/>
    <s v="Groceries"/>
    <n v="1"/>
    <x v="8"/>
    <n v="26"/>
    <n v="840.65"/>
    <n v="840.65"/>
  </r>
  <r>
    <d v="2023-02-14T00:00:00"/>
    <s v="West"/>
    <s v="Maharashtra"/>
    <s v="Mumbai"/>
    <s v="Clothing"/>
    <n v="15"/>
    <x v="9"/>
    <n v="22"/>
    <n v="4822.26"/>
    <n v="72333.899999999994"/>
  </r>
  <r>
    <d v="2023-03-04T00:00:00"/>
    <s v="North"/>
    <s v="Delhi"/>
    <s v="Karol Bagh"/>
    <s v="Stationery"/>
    <n v="1"/>
    <x v="10"/>
    <n v="35"/>
    <n v="3781.47"/>
    <n v="3781.47"/>
  </r>
  <r>
    <d v="2023-06-06T00:00:00"/>
    <s v="West"/>
    <s v="Gujarat"/>
    <s v="Vadodara"/>
    <s v="Furniture"/>
    <n v="6"/>
    <x v="11"/>
    <n v="55"/>
    <n v="3051.1"/>
    <n v="18306.599999999999"/>
  </r>
  <r>
    <d v="2023-12-10T00:00:00"/>
    <s v="South"/>
    <s v="Karnataka"/>
    <s v="Hubli"/>
    <s v="Groceries"/>
    <n v="10"/>
    <x v="0"/>
    <n v="39"/>
    <n v="642.49"/>
    <n v="6424.9"/>
  </r>
  <r>
    <d v="2023-12-04T00:00:00"/>
    <s v="South"/>
    <s v="Karnataka"/>
    <s v="Hubli"/>
    <s v="Groceries"/>
    <n v="15"/>
    <x v="1"/>
    <n v="21"/>
    <n v="2346.4"/>
    <n v="35196"/>
  </r>
  <r>
    <d v="2023-02-01T00:00:00"/>
    <s v="South"/>
    <s v="Karnataka"/>
    <s v="Hubli"/>
    <s v="Stationery"/>
    <n v="20"/>
    <x v="2"/>
    <n v="52"/>
    <n v="1514.3"/>
    <n v="30286"/>
  </r>
  <r>
    <d v="2023-06-28T00:00:00"/>
    <s v="North"/>
    <s v="Delhi"/>
    <s v="New Delhi"/>
    <s v="Furniture"/>
    <n v="16"/>
    <x v="3"/>
    <n v="37"/>
    <n v="4364.8999999999996"/>
    <n v="69838.399999999994"/>
  </r>
  <r>
    <d v="2023-09-02T00:00:00"/>
    <s v="West"/>
    <s v="Maharashtra"/>
    <s v="Nagpur"/>
    <s v="Furniture"/>
    <n v="2"/>
    <x v="4"/>
    <n v="27"/>
    <n v="1695.6"/>
    <n v="3391.2"/>
  </r>
  <r>
    <d v="2023-07-03T00:00:00"/>
    <s v="South"/>
    <s v="Karnataka"/>
    <s v="Mysuru"/>
    <s v="Stationery"/>
    <n v="18"/>
    <x v="5"/>
    <n v="45"/>
    <n v="1968.87"/>
    <n v="35439.660000000003"/>
  </r>
  <r>
    <d v="2023-02-21T00:00:00"/>
    <s v="South"/>
    <s v="Karnataka"/>
    <s v="Hubli"/>
    <s v="Stationery"/>
    <n v="17"/>
    <x v="6"/>
    <n v="16"/>
    <n v="1777.42"/>
    <n v="30216.14"/>
  </r>
  <r>
    <d v="2023-10-02T00:00:00"/>
    <s v="South"/>
    <s v="Karnataka"/>
    <s v="Mysuru"/>
    <s v="Stationery"/>
    <n v="19"/>
    <x v="7"/>
    <n v="35"/>
    <n v="1564.94"/>
    <n v="29733.86"/>
  </r>
  <r>
    <d v="2023-04-06T00:00:00"/>
    <s v="West"/>
    <s v="Gujarat"/>
    <s v="Vadodara"/>
    <s v="Electronics"/>
    <n v="7"/>
    <x v="8"/>
    <n v="53"/>
    <n v="1205.8900000000001"/>
    <n v="8441.23"/>
  </r>
  <r>
    <d v="2023-05-05T00:00:00"/>
    <s v="South"/>
    <s v="Tamil Nadu"/>
    <s v="Coimbatore"/>
    <s v="Stationery"/>
    <n v="7"/>
    <x v="9"/>
    <n v="20"/>
    <n v="4530.8100000000004"/>
    <n v="31715.67"/>
  </r>
  <r>
    <d v="2023-03-23T00:00:00"/>
    <s v="South"/>
    <s v="Tamil Nadu"/>
    <s v="Madurai"/>
    <s v="Clothing"/>
    <n v="13"/>
    <x v="10"/>
    <n v="51"/>
    <n v="3568.86"/>
    <n v="46395.18"/>
  </r>
  <r>
    <d v="2023-08-26T00:00:00"/>
    <s v="South"/>
    <s v="Tamil Nadu"/>
    <s v="Chennai"/>
    <s v="Furniture"/>
    <n v="10"/>
    <x v="11"/>
    <n v="34"/>
    <n v="2349.2399999999998"/>
    <n v="23492.400000000001"/>
  </r>
  <r>
    <d v="2023-03-07T00:00:00"/>
    <s v="West"/>
    <s v="Gujarat"/>
    <s v="Vadodara"/>
    <s v="Clothing"/>
    <n v="16"/>
    <x v="0"/>
    <n v="50"/>
    <n v="1025.8"/>
    <n v="16412.8"/>
  </r>
  <r>
    <d v="2023-03-30T00:00:00"/>
    <s v="North"/>
    <s v="Delhi"/>
    <s v="New Delhi"/>
    <s v="Electronics"/>
    <n v="3"/>
    <x v="1"/>
    <n v="16"/>
    <n v="4608.8900000000003"/>
    <n v="13826.67"/>
  </r>
  <r>
    <d v="2023-03-18T00:00:00"/>
    <s v="North"/>
    <s v="Delhi"/>
    <s v="Dwarka"/>
    <s v="Clothing"/>
    <n v="5"/>
    <x v="2"/>
    <n v="19"/>
    <n v="2681.34"/>
    <n v="13406.7"/>
  </r>
  <r>
    <d v="2023-11-24T00:00:00"/>
    <s v="South"/>
    <s v="Tamil Nadu"/>
    <s v="Coimbatore"/>
    <s v="Furniture"/>
    <n v="5"/>
    <x v="3"/>
    <n v="29"/>
    <n v="2481.2199999999998"/>
    <n v="12406.1"/>
  </r>
  <r>
    <d v="2023-04-19T00:00:00"/>
    <s v="South"/>
    <s v="Tamil Nadu"/>
    <s v="Madurai"/>
    <s v="Furniture"/>
    <n v="13"/>
    <x v="4"/>
    <n v="55"/>
    <n v="4911.57"/>
    <n v="63850.41"/>
  </r>
  <r>
    <d v="2023-02-07T00:00:00"/>
    <s v="South"/>
    <s v="Karnataka"/>
    <s v="Bengaluru"/>
    <s v="Stationery"/>
    <n v="4"/>
    <x v="5"/>
    <n v="51"/>
    <n v="4337.09"/>
    <n v="17348.36"/>
  </r>
  <r>
    <d v="2023-10-06T00:00:00"/>
    <s v="West"/>
    <s v="Gujarat"/>
    <s v="Vadodara"/>
    <s v="Groceries"/>
    <n v="4"/>
    <x v="6"/>
    <n v="50"/>
    <n v="4317.2"/>
    <n v="17268.8"/>
  </r>
  <r>
    <d v="2023-03-04T00:00:00"/>
    <s v="South"/>
    <s v="Tamil Nadu"/>
    <s v="Chennai"/>
    <s v="Electronics"/>
    <n v="13"/>
    <x v="7"/>
    <n v="36"/>
    <n v="2693.09"/>
    <n v="35010.17"/>
  </r>
  <r>
    <d v="2023-06-13T00:00:00"/>
    <s v="South"/>
    <s v="Karnataka"/>
    <s v="Mysuru"/>
    <s v="Stationery"/>
    <n v="5"/>
    <x v="8"/>
    <n v="16"/>
    <n v="3701.17"/>
    <n v="18505.849999999999"/>
  </r>
  <r>
    <d v="2023-11-06T00:00:00"/>
    <s v="South"/>
    <s v="Tamil Nadu"/>
    <s v="Madurai"/>
    <s v="Electronics"/>
    <n v="1"/>
    <x v="9"/>
    <n v="48"/>
    <n v="585.58000000000004"/>
    <n v="585.58000000000004"/>
  </r>
  <r>
    <d v="2023-10-02T00:00:00"/>
    <s v="South"/>
    <s v="Karnataka"/>
    <s v="Hubli"/>
    <s v="Electronics"/>
    <n v="16"/>
    <x v="10"/>
    <n v="49"/>
    <n v="4720.2299999999996"/>
    <n v="75523.679999999993"/>
  </r>
  <r>
    <d v="2023-06-08T00:00:00"/>
    <s v="West"/>
    <s v="Gujarat"/>
    <s v="Ahmedabad"/>
    <s v="Electronics"/>
    <n v="15"/>
    <x v="11"/>
    <n v="32"/>
    <n v="2514.9499999999998"/>
    <n v="37724.25"/>
  </r>
  <r>
    <d v="2023-01-05T00:00:00"/>
    <s v="South"/>
    <s v="Tamil Nadu"/>
    <s v="Madurai"/>
    <s v="Clothing"/>
    <n v="10"/>
    <x v="0"/>
    <n v="44"/>
    <n v="772.21"/>
    <n v="7722.1"/>
  </r>
  <r>
    <d v="2023-10-10T00:00:00"/>
    <s v="South"/>
    <s v="Karnataka"/>
    <s v="Mysuru"/>
    <s v="Electronics"/>
    <n v="7"/>
    <x v="1"/>
    <n v="36"/>
    <n v="702.24"/>
    <n v="4915.68"/>
  </r>
  <r>
    <d v="2023-02-21T00:00:00"/>
    <s v="West"/>
    <s v="Maharashtra"/>
    <s v="Mumbai"/>
    <s v="Furniture"/>
    <n v="4"/>
    <x v="2"/>
    <n v="44"/>
    <n v="1831.79"/>
    <n v="7327.16"/>
  </r>
  <r>
    <d v="2023-09-30T00:00:00"/>
    <s v="West"/>
    <s v="Maharashtra"/>
    <s v="Pune"/>
    <s v="Groceries"/>
    <n v="12"/>
    <x v="3"/>
    <n v="38"/>
    <n v="3895.88"/>
    <n v="46750.559999999998"/>
  </r>
  <r>
    <d v="2023-10-20T00:00:00"/>
    <s v="West"/>
    <s v="Gujarat"/>
    <s v="Vadodara"/>
    <s v="Stationery"/>
    <n v="12"/>
    <x v="4"/>
    <n v="22"/>
    <n v="2208.4899999999998"/>
    <n v="26501.88"/>
  </r>
  <r>
    <d v="2023-09-11T00:00:00"/>
    <s v="West"/>
    <s v="Maharashtra"/>
    <s v="Nagpur"/>
    <s v="Clothing"/>
    <n v="3"/>
    <x v="5"/>
    <n v="51"/>
    <n v="116.58"/>
    <n v="349.74"/>
  </r>
  <r>
    <d v="2023-06-12T00:00:00"/>
    <s v="North"/>
    <s v="Delhi"/>
    <s v="Dwarka"/>
    <s v="Groceries"/>
    <n v="3"/>
    <x v="6"/>
    <n v="26"/>
    <n v="4171.91"/>
    <n v="12515.73"/>
  </r>
  <r>
    <d v="2023-01-07T00:00:00"/>
    <s v="South"/>
    <s v="Karnataka"/>
    <s v="Mysuru"/>
    <s v="Stationery"/>
    <n v="8"/>
    <x v="7"/>
    <n v="53"/>
    <n v="4201.6899999999996"/>
    <n v="33613.519999999997"/>
  </r>
  <r>
    <d v="2023-07-12T00:00:00"/>
    <s v="West"/>
    <s v="Gujarat"/>
    <s v="Surat"/>
    <s v="Clothing"/>
    <n v="1"/>
    <x v="8"/>
    <n v="23"/>
    <n v="2716.98"/>
    <n v="2716.98"/>
  </r>
  <r>
    <d v="2023-04-08T00:00:00"/>
    <s v="West"/>
    <s v="Maharashtra"/>
    <s v="Mumbai"/>
    <s v="Clothing"/>
    <n v="1"/>
    <x v="9"/>
    <n v="34"/>
    <n v="3847.65"/>
    <n v="3847.65"/>
  </r>
  <r>
    <d v="2023-08-29T00:00:00"/>
    <s v="West"/>
    <s v="Maharashtra"/>
    <s v="Mumbai"/>
    <s v="Stationery"/>
    <n v="2"/>
    <x v="10"/>
    <n v="22"/>
    <n v="816.12"/>
    <n v="1632.24"/>
  </r>
  <r>
    <d v="2023-08-06T00:00:00"/>
    <s v="North"/>
    <s v="Delhi"/>
    <s v="Karol Bagh"/>
    <s v="Electronics"/>
    <n v="12"/>
    <x v="11"/>
    <n v="16"/>
    <n v="1304.81"/>
    <n v="15657.72"/>
  </r>
  <r>
    <d v="2023-11-13T00:00:00"/>
    <s v="West"/>
    <s v="Maharashtra"/>
    <s v="Pune"/>
    <s v="Groceries"/>
    <n v="3"/>
    <x v="0"/>
    <n v="23"/>
    <n v="2214.86"/>
    <n v="6644.58"/>
  </r>
  <r>
    <d v="2023-08-27T00:00:00"/>
    <s v="North"/>
    <s v="Delhi"/>
    <s v="Karol Bagh"/>
    <s v="Furniture"/>
    <n v="14"/>
    <x v="1"/>
    <n v="24"/>
    <n v="1094.1400000000001"/>
    <n v="15317.96"/>
  </r>
  <r>
    <d v="2023-09-26T00:00:00"/>
    <s v="West"/>
    <s v="Gujarat"/>
    <s v="Vadodara"/>
    <s v="Clothing"/>
    <n v="4"/>
    <x v="2"/>
    <n v="17"/>
    <n v="4697.07"/>
    <n v="18788.28"/>
  </r>
  <r>
    <d v="2023-10-14T00:00:00"/>
    <s v="West"/>
    <s v="Maharashtra"/>
    <s v="Nagpur"/>
    <s v="Groceries"/>
    <n v="5"/>
    <x v="3"/>
    <n v="42"/>
    <n v="1141.32"/>
    <n v="5706.6"/>
  </r>
  <r>
    <d v="2023-03-06T00:00:00"/>
    <s v="West"/>
    <s v="Gujarat"/>
    <s v="Ahmedabad"/>
    <s v="Furniture"/>
    <n v="18"/>
    <x v="4"/>
    <n v="38"/>
    <n v="814.69"/>
    <n v="14664.42"/>
  </r>
  <r>
    <d v="2023-11-08T00:00:00"/>
    <s v="West"/>
    <s v="Gujarat"/>
    <s v="Ahmedabad"/>
    <s v="Groceries"/>
    <n v="19"/>
    <x v="5"/>
    <n v="32"/>
    <n v="2743.67"/>
    <n v="52129.73"/>
  </r>
  <r>
    <d v="2023-12-30T00:00:00"/>
    <s v="South"/>
    <s v="Tamil Nadu"/>
    <s v="Coimbatore"/>
    <s v="Stationery"/>
    <n v="3"/>
    <x v="6"/>
    <n v="18"/>
    <n v="2961.96"/>
    <n v="8885.8799999999992"/>
  </r>
  <r>
    <d v="2023-07-26T00:00:00"/>
    <s v="West"/>
    <s v="Maharashtra"/>
    <s v="Pune"/>
    <s v="Furniture"/>
    <n v="16"/>
    <x v="7"/>
    <n v="34"/>
    <n v="2882.65"/>
    <n v="46122.400000000001"/>
  </r>
  <r>
    <d v="2023-04-24T00:00:00"/>
    <s v="West"/>
    <s v="Maharashtra"/>
    <s v="Nagpur"/>
    <s v="Furniture"/>
    <n v="7"/>
    <x v="8"/>
    <n v="40"/>
    <n v="1905.14"/>
    <n v="13335.98"/>
  </r>
  <r>
    <d v="2023-03-09T00:00:00"/>
    <s v="North"/>
    <s v="Delhi"/>
    <s v="Dwarka"/>
    <s v="Electronics"/>
    <n v="5"/>
    <x v="9"/>
    <n v="33"/>
    <n v="912.33"/>
    <n v="4561.6499999999996"/>
  </r>
  <r>
    <d v="2023-02-11T00:00:00"/>
    <s v="West"/>
    <s v="Maharashtra"/>
    <s v="Pune"/>
    <s v="Clothing"/>
    <n v="13"/>
    <x v="10"/>
    <n v="27"/>
    <n v="2745.75"/>
    <n v="35694.75"/>
  </r>
  <r>
    <d v="2023-12-14T00:00:00"/>
    <s v="South"/>
    <s v="Karnataka"/>
    <s v="Bengaluru"/>
    <s v="Furniture"/>
    <n v="10"/>
    <x v="11"/>
    <n v="20"/>
    <n v="222.55"/>
    <n v="2225.5"/>
  </r>
  <r>
    <d v="2023-08-03T00:00:00"/>
    <s v="South"/>
    <s v="Karnataka"/>
    <s v="Hubli"/>
    <s v="Electronics"/>
    <n v="15"/>
    <x v="0"/>
    <n v="29"/>
    <n v="624.87"/>
    <n v="9373.0499999999993"/>
  </r>
  <r>
    <d v="2023-03-08T00:00:00"/>
    <s v="West"/>
    <s v="Gujarat"/>
    <s v="Ahmedabad"/>
    <s v="Clothing"/>
    <n v="2"/>
    <x v="1"/>
    <n v="39"/>
    <n v="3825.5"/>
    <n v="7651"/>
  </r>
  <r>
    <d v="2023-03-31T00:00:00"/>
    <s v="North"/>
    <s v="Delhi"/>
    <s v="New Delhi"/>
    <s v="Clothing"/>
    <n v="5"/>
    <x v="2"/>
    <n v="19"/>
    <n v="2846.34"/>
    <n v="14231.7"/>
  </r>
  <r>
    <d v="2023-05-14T00:00:00"/>
    <s v="South"/>
    <s v="Tamil Nadu"/>
    <s v="Chennai"/>
    <s v="Clothing"/>
    <n v="3"/>
    <x v="3"/>
    <n v="49"/>
    <n v="1205.6199999999999"/>
    <n v="3616.86"/>
  </r>
  <r>
    <d v="2023-11-23T00:00:00"/>
    <s v="West"/>
    <s v="Gujarat"/>
    <s v="Vadodara"/>
    <s v="Groceries"/>
    <n v="9"/>
    <x v="4"/>
    <n v="31"/>
    <n v="851.87"/>
    <n v="7666.83"/>
  </r>
  <r>
    <d v="2023-04-07T00:00:00"/>
    <s v="South"/>
    <s v="Karnataka"/>
    <s v="Mysuru"/>
    <s v="Clothing"/>
    <n v="7"/>
    <x v="5"/>
    <n v="55"/>
    <n v="1849.17"/>
    <n v="12944.19"/>
  </r>
  <r>
    <d v="2023-05-30T00:00:00"/>
    <s v="North"/>
    <s v="Delhi"/>
    <s v="Karol Bagh"/>
    <s v="Electronics"/>
    <n v="2"/>
    <x v="6"/>
    <n v="50"/>
    <n v="2119.5100000000002"/>
    <n v="4239.0200000000004"/>
  </r>
  <r>
    <d v="2023-08-21T00:00:00"/>
    <s v="South"/>
    <s v="Tamil Nadu"/>
    <s v="Chennai"/>
    <s v="Clothing"/>
    <n v="1"/>
    <x v="7"/>
    <n v="41"/>
    <n v="421.27"/>
    <n v="421.27"/>
  </r>
  <r>
    <d v="2023-03-18T00:00:00"/>
    <s v="South"/>
    <s v="Karnataka"/>
    <s v="Hubli"/>
    <s v="Stationery"/>
    <n v="14"/>
    <x v="8"/>
    <n v="46"/>
    <n v="2746.27"/>
    <n v="38447.78"/>
  </r>
  <r>
    <d v="2023-10-15T00:00:00"/>
    <s v="West"/>
    <s v="Gujarat"/>
    <s v="Ahmedabad"/>
    <s v="Furniture"/>
    <n v="18"/>
    <x v="9"/>
    <n v="16"/>
    <n v="3602.65"/>
    <n v="64847.7"/>
  </r>
  <r>
    <d v="2023-03-13T00:00:00"/>
    <s v="West"/>
    <s v="Maharashtra"/>
    <s v="Pune"/>
    <s v="Electronics"/>
    <n v="11"/>
    <x v="10"/>
    <n v="35"/>
    <n v="4681.04"/>
    <n v="51491.44"/>
  </r>
  <r>
    <d v="2023-09-04T00:00:00"/>
    <s v="South"/>
    <s v="Karnataka"/>
    <s v="Mysuru"/>
    <s v="Groceries"/>
    <n v="4"/>
    <x v="11"/>
    <n v="16"/>
    <n v="1381.71"/>
    <n v="5526.84"/>
  </r>
  <r>
    <d v="2023-06-29T00:00:00"/>
    <s v="West"/>
    <s v="Maharashtra"/>
    <s v="Pune"/>
    <s v="Stationery"/>
    <n v="20"/>
    <x v="0"/>
    <n v="21"/>
    <n v="1536.73"/>
    <n v="30734.6"/>
  </r>
  <r>
    <d v="2023-12-29T00:00:00"/>
    <s v="South"/>
    <s v="Karnataka"/>
    <s v="Hubli"/>
    <s v="Clothing"/>
    <n v="13"/>
    <x v="1"/>
    <n v="31"/>
    <n v="1929.55"/>
    <n v="25084.15"/>
  </r>
  <r>
    <d v="2023-04-07T00:00:00"/>
    <s v="South"/>
    <s v="Tamil Nadu"/>
    <s v="Madurai"/>
    <s v="Stationery"/>
    <n v="17"/>
    <x v="2"/>
    <n v="43"/>
    <n v="3233.82"/>
    <n v="54974.94"/>
  </r>
  <r>
    <d v="2023-11-05T00:00:00"/>
    <s v="West"/>
    <s v="Maharashtra"/>
    <s v="Nagpur"/>
    <s v="Clothing"/>
    <n v="17"/>
    <x v="3"/>
    <n v="46"/>
    <n v="4082.38"/>
    <n v="69400.460000000006"/>
  </r>
  <r>
    <d v="2023-07-17T00:00:00"/>
    <s v="West"/>
    <s v="Gujarat"/>
    <s v="Ahmedabad"/>
    <s v="Stationery"/>
    <n v="12"/>
    <x v="4"/>
    <n v="40"/>
    <n v="3650.3"/>
    <n v="43803.6"/>
  </r>
  <r>
    <d v="2023-10-19T00:00:00"/>
    <s v="South"/>
    <s v="Tamil Nadu"/>
    <s v="Madurai"/>
    <s v="Stationery"/>
    <n v="18"/>
    <x v="5"/>
    <n v="49"/>
    <n v="532.4"/>
    <n v="9583.2000000000007"/>
  </r>
  <r>
    <d v="2023-05-01T00:00:00"/>
    <s v="West"/>
    <s v="Maharashtra"/>
    <s v="Pune"/>
    <s v="Clothing"/>
    <n v="7"/>
    <x v="6"/>
    <n v="23"/>
    <n v="3931.73"/>
    <n v="27522.11"/>
  </r>
  <r>
    <d v="2023-10-09T00:00:00"/>
    <s v="South"/>
    <s v="Karnataka"/>
    <s v="Hubli"/>
    <s v="Clothing"/>
    <n v="9"/>
    <x v="7"/>
    <n v="48"/>
    <n v="2770.27"/>
    <n v="24932.43"/>
  </r>
  <r>
    <d v="2023-12-16T00:00:00"/>
    <s v="South"/>
    <s v="Karnataka"/>
    <s v="Hubli"/>
    <s v="Furniture"/>
    <n v="7"/>
    <x v="8"/>
    <n v="24"/>
    <n v="3052.99"/>
    <n v="21370.93"/>
  </r>
  <r>
    <d v="2023-06-13T00:00:00"/>
    <s v="West"/>
    <s v="Gujarat"/>
    <s v="Ahmedabad"/>
    <s v="Groceries"/>
    <n v="14"/>
    <x v="9"/>
    <n v="51"/>
    <n v="298.99"/>
    <n v="4185.8599999999997"/>
  </r>
  <r>
    <d v="2023-08-06T00:00:00"/>
    <s v="South"/>
    <s v="Karnataka"/>
    <s v="Hubli"/>
    <s v="Clothing"/>
    <n v="10"/>
    <x v="10"/>
    <n v="40"/>
    <n v="812.98"/>
    <n v="8129.8"/>
  </r>
  <r>
    <d v="2023-12-29T00:00:00"/>
    <s v="West"/>
    <s v="Gujarat"/>
    <s v="Surat"/>
    <s v="Stationery"/>
    <n v="14"/>
    <x v="11"/>
    <n v="24"/>
    <n v="1720"/>
    <n v="24080"/>
  </r>
  <r>
    <d v="2023-06-27T00:00:00"/>
    <s v="South"/>
    <s v="Karnataka"/>
    <s v="Bengaluru"/>
    <s v="Electronics"/>
    <n v="3"/>
    <x v="0"/>
    <n v="53"/>
    <n v="772.21"/>
    <n v="2316.63"/>
  </r>
  <r>
    <d v="2023-04-28T00:00:00"/>
    <s v="South"/>
    <s v="Karnataka"/>
    <s v="Mysuru"/>
    <s v="Clothing"/>
    <n v="20"/>
    <x v="1"/>
    <n v="26"/>
    <n v="3937.67"/>
    <n v="78753.399999999994"/>
  </r>
  <r>
    <d v="2023-11-03T00:00:00"/>
    <s v="West"/>
    <s v="Maharashtra"/>
    <s v="Nagpur"/>
    <s v="Stationery"/>
    <n v="5"/>
    <x v="2"/>
    <n v="25"/>
    <n v="3259.3"/>
    <n v="16296.5"/>
  </r>
  <r>
    <d v="2023-09-17T00:00:00"/>
    <s v="North"/>
    <s v="Delhi"/>
    <s v="New Delhi"/>
    <s v="Clothing"/>
    <n v="7"/>
    <x v="3"/>
    <n v="48"/>
    <n v="252.75"/>
    <n v="1769.25"/>
  </r>
  <r>
    <d v="2023-07-12T00:00:00"/>
    <s v="West"/>
    <s v="Maharashtra"/>
    <s v="Pune"/>
    <s v="Furniture"/>
    <n v="16"/>
    <x v="4"/>
    <n v="51"/>
    <n v="1933.33"/>
    <n v="30933.279999999999"/>
  </r>
  <r>
    <d v="2023-04-08T00:00:00"/>
    <s v="West"/>
    <s v="Gujarat"/>
    <s v="Vadodara"/>
    <s v="Electronics"/>
    <n v="6"/>
    <x v="5"/>
    <n v="26"/>
    <n v="4541.92"/>
    <n v="27251.52"/>
  </r>
  <r>
    <d v="2023-05-05T00:00:00"/>
    <s v="West"/>
    <s v="Maharashtra"/>
    <s v="Mumbai"/>
    <s v="Furniture"/>
    <n v="20"/>
    <x v="6"/>
    <n v="45"/>
    <n v="4270.08"/>
    <n v="85401.600000000006"/>
  </r>
  <r>
    <d v="2023-02-04T00:00:00"/>
    <s v="South"/>
    <s v="Tamil Nadu"/>
    <s v="Coimbatore"/>
    <s v="Furniture"/>
    <n v="3"/>
    <x v="7"/>
    <n v="29"/>
    <n v="3007.45"/>
    <n v="9022.35"/>
  </r>
  <r>
    <d v="2023-04-03T00:00:00"/>
    <s v="North"/>
    <s v="Delhi"/>
    <s v="Dwarka"/>
    <s v="Groceries"/>
    <n v="8"/>
    <x v="8"/>
    <n v="50"/>
    <n v="315"/>
    <n v="2520"/>
  </r>
  <r>
    <d v="2023-12-31T00:00:00"/>
    <s v="South"/>
    <s v="Tamil Nadu"/>
    <s v="Coimbatore"/>
    <s v="Electronics"/>
    <n v="13"/>
    <x v="9"/>
    <n v="40"/>
    <n v="1647.87"/>
    <n v="21422.31"/>
  </r>
  <r>
    <d v="2023-01-14T00:00:00"/>
    <s v="South"/>
    <s v="Karnataka"/>
    <s v="Mysuru"/>
    <s v="Electronics"/>
    <n v="2"/>
    <x v="10"/>
    <n v="54"/>
    <n v="659.83"/>
    <n v="1319.66"/>
  </r>
  <r>
    <d v="2023-12-10T00:00:00"/>
    <s v="South"/>
    <s v="Karnataka"/>
    <s v="Mysuru"/>
    <s v="Electronics"/>
    <n v="16"/>
    <x v="11"/>
    <n v="21"/>
    <n v="4999.8999999999996"/>
    <n v="79998.399999999994"/>
  </r>
  <r>
    <d v="2023-03-01T00:00:00"/>
    <s v="South"/>
    <s v="Karnataka"/>
    <s v="Bengaluru"/>
    <s v="Clothing"/>
    <n v="20"/>
    <x v="0"/>
    <n v="18"/>
    <n v="490.36"/>
    <n v="9807.2000000000007"/>
  </r>
  <r>
    <d v="2023-05-25T00:00:00"/>
    <s v="West"/>
    <s v="Gujarat"/>
    <s v="Surat"/>
    <s v="Stationery"/>
    <n v="19"/>
    <x v="1"/>
    <n v="36"/>
    <n v="2753.24"/>
    <n v="52311.56"/>
  </r>
  <r>
    <d v="2023-04-10T00:00:00"/>
    <s v="North"/>
    <s v="Delhi"/>
    <s v="Dwarka"/>
    <s v="Groceries"/>
    <n v="7"/>
    <x v="2"/>
    <n v="45"/>
    <n v="4541.83"/>
    <n v="31792.81"/>
  </r>
  <r>
    <d v="2023-01-08T00:00:00"/>
    <s v="West"/>
    <s v="Maharashtra"/>
    <s v="Pune"/>
    <s v="Stationery"/>
    <n v="2"/>
    <x v="3"/>
    <n v="47"/>
    <n v="3240.32"/>
    <n v="6480.64"/>
  </r>
  <r>
    <d v="2023-08-03T00:00:00"/>
    <s v="North"/>
    <s v="Delhi"/>
    <s v="Karol Bagh"/>
    <s v="Stationery"/>
    <n v="18"/>
    <x v="4"/>
    <n v="21"/>
    <n v="3614.6"/>
    <n v="65062.8"/>
  </r>
  <r>
    <d v="2023-05-16T00:00:00"/>
    <s v="West"/>
    <s v="Maharashtra"/>
    <s v="Nagpur"/>
    <s v="Stationery"/>
    <n v="3"/>
    <x v="5"/>
    <n v="16"/>
    <n v="2618.2199999999998"/>
    <n v="7854.66"/>
  </r>
  <r>
    <d v="2023-04-19T00:00:00"/>
    <s v="West"/>
    <s v="Gujarat"/>
    <s v="Ahmedabad"/>
    <s v="Stationery"/>
    <n v="17"/>
    <x v="6"/>
    <n v="25"/>
    <n v="1793.43"/>
    <n v="30488.31"/>
  </r>
  <r>
    <d v="2023-07-20T00:00:00"/>
    <s v="North"/>
    <s v="Delhi"/>
    <s v="New Delhi"/>
    <s v="Furniture"/>
    <n v="17"/>
    <x v="7"/>
    <n v="42"/>
    <n v="758.19"/>
    <n v="12889.23"/>
  </r>
  <r>
    <d v="2023-08-16T00:00:00"/>
    <s v="West"/>
    <s v="Gujarat"/>
    <s v="Ahmedabad"/>
    <s v="Stationery"/>
    <n v="18"/>
    <x v="8"/>
    <n v="18"/>
    <n v="4862.63"/>
    <n v="87527.34"/>
  </r>
  <r>
    <d v="2023-01-30T00:00:00"/>
    <s v="West"/>
    <s v="Maharashtra"/>
    <s v="Pune"/>
    <s v="Electronics"/>
    <n v="20"/>
    <x v="9"/>
    <n v="26"/>
    <n v="486.25"/>
    <n v="9725"/>
  </r>
  <r>
    <d v="2023-10-09T00:00:00"/>
    <s v="South"/>
    <s v="Tamil Nadu"/>
    <s v="Chennai"/>
    <s v="Furniture"/>
    <n v="3"/>
    <x v="10"/>
    <n v="23"/>
    <n v="3533.3"/>
    <n v="10599.9"/>
  </r>
  <r>
    <d v="2023-03-28T00:00:00"/>
    <s v="North"/>
    <s v="Delhi"/>
    <s v="Dwarka"/>
    <s v="Electronics"/>
    <n v="11"/>
    <x v="11"/>
    <n v="47"/>
    <n v="1069.3900000000001"/>
    <n v="11763.29"/>
  </r>
  <r>
    <d v="2023-05-09T00:00:00"/>
    <s v="North"/>
    <s v="Delhi"/>
    <s v="Karol Bagh"/>
    <s v="Electronics"/>
    <n v="12"/>
    <x v="0"/>
    <n v="20"/>
    <n v="2581.09"/>
    <n v="30973.08"/>
  </r>
  <r>
    <d v="2023-12-24T00:00:00"/>
    <s v="South"/>
    <s v="Tamil Nadu"/>
    <s v="Madurai"/>
    <s v="Clothing"/>
    <n v="8"/>
    <x v="1"/>
    <n v="42"/>
    <n v="1670.31"/>
    <n v="13362.48"/>
  </r>
  <r>
    <d v="2023-08-20T00:00:00"/>
    <s v="South"/>
    <s v="Karnataka"/>
    <s v="Mysuru"/>
    <s v="Groceries"/>
    <n v="7"/>
    <x v="2"/>
    <n v="44"/>
    <n v="2560.5"/>
    <n v="17923.5"/>
  </r>
  <r>
    <d v="2023-08-17T00:00:00"/>
    <s v="South"/>
    <s v="Karnataka"/>
    <s v="Bengaluru"/>
    <s v="Clothing"/>
    <n v="8"/>
    <x v="3"/>
    <n v="16"/>
    <n v="244.6"/>
    <n v="1956.8"/>
  </r>
  <r>
    <d v="2023-09-29T00:00:00"/>
    <s v="North"/>
    <s v="Delhi"/>
    <s v="New Delhi"/>
    <s v="Electronics"/>
    <n v="13"/>
    <x v="4"/>
    <n v="42"/>
    <n v="4084.32"/>
    <n v="53096.160000000003"/>
  </r>
  <r>
    <d v="2023-11-18T00:00:00"/>
    <s v="South"/>
    <s v="Tamil Nadu"/>
    <s v="Madurai"/>
    <s v="Stationery"/>
    <n v="16"/>
    <x v="5"/>
    <n v="54"/>
    <n v="1480.7"/>
    <n v="23691.200000000001"/>
  </r>
  <r>
    <d v="2023-03-30T00:00:00"/>
    <s v="South"/>
    <s v="Tamil Nadu"/>
    <s v="Chennai"/>
    <s v="Stationery"/>
    <n v="6"/>
    <x v="6"/>
    <n v="22"/>
    <n v="1979"/>
    <n v="11874"/>
  </r>
  <r>
    <d v="2023-09-19T00:00:00"/>
    <s v="South"/>
    <s v="Karnataka"/>
    <s v="Hubli"/>
    <s v="Furniture"/>
    <n v="18"/>
    <x v="7"/>
    <n v="35"/>
    <n v="883.32"/>
    <n v="15899.76"/>
  </r>
  <r>
    <d v="2023-11-08T00:00:00"/>
    <s v="South"/>
    <s v="Tamil Nadu"/>
    <s v="Chennai"/>
    <s v="Furniture"/>
    <n v="4"/>
    <x v="8"/>
    <n v="45"/>
    <n v="4058.48"/>
    <n v="16233.92"/>
  </r>
  <r>
    <d v="2023-09-23T00:00:00"/>
    <s v="West"/>
    <s v="Gujarat"/>
    <s v="Vadodara"/>
    <s v="Furniture"/>
    <n v="7"/>
    <x v="9"/>
    <n v="34"/>
    <n v="281.29000000000002"/>
    <n v="1969.03"/>
  </r>
  <r>
    <d v="2023-07-17T00:00:00"/>
    <s v="North"/>
    <s v="Delhi"/>
    <s v="Dwarka"/>
    <s v="Stationery"/>
    <n v="4"/>
    <x v="10"/>
    <n v="37"/>
    <n v="2978.87"/>
    <n v="11915.48"/>
  </r>
  <r>
    <d v="2023-05-18T00:00:00"/>
    <s v="West"/>
    <s v="Maharashtra"/>
    <s v="Pune"/>
    <s v="Groceries"/>
    <n v="2"/>
    <x v="11"/>
    <n v="44"/>
    <n v="2402.5700000000002"/>
    <n v="4805.1400000000003"/>
  </r>
  <r>
    <d v="2023-09-18T00:00:00"/>
    <s v="North"/>
    <s v="Delhi"/>
    <s v="Dwarka"/>
    <s v="Electronics"/>
    <n v="12"/>
    <x v="0"/>
    <n v="39"/>
    <n v="1673.01"/>
    <n v="20076.12"/>
  </r>
  <r>
    <d v="2023-05-04T00:00:00"/>
    <s v="West"/>
    <s v="Maharashtra"/>
    <s v="Nagpur"/>
    <s v="Groceries"/>
    <n v="17"/>
    <x v="1"/>
    <n v="17"/>
    <n v="2031.75"/>
    <n v="34539.75"/>
  </r>
  <r>
    <d v="2023-09-09T00:00:00"/>
    <s v="North"/>
    <s v="Delhi"/>
    <s v="New Delhi"/>
    <s v="Electronics"/>
    <n v="15"/>
    <x v="2"/>
    <n v="44"/>
    <n v="4667.42"/>
    <n v="70011.3"/>
  </r>
  <r>
    <d v="2023-12-29T00:00:00"/>
    <s v="West"/>
    <s v="Maharashtra"/>
    <s v="Nagpur"/>
    <s v="Electronics"/>
    <n v="18"/>
    <x v="3"/>
    <n v="31"/>
    <n v="2494.9499999999998"/>
    <n v="44909.1"/>
  </r>
  <r>
    <d v="2023-12-15T00:00:00"/>
    <s v="South"/>
    <s v="Karnataka"/>
    <s v="Bengaluru"/>
    <s v="Groceries"/>
    <n v="15"/>
    <x v="4"/>
    <n v="52"/>
    <n v="4659.8"/>
    <n v="69897"/>
  </r>
  <r>
    <d v="2023-03-16T00:00:00"/>
    <s v="South"/>
    <s v="Tamil Nadu"/>
    <s v="Chennai"/>
    <s v="Furniture"/>
    <n v="9"/>
    <x v="5"/>
    <n v="32"/>
    <n v="1805.32"/>
    <n v="16247.88"/>
  </r>
  <r>
    <d v="2023-04-18T00:00:00"/>
    <s v="West"/>
    <s v="Gujarat"/>
    <s v="Ahmedabad"/>
    <s v="Furniture"/>
    <n v="11"/>
    <x v="6"/>
    <n v="32"/>
    <n v="4530.5600000000004"/>
    <n v="49836.160000000003"/>
  </r>
  <r>
    <d v="2023-07-09T00:00:00"/>
    <s v="North"/>
    <s v="Delhi"/>
    <s v="Karol Bagh"/>
    <s v="Groceries"/>
    <n v="12"/>
    <x v="7"/>
    <n v="41"/>
    <n v="4003.52"/>
    <n v="48042.239999999998"/>
  </r>
  <r>
    <d v="2023-03-05T00:00:00"/>
    <s v="West"/>
    <s v="Maharashtra"/>
    <s v="Mumbai"/>
    <s v="Furniture"/>
    <n v="1"/>
    <x v="8"/>
    <n v="35"/>
    <n v="3059.01"/>
    <n v="3059.01"/>
  </r>
  <r>
    <d v="2023-04-29T00:00:00"/>
    <s v="North"/>
    <s v="Delhi"/>
    <s v="Karol Bagh"/>
    <s v="Stationery"/>
    <n v="1"/>
    <x v="9"/>
    <n v="33"/>
    <n v="4815.0600000000004"/>
    <n v="4815.0600000000004"/>
  </r>
  <r>
    <d v="2023-12-18T00:00:00"/>
    <s v="South"/>
    <s v="Karnataka"/>
    <s v="Mysuru"/>
    <s v="Furniture"/>
    <n v="3"/>
    <x v="10"/>
    <n v="28"/>
    <n v="1139.5899999999999"/>
    <n v="3418.77"/>
  </r>
  <r>
    <d v="2023-03-18T00:00:00"/>
    <s v="South"/>
    <s v="Karnataka"/>
    <s v="Bengaluru"/>
    <s v="Clothing"/>
    <n v="12"/>
    <x v="11"/>
    <n v="19"/>
    <n v="596.13"/>
    <n v="7153.56"/>
  </r>
  <r>
    <d v="2023-04-10T00:00:00"/>
    <s v="South"/>
    <s v="Karnataka"/>
    <s v="Bengaluru"/>
    <s v="Groceries"/>
    <n v="15"/>
    <x v="0"/>
    <n v="51"/>
    <n v="4262.53"/>
    <n v="63937.95"/>
  </r>
  <r>
    <d v="2023-11-01T00:00:00"/>
    <s v="North"/>
    <s v="Delhi"/>
    <s v="New Delhi"/>
    <s v="Groceries"/>
    <n v="18"/>
    <x v="1"/>
    <n v="40"/>
    <n v="4059.82"/>
    <n v="73076.759999999995"/>
  </r>
  <r>
    <d v="2023-12-14T00:00:00"/>
    <s v="South"/>
    <s v="Tamil Nadu"/>
    <s v="Chennai"/>
    <s v="Furniture"/>
    <n v="5"/>
    <x v="2"/>
    <n v="45"/>
    <n v="278.31"/>
    <n v="1391.55"/>
  </r>
  <r>
    <d v="2023-11-14T00:00:00"/>
    <s v="North"/>
    <s v="Delhi"/>
    <s v="New Delhi"/>
    <s v="Furniture"/>
    <n v="5"/>
    <x v="3"/>
    <n v="32"/>
    <n v="2423.83"/>
    <n v="12119.15"/>
  </r>
  <r>
    <d v="2023-06-30T00:00:00"/>
    <s v="West"/>
    <s v="Gujarat"/>
    <s v="Ahmedabad"/>
    <s v="Electronics"/>
    <n v="8"/>
    <x v="4"/>
    <n v="20"/>
    <n v="1916.14"/>
    <n v="15329.12"/>
  </r>
  <r>
    <d v="2023-10-31T00:00:00"/>
    <s v="North"/>
    <s v="Delhi"/>
    <s v="New Delhi"/>
    <s v="Furniture"/>
    <n v="14"/>
    <x v="5"/>
    <n v="26"/>
    <n v="1598.93"/>
    <n v="22385.02"/>
  </r>
  <r>
    <d v="2023-09-05T00:00:00"/>
    <s v="West"/>
    <s v="Maharashtra"/>
    <s v="Nagpur"/>
    <s v="Furniture"/>
    <n v="20"/>
    <x v="6"/>
    <n v="25"/>
    <n v="3474.05"/>
    <n v="69481"/>
  </r>
  <r>
    <d v="2023-03-02T00:00:00"/>
    <s v="West"/>
    <s v="Maharashtra"/>
    <s v="Nagpur"/>
    <s v="Groceries"/>
    <n v="18"/>
    <x v="7"/>
    <n v="31"/>
    <n v="1306.19"/>
    <n v="23511.42"/>
  </r>
  <r>
    <d v="2023-08-24T00:00:00"/>
    <s v="South"/>
    <s v="Karnataka"/>
    <s v="Mysuru"/>
    <s v="Electronics"/>
    <n v="1"/>
    <x v="8"/>
    <n v="36"/>
    <n v="2710.27"/>
    <n v="2710.27"/>
  </r>
  <r>
    <d v="2023-04-12T00:00:00"/>
    <s v="West"/>
    <s v="Gujarat"/>
    <s v="Surat"/>
    <s v="Furniture"/>
    <n v="19"/>
    <x v="9"/>
    <n v="46"/>
    <n v="713.8"/>
    <n v="13562.2"/>
  </r>
  <r>
    <d v="2023-04-22T00:00:00"/>
    <s v="West"/>
    <s v="Gujarat"/>
    <s v="Ahmedabad"/>
    <s v="Clothing"/>
    <n v="6"/>
    <x v="10"/>
    <n v="51"/>
    <n v="1016.27"/>
    <n v="6097.62"/>
  </r>
  <r>
    <d v="2023-08-10T00:00:00"/>
    <s v="North"/>
    <s v="Delhi"/>
    <s v="Dwarka"/>
    <s v="Clothing"/>
    <n v="17"/>
    <x v="11"/>
    <n v="55"/>
    <n v="1645.97"/>
    <n v="27981.49"/>
  </r>
  <r>
    <d v="2023-10-21T00:00:00"/>
    <s v="South"/>
    <s v="Karnataka"/>
    <s v="Mysuru"/>
    <s v="Groceries"/>
    <n v="13"/>
    <x v="0"/>
    <n v="30"/>
    <n v="1976.63"/>
    <n v="25696.19"/>
  </r>
  <r>
    <d v="2023-03-11T00:00:00"/>
    <s v="West"/>
    <s v="Maharashtra"/>
    <s v="Mumbai"/>
    <s v="Clothing"/>
    <n v="20"/>
    <x v="1"/>
    <n v="19"/>
    <n v="1222.92"/>
    <n v="24458.400000000001"/>
  </r>
  <r>
    <d v="2023-07-13T00:00:00"/>
    <s v="South"/>
    <s v="Tamil Nadu"/>
    <s v="Coimbatore"/>
    <s v="Electronics"/>
    <n v="9"/>
    <x v="2"/>
    <n v="20"/>
    <n v="491.64"/>
    <n v="4424.76"/>
  </r>
  <r>
    <d v="2023-03-11T00:00:00"/>
    <s v="West"/>
    <s v="Maharashtra"/>
    <s v="Pune"/>
    <s v="Groceries"/>
    <n v="5"/>
    <x v="3"/>
    <n v="40"/>
    <n v="2583.81"/>
    <n v="12919.05"/>
  </r>
  <r>
    <d v="2023-10-30T00:00:00"/>
    <s v="West"/>
    <s v="Maharashtra"/>
    <s v="Mumbai"/>
    <s v="Clothing"/>
    <n v="5"/>
    <x v="4"/>
    <n v="19"/>
    <n v="3288.58"/>
    <n v="16442.900000000001"/>
  </r>
  <r>
    <d v="2023-12-02T00:00:00"/>
    <s v="South"/>
    <s v="Karnataka"/>
    <s v="Hubli"/>
    <s v="Clothing"/>
    <n v="3"/>
    <x v="5"/>
    <n v="38"/>
    <n v="3445.08"/>
    <n v="10335.24"/>
  </r>
  <r>
    <d v="2023-12-31T00:00:00"/>
    <s v="West"/>
    <s v="Maharashtra"/>
    <s v="Pune"/>
    <s v="Stationery"/>
    <n v="10"/>
    <x v="6"/>
    <n v="32"/>
    <n v="3806.67"/>
    <n v="38066.699999999997"/>
  </r>
  <r>
    <d v="2023-08-24T00:00:00"/>
    <s v="West"/>
    <s v="Gujarat"/>
    <s v="Ahmedabad"/>
    <s v="Electronics"/>
    <n v="16"/>
    <x v="7"/>
    <n v="26"/>
    <n v="796.69"/>
    <n v="12747.04"/>
  </r>
  <r>
    <d v="2023-02-12T00:00:00"/>
    <s v="North"/>
    <s v="Delhi"/>
    <s v="Dwarka"/>
    <s v="Furniture"/>
    <n v="1"/>
    <x v="8"/>
    <n v="25"/>
    <n v="2489.17"/>
    <n v="2489.17"/>
  </r>
  <r>
    <d v="2023-08-08T00:00:00"/>
    <s v="West"/>
    <s v="Maharashtra"/>
    <s v="Mumbai"/>
    <s v="Electronics"/>
    <n v="6"/>
    <x v="9"/>
    <n v="25"/>
    <n v="1701.04"/>
    <n v="10206.24"/>
  </r>
  <r>
    <d v="2023-04-12T00:00:00"/>
    <s v="North"/>
    <s v="Delhi"/>
    <s v="New Delhi"/>
    <s v="Groceries"/>
    <n v="5"/>
    <x v="10"/>
    <n v="31"/>
    <n v="143.78"/>
    <n v="718.9"/>
  </r>
  <r>
    <d v="2023-11-26T00:00:00"/>
    <s v="West"/>
    <s v="Maharashtra"/>
    <s v="Nagpur"/>
    <s v="Electronics"/>
    <n v="20"/>
    <x v="11"/>
    <n v="43"/>
    <n v="1260.25"/>
    <n v="25205"/>
  </r>
  <r>
    <d v="2023-02-12T00:00:00"/>
    <s v="West"/>
    <s v="Maharashtra"/>
    <s v="Pune"/>
    <s v="Groceries"/>
    <n v="18"/>
    <x v="0"/>
    <n v="37"/>
    <n v="3040.28"/>
    <n v="54725.04"/>
  </r>
  <r>
    <d v="2023-06-20T00:00:00"/>
    <s v="West"/>
    <s v="Gujarat"/>
    <s v="Ahmedabad"/>
    <s v="Electronics"/>
    <n v="4"/>
    <x v="1"/>
    <n v="50"/>
    <n v="3561.12"/>
    <n v="14244.48"/>
  </r>
  <r>
    <d v="2023-12-19T00:00:00"/>
    <s v="West"/>
    <s v="Maharashtra"/>
    <s v="Mumbai"/>
    <s v="Electronics"/>
    <n v="19"/>
    <x v="2"/>
    <n v="23"/>
    <n v="3718.59"/>
    <n v="70653.210000000006"/>
  </r>
  <r>
    <d v="2023-01-14T00:00:00"/>
    <s v="North"/>
    <s v="Delhi"/>
    <s v="Karol Bagh"/>
    <s v="Furniture"/>
    <n v="12"/>
    <x v="3"/>
    <n v="25"/>
    <n v="4011.85"/>
    <n v="48142.2"/>
  </r>
  <r>
    <d v="2023-04-17T00:00:00"/>
    <s v="North"/>
    <s v="Delhi"/>
    <s v="Karol Bagh"/>
    <s v="Electronics"/>
    <n v="13"/>
    <x v="4"/>
    <n v="29"/>
    <n v="4542.74"/>
    <n v="59055.62"/>
  </r>
  <r>
    <d v="2023-06-17T00:00:00"/>
    <s v="South"/>
    <s v="Tamil Nadu"/>
    <s v="Madurai"/>
    <s v="Clothing"/>
    <n v="15"/>
    <x v="5"/>
    <n v="18"/>
    <n v="3048.36"/>
    <n v="45725.4"/>
  </r>
  <r>
    <d v="2023-03-19T00:00:00"/>
    <s v="South"/>
    <s v="Tamil Nadu"/>
    <s v="Chennai"/>
    <s v="Furniture"/>
    <n v="4"/>
    <x v="6"/>
    <n v="25"/>
    <n v="366.33"/>
    <n v="1465.32"/>
  </r>
  <r>
    <d v="2023-01-14T00:00:00"/>
    <s v="North"/>
    <s v="Delhi"/>
    <s v="Karol Bagh"/>
    <s v="Groceries"/>
    <n v="9"/>
    <x v="7"/>
    <n v="17"/>
    <n v="3137.87"/>
    <n v="28240.83"/>
  </r>
  <r>
    <d v="2023-10-28T00:00:00"/>
    <s v="North"/>
    <s v="Delhi"/>
    <s v="Karol Bagh"/>
    <s v="Clothing"/>
    <n v="12"/>
    <x v="8"/>
    <n v="41"/>
    <n v="225.88"/>
    <n v="2710.56"/>
  </r>
  <r>
    <d v="2023-08-30T00:00:00"/>
    <s v="South"/>
    <s v="Tamil Nadu"/>
    <s v="Coimbatore"/>
    <s v="Groceries"/>
    <n v="11"/>
    <x v="9"/>
    <n v="29"/>
    <n v="920.95"/>
    <n v="10130.450000000001"/>
  </r>
  <r>
    <d v="2023-05-12T00:00:00"/>
    <s v="North"/>
    <s v="Delhi"/>
    <s v="Dwarka"/>
    <s v="Groceries"/>
    <n v="16"/>
    <x v="10"/>
    <n v="32"/>
    <n v="2991.84"/>
    <n v="47869.440000000002"/>
  </r>
  <r>
    <d v="2023-08-03T00:00:00"/>
    <s v="North"/>
    <s v="Delhi"/>
    <s v="New Delhi"/>
    <s v="Stationery"/>
    <n v="18"/>
    <x v="11"/>
    <n v="27"/>
    <n v="3287.05"/>
    <n v="59166.9"/>
  </r>
  <r>
    <d v="2023-11-23T00:00:00"/>
    <s v="South"/>
    <s v="Karnataka"/>
    <s v="Hubli"/>
    <s v="Groceries"/>
    <n v="12"/>
    <x v="0"/>
    <n v="30"/>
    <n v="1748.6"/>
    <n v="20983.200000000001"/>
  </r>
  <r>
    <d v="2023-07-25T00:00:00"/>
    <s v="South"/>
    <s v="Karnataka"/>
    <s v="Hubli"/>
    <s v="Clothing"/>
    <n v="10"/>
    <x v="1"/>
    <n v="31"/>
    <n v="159.27000000000001"/>
    <n v="1592.7"/>
  </r>
  <r>
    <d v="2023-10-01T00:00:00"/>
    <s v="West"/>
    <s v="Gujarat"/>
    <s v="Surat"/>
    <s v="Clothing"/>
    <n v="20"/>
    <x v="2"/>
    <n v="21"/>
    <n v="4712.75"/>
    <n v="94255"/>
  </r>
  <r>
    <d v="2023-07-25T00:00:00"/>
    <s v="South"/>
    <s v="Tamil Nadu"/>
    <s v="Chennai"/>
    <s v="Stationery"/>
    <n v="12"/>
    <x v="3"/>
    <n v="53"/>
    <n v="2821.2"/>
    <n v="33854.400000000001"/>
  </r>
  <r>
    <d v="2023-07-07T00:00:00"/>
    <s v="South"/>
    <s v="Tamil Nadu"/>
    <s v="Coimbatore"/>
    <s v="Groceries"/>
    <n v="20"/>
    <x v="4"/>
    <n v="26"/>
    <n v="3891.28"/>
    <n v="77825.600000000006"/>
  </r>
  <r>
    <d v="2023-06-03T00:00:00"/>
    <s v="West"/>
    <s v="Maharashtra"/>
    <s v="Nagpur"/>
    <s v="Clothing"/>
    <n v="16"/>
    <x v="5"/>
    <n v="45"/>
    <n v="3599.32"/>
    <n v="57589.120000000003"/>
  </r>
  <r>
    <d v="2023-02-11T00:00:00"/>
    <s v="West"/>
    <s v="Gujarat"/>
    <s v="Vadodara"/>
    <s v="Stationery"/>
    <n v="20"/>
    <x v="6"/>
    <n v="41"/>
    <n v="633.87"/>
    <n v="12677.4"/>
  </r>
  <r>
    <d v="2023-11-27T00:00:00"/>
    <s v="West"/>
    <s v="Gujarat"/>
    <s v="Vadodara"/>
    <s v="Electronics"/>
    <n v="1"/>
    <x v="7"/>
    <n v="51"/>
    <n v="983.24"/>
    <n v="983.24"/>
  </r>
  <r>
    <d v="2023-07-12T00:00:00"/>
    <s v="South"/>
    <s v="Tamil Nadu"/>
    <s v="Madurai"/>
    <s v="Electronics"/>
    <n v="9"/>
    <x v="8"/>
    <n v="40"/>
    <n v="2427.88"/>
    <n v="21850.92"/>
  </r>
  <r>
    <d v="2023-11-23T00:00:00"/>
    <s v="South"/>
    <s v="Karnataka"/>
    <s v="Hubli"/>
    <s v="Clothing"/>
    <n v="16"/>
    <x v="9"/>
    <n v="38"/>
    <n v="2600.48"/>
    <n v="41607.68"/>
  </r>
  <r>
    <d v="2023-03-28T00:00:00"/>
    <s v="North"/>
    <s v="Delhi"/>
    <s v="New Delhi"/>
    <s v="Electronics"/>
    <n v="1"/>
    <x v="10"/>
    <n v="23"/>
    <n v="1967.8"/>
    <n v="1967.8"/>
  </r>
  <r>
    <d v="2023-08-03T00:00:00"/>
    <s v="West"/>
    <s v="Maharashtra"/>
    <s v="Mumbai"/>
    <s v="Furniture"/>
    <n v="14"/>
    <x v="11"/>
    <n v="40"/>
    <n v="2918.42"/>
    <n v="40857.879999999997"/>
  </r>
  <r>
    <d v="2023-12-07T00:00:00"/>
    <s v="North"/>
    <s v="Delhi"/>
    <s v="Dwarka"/>
    <s v="Furniture"/>
    <n v="20"/>
    <x v="0"/>
    <n v="17"/>
    <n v="4821.82"/>
    <n v="96436.4"/>
  </r>
  <r>
    <d v="2023-12-27T00:00:00"/>
    <s v="West"/>
    <s v="Maharashtra"/>
    <s v="Pune"/>
    <s v="Stationery"/>
    <n v="11"/>
    <x v="1"/>
    <n v="16"/>
    <n v="923.59"/>
    <n v="10159.49"/>
  </r>
  <r>
    <d v="2023-04-12T00:00:00"/>
    <s v="North"/>
    <s v="Delhi"/>
    <s v="New Delhi"/>
    <s v="Furniture"/>
    <n v="1"/>
    <x v="2"/>
    <n v="34"/>
    <n v="1410.8"/>
    <n v="1410.8"/>
  </r>
  <r>
    <d v="2023-03-18T00:00:00"/>
    <s v="South"/>
    <s v="Tamil Nadu"/>
    <s v="Madurai"/>
    <s v="Clothing"/>
    <n v="16"/>
    <x v="3"/>
    <n v="41"/>
    <n v="874.99"/>
    <n v="13999.84"/>
  </r>
  <r>
    <d v="2023-09-03T00:00:00"/>
    <s v="North"/>
    <s v="Delhi"/>
    <s v="Dwarka"/>
    <s v="Electronics"/>
    <n v="5"/>
    <x v="4"/>
    <n v="33"/>
    <n v="4165.41"/>
    <n v="20827.05"/>
  </r>
  <r>
    <d v="2023-01-14T00:00:00"/>
    <s v="South"/>
    <s v="Tamil Nadu"/>
    <s v="Madurai"/>
    <s v="Furniture"/>
    <n v="2"/>
    <x v="5"/>
    <n v="47"/>
    <n v="3072.48"/>
    <n v="6144.96"/>
  </r>
  <r>
    <d v="2023-09-30T00:00:00"/>
    <s v="West"/>
    <s v="Gujarat"/>
    <s v="Surat"/>
    <s v="Clothing"/>
    <n v="11"/>
    <x v="6"/>
    <n v="25"/>
    <n v="793.45"/>
    <n v="8727.9500000000007"/>
  </r>
  <r>
    <d v="2023-07-17T00:00:00"/>
    <s v="North"/>
    <s v="Delhi"/>
    <s v="Karol Bagh"/>
    <s v="Stationery"/>
    <n v="3"/>
    <x v="7"/>
    <n v="32"/>
    <n v="2040.38"/>
    <n v="6121.14"/>
  </r>
  <r>
    <d v="2023-02-28T00:00:00"/>
    <s v="West"/>
    <s v="Maharashtra"/>
    <s v="Mumbai"/>
    <s v="Groceries"/>
    <n v="4"/>
    <x v="8"/>
    <n v="40"/>
    <n v="1080.1600000000001"/>
    <n v="4320.6400000000003"/>
  </r>
  <r>
    <d v="2023-07-22T00:00:00"/>
    <s v="West"/>
    <s v="Maharashtra"/>
    <s v="Mumbai"/>
    <s v="Clothing"/>
    <n v="20"/>
    <x v="9"/>
    <n v="50"/>
    <n v="2631.58"/>
    <n v="52631.6"/>
  </r>
  <r>
    <d v="2023-03-02T00:00:00"/>
    <s v="West"/>
    <s v="Gujarat"/>
    <s v="Ahmedabad"/>
    <s v="Clothing"/>
    <n v="18"/>
    <x v="10"/>
    <n v="48"/>
    <n v="1164.29"/>
    <n v="20957.22"/>
  </r>
  <r>
    <d v="2023-11-27T00:00:00"/>
    <s v="West"/>
    <s v="Maharashtra"/>
    <s v="Pune"/>
    <s v="Stationery"/>
    <n v="6"/>
    <x v="11"/>
    <n v="53"/>
    <n v="177.34"/>
    <n v="1064.04"/>
  </r>
  <r>
    <d v="2023-12-19T00:00:00"/>
    <s v="West"/>
    <s v="Maharashtra"/>
    <s v="Mumbai"/>
    <s v="Clothing"/>
    <n v="20"/>
    <x v="0"/>
    <n v="18"/>
    <n v="1507.52"/>
    <n v="30150.400000000001"/>
  </r>
  <r>
    <d v="2023-05-27T00:00:00"/>
    <s v="West"/>
    <s v="Maharashtra"/>
    <s v="Pune"/>
    <s v="Stationery"/>
    <n v="10"/>
    <x v="1"/>
    <n v="29"/>
    <n v="938.57"/>
    <n v="9385.7000000000007"/>
  </r>
  <r>
    <d v="2023-04-27T00:00:00"/>
    <s v="South"/>
    <s v="Karnataka"/>
    <s v="Mysuru"/>
    <s v="Stationery"/>
    <n v="18"/>
    <x v="2"/>
    <n v="38"/>
    <n v="1156.17"/>
    <n v="20811.060000000001"/>
  </r>
  <r>
    <d v="2023-10-26T00:00:00"/>
    <s v="West"/>
    <s v="Maharashtra"/>
    <s v="Mumbai"/>
    <s v="Stationery"/>
    <n v="4"/>
    <x v="3"/>
    <n v="18"/>
    <n v="4386.54"/>
    <n v="17546.16"/>
  </r>
  <r>
    <d v="2023-11-15T00:00:00"/>
    <s v="North"/>
    <s v="Delhi"/>
    <s v="Karol Bagh"/>
    <s v="Clothing"/>
    <n v="6"/>
    <x v="4"/>
    <n v="36"/>
    <n v="3175.44"/>
    <n v="19052.64"/>
  </r>
  <r>
    <d v="2023-04-28T00:00:00"/>
    <s v="West"/>
    <s v="Maharashtra"/>
    <s v="Nagpur"/>
    <s v="Groceries"/>
    <n v="12"/>
    <x v="5"/>
    <n v="26"/>
    <n v="992.16"/>
    <n v="11905.92"/>
  </r>
  <r>
    <d v="2023-10-10T00:00:00"/>
    <s v="West"/>
    <s v="Maharashtra"/>
    <s v="Nagpur"/>
    <s v="Clothing"/>
    <n v="15"/>
    <x v="6"/>
    <n v="43"/>
    <n v="2148.0100000000002"/>
    <n v="32220.15"/>
  </r>
  <r>
    <d v="2023-01-10T00:00:00"/>
    <s v="South"/>
    <s v="Tamil Nadu"/>
    <s v="Madurai"/>
    <s v="Electronics"/>
    <n v="11"/>
    <x v="7"/>
    <n v="28"/>
    <n v="2491.8000000000002"/>
    <n v="27409.8"/>
  </r>
  <r>
    <d v="2023-01-14T00:00:00"/>
    <s v="South"/>
    <s v="Tamil Nadu"/>
    <s v="Chennai"/>
    <s v="Electronics"/>
    <n v="14"/>
    <x v="8"/>
    <n v="16"/>
    <n v="1293.27"/>
    <n v="18105.78"/>
  </r>
  <r>
    <d v="2023-02-01T00:00:00"/>
    <s v="West"/>
    <s v="Gujarat"/>
    <s v="Ahmedabad"/>
    <s v="Furniture"/>
    <n v="17"/>
    <x v="9"/>
    <n v="24"/>
    <n v="1356.25"/>
    <n v="23056.25"/>
  </r>
  <r>
    <d v="2023-02-27T00:00:00"/>
    <s v="West"/>
    <s v="Maharashtra"/>
    <s v="Nagpur"/>
    <s v="Stationery"/>
    <n v="2"/>
    <x v="10"/>
    <n v="20"/>
    <n v="2875.84"/>
    <n v="5751.68"/>
  </r>
  <r>
    <d v="2023-05-08T00:00:00"/>
    <s v="West"/>
    <s v="Gujarat"/>
    <s v="Ahmedabad"/>
    <s v="Electronics"/>
    <n v="3"/>
    <x v="11"/>
    <n v="35"/>
    <n v="3861.09"/>
    <n v="11583.27"/>
  </r>
  <r>
    <d v="2023-10-08T00:00:00"/>
    <s v="West"/>
    <s v="Maharashtra"/>
    <s v="Pune"/>
    <s v="Clothing"/>
    <n v="19"/>
    <x v="0"/>
    <n v="41"/>
    <n v="182.01"/>
    <n v="3458.19"/>
  </r>
  <r>
    <d v="2023-01-06T00:00:00"/>
    <s v="South"/>
    <s v="Tamil Nadu"/>
    <s v="Chennai"/>
    <s v="Stationery"/>
    <n v="2"/>
    <x v="1"/>
    <n v="42"/>
    <n v="1582.65"/>
    <n v="3165.3"/>
  </r>
  <r>
    <d v="2023-12-22T00:00:00"/>
    <s v="North"/>
    <s v="Delhi"/>
    <s v="New Delhi"/>
    <s v="Clothing"/>
    <n v="12"/>
    <x v="2"/>
    <n v="43"/>
    <n v="538.91"/>
    <n v="6466.92"/>
  </r>
  <r>
    <d v="2023-04-24T00:00:00"/>
    <s v="West"/>
    <s v="Maharashtra"/>
    <s v="Nagpur"/>
    <s v="Electronics"/>
    <n v="19"/>
    <x v="3"/>
    <n v="52"/>
    <n v="4943.6899999999996"/>
    <n v="93930.11"/>
  </r>
  <r>
    <d v="2023-05-30T00:00:00"/>
    <s v="South"/>
    <s v="Tamil Nadu"/>
    <s v="Coimbatore"/>
    <s v="Stationery"/>
    <n v="1"/>
    <x v="4"/>
    <n v="37"/>
    <n v="2664.84"/>
    <n v="2664.84"/>
  </r>
  <r>
    <d v="2023-05-28T00:00:00"/>
    <s v="West"/>
    <s v="Gujarat"/>
    <s v="Ahmedabad"/>
    <s v="Groceries"/>
    <n v="5"/>
    <x v="5"/>
    <n v="36"/>
    <n v="877.62"/>
    <n v="4388.1000000000004"/>
  </r>
  <r>
    <d v="2023-05-13T00:00:00"/>
    <s v="West"/>
    <s v="Gujarat"/>
    <s v="Vadodara"/>
    <s v="Clothing"/>
    <n v="3"/>
    <x v="6"/>
    <n v="20"/>
    <n v="4059.76"/>
    <n v="12179.28"/>
  </r>
  <r>
    <d v="2023-10-01T00:00:00"/>
    <s v="West"/>
    <s v="Maharashtra"/>
    <s v="Nagpur"/>
    <s v="Furniture"/>
    <n v="16"/>
    <x v="7"/>
    <n v="34"/>
    <n v="3988.32"/>
    <n v="63813.120000000003"/>
  </r>
  <r>
    <d v="2023-11-11T00:00:00"/>
    <s v="West"/>
    <s v="Gujarat"/>
    <s v="Surat"/>
    <s v="Furniture"/>
    <n v="16"/>
    <x v="8"/>
    <n v="28"/>
    <n v="1023.78"/>
    <n v="16380.48"/>
  </r>
  <r>
    <d v="2023-01-04T00:00:00"/>
    <s v="West"/>
    <s v="Gujarat"/>
    <s v="Surat"/>
    <s v="Electronics"/>
    <n v="4"/>
    <x v="9"/>
    <n v="46"/>
    <n v="1027.32"/>
    <n v="4109.28"/>
  </r>
  <r>
    <d v="2023-09-25T00:00:00"/>
    <s v="West"/>
    <s v="Maharashtra"/>
    <s v="Nagpur"/>
    <s v="Clothing"/>
    <n v="7"/>
    <x v="10"/>
    <n v="27"/>
    <n v="392.9"/>
    <n v="2750.3"/>
  </r>
  <r>
    <d v="2023-04-24T00:00:00"/>
    <s v="South"/>
    <s v="Karnataka"/>
    <s v="Mysuru"/>
    <s v="Clothing"/>
    <n v="7"/>
    <x v="11"/>
    <n v="52"/>
    <n v="1590.73"/>
    <n v="11135.11"/>
  </r>
  <r>
    <d v="2023-11-27T00:00:00"/>
    <s v="South"/>
    <s v="Karnataka"/>
    <s v="Mysuru"/>
    <s v="Clothing"/>
    <n v="8"/>
    <x v="0"/>
    <n v="55"/>
    <n v="3120.6"/>
    <n v="24964.799999999999"/>
  </r>
  <r>
    <d v="2023-11-27T00:00:00"/>
    <s v="South"/>
    <s v="Karnataka"/>
    <s v="Mysuru"/>
    <s v="Stationery"/>
    <n v="7"/>
    <x v="1"/>
    <n v="55"/>
    <n v="633.15"/>
    <n v="4432.05"/>
  </r>
  <r>
    <d v="2023-10-27T00:00:00"/>
    <s v="South"/>
    <s v="Tamil Nadu"/>
    <s v="Coimbatore"/>
    <s v="Clothing"/>
    <n v="1"/>
    <x v="2"/>
    <n v="22"/>
    <n v="4443.22"/>
    <n v="4443.22"/>
  </r>
  <r>
    <d v="2023-05-12T00:00:00"/>
    <s v="North"/>
    <s v="Delhi"/>
    <s v="Karol Bagh"/>
    <s v="Clothing"/>
    <n v="16"/>
    <x v="3"/>
    <n v="35"/>
    <n v="199.87"/>
    <n v="3197.92"/>
  </r>
  <r>
    <d v="2023-04-06T00:00:00"/>
    <s v="West"/>
    <s v="Gujarat"/>
    <s v="Surat"/>
    <s v="Groceries"/>
    <n v="3"/>
    <x v="4"/>
    <n v="48"/>
    <n v="1129.83"/>
    <n v="3389.49"/>
  </r>
  <r>
    <d v="2023-05-09T00:00:00"/>
    <s v="South"/>
    <s v="Karnataka"/>
    <s v="Bengaluru"/>
    <s v="Clothing"/>
    <n v="16"/>
    <x v="5"/>
    <n v="31"/>
    <n v="502.59"/>
    <n v="8041.44"/>
  </r>
  <r>
    <d v="2023-08-20T00:00:00"/>
    <s v="West"/>
    <s v="Gujarat"/>
    <s v="Surat"/>
    <s v="Groceries"/>
    <n v="17"/>
    <x v="6"/>
    <n v="17"/>
    <n v="1217.48"/>
    <n v="20697.16"/>
  </r>
  <r>
    <d v="2023-01-06T00:00:00"/>
    <s v="North"/>
    <s v="Delhi"/>
    <s v="Dwarka"/>
    <s v="Stationery"/>
    <n v="6"/>
    <x v="7"/>
    <n v="36"/>
    <n v="4673.01"/>
    <n v="28038.06"/>
  </r>
  <r>
    <d v="2023-03-21T00:00:00"/>
    <s v="West"/>
    <s v="Maharashtra"/>
    <s v="Pune"/>
    <s v="Stationery"/>
    <n v="19"/>
    <x v="8"/>
    <n v="34"/>
    <n v="4229.42"/>
    <n v="80358.98"/>
  </r>
  <r>
    <d v="2023-08-25T00:00:00"/>
    <s v="West"/>
    <s v="Maharashtra"/>
    <s v="Mumbai"/>
    <s v="Stationery"/>
    <n v="16"/>
    <x v="9"/>
    <n v="40"/>
    <n v="3580.79"/>
    <n v="57292.639999999999"/>
  </r>
  <r>
    <d v="2023-04-21T00:00:00"/>
    <s v="North"/>
    <s v="Delhi"/>
    <s v="Dwarka"/>
    <s v="Clothing"/>
    <n v="5"/>
    <x v="10"/>
    <n v="21"/>
    <n v="3181.48"/>
    <n v="15907.4"/>
  </r>
  <r>
    <d v="2023-05-30T00:00:00"/>
    <s v="South"/>
    <s v="Karnataka"/>
    <s v="Mysuru"/>
    <s v="Furniture"/>
    <n v="8"/>
    <x v="11"/>
    <n v="25"/>
    <n v="659.36"/>
    <n v="5274.88"/>
  </r>
  <r>
    <d v="2023-07-03T00:00:00"/>
    <s v="North"/>
    <s v="Delhi"/>
    <s v="New Delhi"/>
    <s v="Clothing"/>
    <n v="17"/>
    <x v="0"/>
    <n v="50"/>
    <n v="2045.39"/>
    <n v="34771.629999999997"/>
  </r>
  <r>
    <d v="2023-08-21T00:00:00"/>
    <s v="South"/>
    <s v="Tamil Nadu"/>
    <s v="Chennai"/>
    <s v="Groceries"/>
    <n v="7"/>
    <x v="1"/>
    <n v="26"/>
    <n v="711.35"/>
    <n v="4979.45"/>
  </r>
  <r>
    <d v="2023-01-04T00:00:00"/>
    <s v="South"/>
    <s v="Tamil Nadu"/>
    <s v="Madurai"/>
    <s v="Electronics"/>
    <n v="13"/>
    <x v="2"/>
    <n v="23"/>
    <n v="2913.56"/>
    <n v="37876.28"/>
  </r>
  <r>
    <d v="2023-03-31T00:00:00"/>
    <s v="South"/>
    <s v="Tamil Nadu"/>
    <s v="Madurai"/>
    <s v="Furniture"/>
    <n v="4"/>
    <x v="3"/>
    <n v="17"/>
    <n v="2701.93"/>
    <n v="10807.72"/>
  </r>
  <r>
    <d v="2023-10-02T00:00:00"/>
    <s v="North"/>
    <s v="Delhi"/>
    <s v="Dwarka"/>
    <s v="Stationery"/>
    <n v="11"/>
    <x v="4"/>
    <n v="32"/>
    <n v="124.03"/>
    <n v="1364.33"/>
  </r>
  <r>
    <d v="2023-07-06T00:00:00"/>
    <s v="West"/>
    <s v="Maharashtra"/>
    <s v="Nagpur"/>
    <s v="Electronics"/>
    <n v="15"/>
    <x v="5"/>
    <n v="19"/>
    <n v="2551.6"/>
    <n v="38274"/>
  </r>
  <r>
    <d v="2023-01-23T00:00:00"/>
    <s v="West"/>
    <s v="Maharashtra"/>
    <s v="Mumbai"/>
    <s v="Furniture"/>
    <n v="8"/>
    <x v="6"/>
    <n v="32"/>
    <n v="1412.48"/>
    <n v="11299.84"/>
  </r>
  <r>
    <d v="2023-05-10T00:00:00"/>
    <s v="West"/>
    <s v="Maharashtra"/>
    <s v="Mumbai"/>
    <s v="Clothing"/>
    <n v="18"/>
    <x v="7"/>
    <n v="24"/>
    <n v="2074.52"/>
    <n v="37341.360000000001"/>
  </r>
  <r>
    <d v="2023-02-28T00:00:00"/>
    <s v="South"/>
    <s v="Tamil Nadu"/>
    <s v="Coimbatore"/>
    <s v="Stationery"/>
    <n v="14"/>
    <x v="8"/>
    <n v="36"/>
    <n v="4009.33"/>
    <n v="56130.62"/>
  </r>
  <r>
    <d v="2023-10-07T00:00:00"/>
    <s v="West"/>
    <s v="Gujarat"/>
    <s v="Ahmedabad"/>
    <s v="Clothing"/>
    <n v="2"/>
    <x v="9"/>
    <n v="50"/>
    <n v="4664.91"/>
    <n v="9329.82"/>
  </r>
  <r>
    <d v="2023-03-07T00:00:00"/>
    <s v="West"/>
    <s v="Maharashtra"/>
    <s v="Pune"/>
    <s v="Clothing"/>
    <n v="17"/>
    <x v="10"/>
    <n v="53"/>
    <n v="1759.91"/>
    <n v="29918.47"/>
  </r>
  <r>
    <d v="2023-04-28T00:00:00"/>
    <s v="South"/>
    <s v="Karnataka"/>
    <s v="Mysuru"/>
    <s v="Groceries"/>
    <n v="9"/>
    <x v="11"/>
    <n v="21"/>
    <n v="4485.21"/>
    <n v="40366.89"/>
  </r>
  <r>
    <d v="2023-08-26T00:00:00"/>
    <s v="West"/>
    <s v="Maharashtra"/>
    <s v="Mumbai"/>
    <s v="Electronics"/>
    <n v="4"/>
    <x v="0"/>
    <n v="51"/>
    <n v="1788.95"/>
    <n v="7155.8"/>
  </r>
  <r>
    <d v="2023-09-08T00:00:00"/>
    <s v="West"/>
    <s v="Gujarat"/>
    <s v="Surat"/>
    <s v="Stationery"/>
    <n v="15"/>
    <x v="1"/>
    <n v="38"/>
    <n v="916.75"/>
    <n v="13751.25"/>
  </r>
  <r>
    <d v="2023-04-27T00:00:00"/>
    <s v="North"/>
    <s v="Delhi"/>
    <s v="Karol Bagh"/>
    <s v="Stationery"/>
    <n v="13"/>
    <x v="2"/>
    <n v="32"/>
    <n v="2327.81"/>
    <n v="30261.53"/>
  </r>
  <r>
    <d v="2023-02-11T00:00:00"/>
    <s v="West"/>
    <s v="Maharashtra"/>
    <s v="Mumbai"/>
    <s v="Electronics"/>
    <n v="16"/>
    <x v="3"/>
    <n v="35"/>
    <n v="2954.32"/>
    <n v="47269.120000000003"/>
  </r>
  <r>
    <d v="2023-04-25T00:00:00"/>
    <s v="South"/>
    <s v="Tamil Nadu"/>
    <s v="Coimbatore"/>
    <s v="Stationery"/>
    <n v="14"/>
    <x v="4"/>
    <n v="38"/>
    <n v="4935.34"/>
    <n v="69094.759999999995"/>
  </r>
  <r>
    <d v="2023-05-17T00:00:00"/>
    <s v="South"/>
    <s v="Karnataka"/>
    <s v="Bengaluru"/>
    <s v="Stationery"/>
    <n v="2"/>
    <x v="5"/>
    <n v="34"/>
    <n v="1063.3499999999999"/>
    <n v="2126.6999999999998"/>
  </r>
  <r>
    <d v="2023-06-21T00:00:00"/>
    <s v="West"/>
    <s v="Maharashtra"/>
    <s v="Pune"/>
    <s v="Electronics"/>
    <n v="7"/>
    <x v="6"/>
    <n v="25"/>
    <n v="859.87"/>
    <n v="6019.09"/>
  </r>
  <r>
    <d v="2023-05-28T00:00:00"/>
    <s v="South"/>
    <s v="Tamil Nadu"/>
    <s v="Chennai"/>
    <s v="Groceries"/>
    <n v="10"/>
    <x v="7"/>
    <n v="27"/>
    <n v="4413.5"/>
    <n v="44135"/>
  </r>
  <r>
    <d v="2023-05-12T00:00:00"/>
    <s v="West"/>
    <s v="Gujarat"/>
    <s v="Vadodara"/>
    <s v="Groceries"/>
    <n v="12"/>
    <x v="8"/>
    <n v="22"/>
    <n v="2438.6799999999998"/>
    <n v="29264.16"/>
  </r>
  <r>
    <d v="2023-10-20T00:00:00"/>
    <s v="North"/>
    <s v="Delhi"/>
    <s v="Dwarka"/>
    <s v="Stationery"/>
    <n v="5"/>
    <x v="9"/>
    <n v="42"/>
    <n v="214.25"/>
    <n v="1071.25"/>
  </r>
  <r>
    <d v="2023-10-11T00:00:00"/>
    <s v="South"/>
    <s v="Karnataka"/>
    <s v="Bengaluru"/>
    <s v="Furniture"/>
    <n v="9"/>
    <x v="10"/>
    <n v="40"/>
    <n v="3193.9"/>
    <n v="28745.1"/>
  </r>
  <r>
    <d v="2023-11-19T00:00:00"/>
    <s v="West"/>
    <s v="Maharashtra"/>
    <s v="Mumbai"/>
    <s v="Furniture"/>
    <n v="15"/>
    <x v="11"/>
    <n v="44"/>
    <n v="4785.6099999999997"/>
    <n v="71784.149999999994"/>
  </r>
  <r>
    <d v="2023-07-10T00:00:00"/>
    <s v="North"/>
    <s v="Delhi"/>
    <s v="New Delhi"/>
    <s v="Electronics"/>
    <n v="8"/>
    <x v="0"/>
    <n v="22"/>
    <n v="2606.36"/>
    <n v="20850.88"/>
  </r>
  <r>
    <d v="2023-09-17T00:00:00"/>
    <s v="North"/>
    <s v="Delhi"/>
    <s v="Dwarka"/>
    <s v="Clothing"/>
    <n v="18"/>
    <x v="1"/>
    <n v="16"/>
    <n v="1986.52"/>
    <n v="35757.360000000001"/>
  </r>
  <r>
    <d v="2023-02-23T00:00:00"/>
    <s v="West"/>
    <s v="Maharashtra"/>
    <s v="Nagpur"/>
    <s v="Furniture"/>
    <n v="4"/>
    <x v="2"/>
    <n v="28"/>
    <n v="4245.67"/>
    <n v="16982.68"/>
  </r>
  <r>
    <d v="2023-06-29T00:00:00"/>
    <s v="West"/>
    <s v="Gujarat"/>
    <s v="Ahmedabad"/>
    <s v="Groceries"/>
    <n v="14"/>
    <x v="3"/>
    <n v="31"/>
    <n v="283.7"/>
    <n v="3971.8"/>
  </r>
  <r>
    <d v="2023-10-24T00:00:00"/>
    <s v="West"/>
    <s v="Maharashtra"/>
    <s v="Pune"/>
    <s v="Stationery"/>
    <n v="2"/>
    <x v="4"/>
    <n v="35"/>
    <n v="3753.37"/>
    <n v="7506.74"/>
  </r>
  <r>
    <d v="2023-04-22T00:00:00"/>
    <s v="South"/>
    <s v="Karnataka"/>
    <s v="Mysuru"/>
    <s v="Electronics"/>
    <n v="5"/>
    <x v="5"/>
    <n v="44"/>
    <n v="1566.04"/>
    <n v="7830.2"/>
  </r>
  <r>
    <d v="2023-07-22T00:00:00"/>
    <s v="North"/>
    <s v="Delhi"/>
    <s v="Dwarka"/>
    <s v="Furniture"/>
    <n v="19"/>
    <x v="6"/>
    <n v="34"/>
    <n v="3694.62"/>
    <n v="70197.78"/>
  </r>
  <r>
    <d v="2023-09-26T00:00:00"/>
    <s v="South"/>
    <s v="Karnataka"/>
    <s v="Hubli"/>
    <s v="Furniture"/>
    <n v="15"/>
    <x v="7"/>
    <n v="34"/>
    <n v="413.63"/>
    <n v="6204.45"/>
  </r>
  <r>
    <d v="2023-12-23T00:00:00"/>
    <s v="West"/>
    <s v="Maharashtra"/>
    <s v="Nagpur"/>
    <s v="Clothing"/>
    <n v="10"/>
    <x v="8"/>
    <n v="25"/>
    <n v="3907.49"/>
    <n v="39074.9"/>
  </r>
  <r>
    <d v="2023-03-07T00:00:00"/>
    <s v="West"/>
    <s v="Maharashtra"/>
    <s v="Mumbai"/>
    <s v="Furniture"/>
    <n v="14"/>
    <x v="9"/>
    <n v="16"/>
    <n v="3259.64"/>
    <n v="45634.96"/>
  </r>
  <r>
    <d v="2023-10-01T00:00:00"/>
    <s v="South"/>
    <s v="Tamil Nadu"/>
    <s v="Chennai"/>
    <s v="Stationery"/>
    <n v="4"/>
    <x v="10"/>
    <n v="54"/>
    <n v="637.89"/>
    <n v="2551.56"/>
  </r>
  <r>
    <d v="2023-12-22T00:00:00"/>
    <s v="South"/>
    <s v="Tamil Nadu"/>
    <s v="Chennai"/>
    <s v="Clothing"/>
    <n v="20"/>
    <x v="11"/>
    <n v="54"/>
    <n v="2123.15"/>
    <n v="42463"/>
  </r>
  <r>
    <d v="2023-01-16T00:00:00"/>
    <s v="South"/>
    <s v="Tamil Nadu"/>
    <s v="Madurai"/>
    <s v="Furniture"/>
    <n v="19"/>
    <x v="0"/>
    <n v="43"/>
    <n v="4771.5"/>
    <n v="90658.5"/>
  </r>
  <r>
    <d v="2023-11-20T00:00:00"/>
    <s v="South"/>
    <s v="Karnataka"/>
    <s v="Hubli"/>
    <s v="Stationery"/>
    <n v="12"/>
    <x v="1"/>
    <n v="49"/>
    <n v="3703.31"/>
    <n v="44439.72"/>
  </r>
  <r>
    <d v="2023-01-12T00:00:00"/>
    <s v="West"/>
    <s v="Gujarat"/>
    <s v="Vadodara"/>
    <s v="Stationery"/>
    <n v="5"/>
    <x v="2"/>
    <n v="25"/>
    <n v="3631.01"/>
    <n v="18155.05"/>
  </r>
  <r>
    <d v="2023-06-20T00:00:00"/>
    <s v="North"/>
    <s v="Delhi"/>
    <s v="New Delhi"/>
    <s v="Furniture"/>
    <n v="20"/>
    <x v="3"/>
    <n v="43"/>
    <n v="4035.61"/>
    <n v="80712.2"/>
  </r>
  <r>
    <d v="2023-01-29T00:00:00"/>
    <s v="West"/>
    <s v="Maharashtra"/>
    <s v="Nagpur"/>
    <s v="Furniture"/>
    <n v="2"/>
    <x v="4"/>
    <n v="49"/>
    <n v="3297.48"/>
    <n v="6594.96"/>
  </r>
  <r>
    <d v="2023-01-08T00:00:00"/>
    <s v="North"/>
    <s v="Delhi"/>
    <s v="New Delhi"/>
    <s v="Stationery"/>
    <n v="9"/>
    <x v="5"/>
    <n v="19"/>
    <n v="455.98"/>
    <n v="4103.82"/>
  </r>
  <r>
    <d v="2023-03-08T00:00:00"/>
    <s v="North"/>
    <s v="Delhi"/>
    <s v="New Delhi"/>
    <s v="Stationery"/>
    <n v="19"/>
    <x v="6"/>
    <n v="26"/>
    <n v="1414.78"/>
    <n v="26880.82"/>
  </r>
  <r>
    <d v="2023-06-28T00:00:00"/>
    <s v="South"/>
    <s v="Tamil Nadu"/>
    <s v="Coimbatore"/>
    <s v="Groceries"/>
    <n v="7"/>
    <x v="7"/>
    <n v="32"/>
    <n v="705.03"/>
    <n v="4935.21"/>
  </r>
  <r>
    <d v="2023-12-18T00:00:00"/>
    <s v="West"/>
    <s v="Maharashtra"/>
    <s v="Mumbai"/>
    <s v="Furniture"/>
    <n v="2"/>
    <x v="8"/>
    <n v="45"/>
    <n v="1377.64"/>
    <n v="2755.28"/>
  </r>
  <r>
    <d v="2023-05-25T00:00:00"/>
    <s v="North"/>
    <s v="Delhi"/>
    <s v="Karol Bagh"/>
    <s v="Groceries"/>
    <n v="20"/>
    <x v="9"/>
    <n v="35"/>
    <n v="2344.7600000000002"/>
    <n v="46895.199999999997"/>
  </r>
  <r>
    <d v="2023-01-30T00:00:00"/>
    <s v="West"/>
    <s v="Gujarat"/>
    <s v="Ahmedabad"/>
    <s v="Stationery"/>
    <n v="19"/>
    <x v="10"/>
    <n v="28"/>
    <n v="4920.4399999999996"/>
    <n v="93488.36"/>
  </r>
  <r>
    <d v="2023-11-22T00:00:00"/>
    <s v="West"/>
    <s v="Gujarat"/>
    <s v="Vadodara"/>
    <s v="Groceries"/>
    <n v="9"/>
    <x v="11"/>
    <n v="35"/>
    <n v="3209.83"/>
    <n v="28888.47"/>
  </r>
  <r>
    <d v="2023-03-07T00:00:00"/>
    <s v="West"/>
    <s v="Gujarat"/>
    <s v="Ahmedabad"/>
    <s v="Groceries"/>
    <n v="20"/>
    <x v="0"/>
    <n v="24"/>
    <n v="1916.52"/>
    <n v="38330.400000000001"/>
  </r>
  <r>
    <d v="2023-08-10T00:00:00"/>
    <s v="South"/>
    <s v="Tamil Nadu"/>
    <s v="Madurai"/>
    <s v="Groceries"/>
    <n v="4"/>
    <x v="1"/>
    <n v="18"/>
    <n v="2740.14"/>
    <n v="10960.56"/>
  </r>
  <r>
    <d v="2023-04-04T00:00:00"/>
    <s v="North"/>
    <s v="Delhi"/>
    <s v="New Delhi"/>
    <s v="Clothing"/>
    <n v="14"/>
    <x v="2"/>
    <n v="55"/>
    <n v="1116.79"/>
    <n v="15635.06"/>
  </r>
  <r>
    <d v="2023-02-07T00:00:00"/>
    <s v="West"/>
    <s v="Maharashtra"/>
    <s v="Nagpur"/>
    <s v="Clothing"/>
    <n v="11"/>
    <x v="3"/>
    <n v="28"/>
    <n v="335.31"/>
    <n v="3688.41"/>
  </r>
  <r>
    <d v="2023-02-20T00:00:00"/>
    <s v="West"/>
    <s v="Maharashtra"/>
    <s v="Nagpur"/>
    <s v="Stationery"/>
    <n v="9"/>
    <x v="4"/>
    <n v="35"/>
    <n v="1474.56"/>
    <n v="13271.04"/>
  </r>
  <r>
    <d v="2023-03-25T00:00:00"/>
    <s v="South"/>
    <s v="Tamil Nadu"/>
    <s v="Madurai"/>
    <s v="Groceries"/>
    <n v="5"/>
    <x v="5"/>
    <n v="24"/>
    <n v="695.3"/>
    <n v="3476.5"/>
  </r>
  <r>
    <d v="2023-05-10T00:00:00"/>
    <s v="South"/>
    <s v="Karnataka"/>
    <s v="Bengaluru"/>
    <s v="Clothing"/>
    <n v="15"/>
    <x v="6"/>
    <n v="36"/>
    <n v="3611.2"/>
    <n v="54168"/>
  </r>
  <r>
    <d v="2023-04-15T00:00:00"/>
    <s v="South"/>
    <s v="Tamil Nadu"/>
    <s v="Coimbatore"/>
    <s v="Furniture"/>
    <n v="8"/>
    <x v="7"/>
    <n v="55"/>
    <n v="592.82000000000005"/>
    <n v="4742.5600000000004"/>
  </r>
  <r>
    <d v="2023-03-16T00:00:00"/>
    <s v="West"/>
    <s v="Maharashtra"/>
    <s v="Mumbai"/>
    <s v="Electronics"/>
    <n v="1"/>
    <x v="8"/>
    <n v="26"/>
    <n v="568.54999999999995"/>
    <n v="568.54999999999995"/>
  </r>
  <r>
    <d v="2023-02-28T00:00:00"/>
    <s v="South"/>
    <s v="Tamil Nadu"/>
    <s v="Coimbatore"/>
    <s v="Furniture"/>
    <n v="5"/>
    <x v="9"/>
    <n v="33"/>
    <n v="1319.46"/>
    <n v="6597.3"/>
  </r>
  <r>
    <d v="2023-07-20T00:00:00"/>
    <s v="South"/>
    <s v="Tamil Nadu"/>
    <s v="Coimbatore"/>
    <s v="Electronics"/>
    <n v="7"/>
    <x v="10"/>
    <n v="45"/>
    <n v="222.61"/>
    <n v="1558.27"/>
  </r>
  <r>
    <d v="2023-06-24T00:00:00"/>
    <s v="West"/>
    <s v="Gujarat"/>
    <s v="Surat"/>
    <s v="Furniture"/>
    <n v="1"/>
    <x v="11"/>
    <n v="51"/>
    <n v="4117.97"/>
    <n v="4117.97"/>
  </r>
  <r>
    <d v="2023-06-29T00:00:00"/>
    <s v="North"/>
    <s v="Delhi"/>
    <s v="Dwarka"/>
    <s v="Clothing"/>
    <n v="1"/>
    <x v="0"/>
    <n v="18"/>
    <n v="1793.18"/>
    <n v="1793.18"/>
  </r>
  <r>
    <d v="2023-02-20T00:00:00"/>
    <s v="West"/>
    <s v="Maharashtra"/>
    <s v="Nagpur"/>
    <s v="Clothing"/>
    <n v="7"/>
    <x v="1"/>
    <n v="51"/>
    <n v="4046.34"/>
    <n v="28324.38"/>
  </r>
  <r>
    <d v="2023-06-12T00:00:00"/>
    <s v="South"/>
    <s v="Tamil Nadu"/>
    <s v="Chennai"/>
    <s v="Clothing"/>
    <n v="18"/>
    <x v="2"/>
    <n v="31"/>
    <n v="4403.6899999999996"/>
    <n v="79266.42"/>
  </r>
  <r>
    <d v="2023-07-01T00:00:00"/>
    <s v="North"/>
    <s v="Delhi"/>
    <s v="Karol Bagh"/>
    <s v="Furniture"/>
    <n v="16"/>
    <x v="3"/>
    <n v="48"/>
    <n v="338.38"/>
    <n v="5414.08"/>
  </r>
  <r>
    <d v="2023-01-03T00:00:00"/>
    <s v="West"/>
    <s v="Gujarat"/>
    <s v="Vadodara"/>
    <s v="Clothing"/>
    <n v="12"/>
    <x v="4"/>
    <n v="38"/>
    <n v="2232.4899999999998"/>
    <n v="26789.88"/>
  </r>
  <r>
    <d v="2023-01-20T00:00:00"/>
    <s v="South"/>
    <s v="Tamil Nadu"/>
    <s v="Madurai"/>
    <s v="Stationery"/>
    <n v="20"/>
    <x v="5"/>
    <n v="42"/>
    <n v="3280.87"/>
    <n v="65617.399999999994"/>
  </r>
  <r>
    <d v="2023-01-24T00:00:00"/>
    <s v="West"/>
    <s v="Gujarat"/>
    <s v="Ahmedabad"/>
    <s v="Groceries"/>
    <n v="6"/>
    <x v="6"/>
    <n v="42"/>
    <n v="744.85"/>
    <n v="4469.1000000000004"/>
  </r>
  <r>
    <d v="2023-12-24T00:00:00"/>
    <s v="North"/>
    <s v="Delhi"/>
    <s v="Karol Bagh"/>
    <s v="Stationery"/>
    <n v="18"/>
    <x v="7"/>
    <n v="54"/>
    <n v="2880.41"/>
    <n v="51847.38"/>
  </r>
  <r>
    <d v="2023-07-06T00:00:00"/>
    <s v="West"/>
    <s v="Gujarat"/>
    <s v="Surat"/>
    <s v="Electronics"/>
    <n v="6"/>
    <x v="8"/>
    <n v="23"/>
    <n v="4265.8599999999997"/>
    <n v="25595.16"/>
  </r>
  <r>
    <d v="2023-09-09T00:00:00"/>
    <s v="West"/>
    <s v="Maharashtra"/>
    <s v="Nagpur"/>
    <s v="Electronics"/>
    <n v="15"/>
    <x v="9"/>
    <n v="34"/>
    <n v="1790.03"/>
    <n v="26850.45"/>
  </r>
  <r>
    <d v="2023-04-28T00:00:00"/>
    <s v="South"/>
    <s v="Karnataka"/>
    <s v="Hubli"/>
    <s v="Electronics"/>
    <n v="12"/>
    <x v="10"/>
    <n v="47"/>
    <n v="1104.74"/>
    <n v="13256.88"/>
  </r>
  <r>
    <d v="2023-07-31T00:00:00"/>
    <s v="West"/>
    <s v="Gujarat"/>
    <s v="Vadodara"/>
    <s v="Furniture"/>
    <n v="14"/>
    <x v="11"/>
    <n v="20"/>
    <n v="948.05"/>
    <n v="13272.7"/>
  </r>
  <r>
    <d v="2023-01-25T00:00:00"/>
    <s v="South"/>
    <s v="Karnataka"/>
    <s v="Hubli"/>
    <s v="Electronics"/>
    <n v="4"/>
    <x v="0"/>
    <n v="55"/>
    <n v="2625.31"/>
    <n v="10501.24"/>
  </r>
  <r>
    <d v="2023-06-01T00:00:00"/>
    <s v="South"/>
    <s v="Tamil Nadu"/>
    <s v="Chennai"/>
    <s v="Clothing"/>
    <n v="12"/>
    <x v="1"/>
    <n v="36"/>
    <n v="3785.29"/>
    <n v="45423.48"/>
  </r>
  <r>
    <d v="2023-10-27T00:00:00"/>
    <s v="South"/>
    <s v="Karnataka"/>
    <s v="Hubli"/>
    <s v="Stationery"/>
    <n v="19"/>
    <x v="2"/>
    <n v="32"/>
    <n v="2386.59"/>
    <n v="45345.21"/>
  </r>
  <r>
    <d v="2023-08-21T00:00:00"/>
    <s v="North"/>
    <s v="Delhi"/>
    <s v="Dwarka"/>
    <s v="Electronics"/>
    <n v="20"/>
    <x v="3"/>
    <n v="19"/>
    <n v="3438.25"/>
    <n v="68765"/>
  </r>
  <r>
    <d v="2023-09-14T00:00:00"/>
    <s v="South"/>
    <s v="Tamil Nadu"/>
    <s v="Coimbatore"/>
    <s v="Clothing"/>
    <n v="18"/>
    <x v="4"/>
    <n v="55"/>
    <n v="4422.21"/>
    <n v="79599.78"/>
  </r>
  <r>
    <d v="2023-04-21T00:00:00"/>
    <s v="South"/>
    <s v="Tamil Nadu"/>
    <s v="Coimbatore"/>
    <s v="Stationery"/>
    <n v="7"/>
    <x v="5"/>
    <n v="34"/>
    <n v="299.68"/>
    <n v="2097.7600000000002"/>
  </r>
  <r>
    <d v="2023-09-13T00:00:00"/>
    <s v="West"/>
    <s v="Maharashtra"/>
    <s v="Nagpur"/>
    <s v="Clothing"/>
    <n v="6"/>
    <x v="6"/>
    <n v="36"/>
    <n v="3279.45"/>
    <n v="19676.7"/>
  </r>
  <r>
    <d v="2023-05-31T00:00:00"/>
    <s v="West"/>
    <s v="Maharashtra"/>
    <s v="Nagpur"/>
    <s v="Groceries"/>
    <n v="4"/>
    <x v="7"/>
    <n v="30"/>
    <n v="2298.98"/>
    <n v="9195.92"/>
  </r>
  <r>
    <d v="2023-01-16T00:00:00"/>
    <s v="South"/>
    <s v="Tamil Nadu"/>
    <s v="Madurai"/>
    <s v="Clothing"/>
    <n v="15"/>
    <x v="8"/>
    <n v="42"/>
    <n v="2174.4499999999998"/>
    <n v="32616.75"/>
  </r>
  <r>
    <d v="2023-06-28T00:00:00"/>
    <s v="South"/>
    <s v="Karnataka"/>
    <s v="Bengaluru"/>
    <s v="Groceries"/>
    <n v="10"/>
    <x v="9"/>
    <n v="47"/>
    <n v="4761.1899999999996"/>
    <n v="47611.9"/>
  </r>
  <r>
    <d v="2023-12-30T00:00:00"/>
    <s v="West"/>
    <s v="Maharashtra"/>
    <s v="Mumbai"/>
    <s v="Clothing"/>
    <n v="18"/>
    <x v="10"/>
    <n v="31"/>
    <n v="1533.77"/>
    <n v="27607.86"/>
  </r>
  <r>
    <d v="2023-02-16T00:00:00"/>
    <s v="West"/>
    <s v="Gujarat"/>
    <s v="Vadodara"/>
    <s v="Stationery"/>
    <n v="4"/>
    <x v="11"/>
    <n v="54"/>
    <n v="2331.1"/>
    <n v="9324.4"/>
  </r>
  <r>
    <d v="2023-02-10T00:00:00"/>
    <s v="West"/>
    <s v="Gujarat"/>
    <s v="Vadodara"/>
    <s v="Electronics"/>
    <n v="12"/>
    <x v="0"/>
    <n v="55"/>
    <n v="3443.54"/>
    <n v="41322.480000000003"/>
  </r>
  <r>
    <d v="2023-08-25T00:00:00"/>
    <s v="South"/>
    <s v="Karnataka"/>
    <s v="Mysuru"/>
    <s v="Groceries"/>
    <n v="8"/>
    <x v="1"/>
    <n v="41"/>
    <n v="3547.38"/>
    <n v="28379.040000000001"/>
  </r>
  <r>
    <d v="2023-04-27T00:00:00"/>
    <s v="West"/>
    <s v="Gujarat"/>
    <s v="Surat"/>
    <s v="Stationery"/>
    <n v="15"/>
    <x v="2"/>
    <n v="49"/>
    <n v="866.62"/>
    <n v="12999.3"/>
  </r>
  <r>
    <d v="2023-07-27T00:00:00"/>
    <s v="West"/>
    <s v="Maharashtra"/>
    <s v="Nagpur"/>
    <s v="Electronics"/>
    <n v="9"/>
    <x v="3"/>
    <n v="50"/>
    <n v="1280.74"/>
    <n v="11526.66"/>
  </r>
  <r>
    <d v="2023-12-27T00:00:00"/>
    <s v="South"/>
    <s v="Karnataka"/>
    <s v="Mysuru"/>
    <s v="Groceries"/>
    <n v="19"/>
    <x v="4"/>
    <n v="23"/>
    <n v="2513.27"/>
    <n v="47752.13"/>
  </r>
  <r>
    <d v="2023-02-03T00:00:00"/>
    <s v="North"/>
    <s v="Delhi"/>
    <s v="Dwarka"/>
    <s v="Clothing"/>
    <n v="14"/>
    <x v="5"/>
    <n v="26"/>
    <n v="2371.85"/>
    <n v="33205.9"/>
  </r>
  <r>
    <d v="2023-06-06T00:00:00"/>
    <s v="South"/>
    <s v="Karnataka"/>
    <s v="Mysuru"/>
    <s v="Clothing"/>
    <n v="9"/>
    <x v="6"/>
    <n v="52"/>
    <n v="2438.9899999999998"/>
    <n v="21950.91"/>
  </r>
  <r>
    <d v="2023-06-09T00:00:00"/>
    <s v="South"/>
    <s v="Karnataka"/>
    <s v="Mysuru"/>
    <s v="Furniture"/>
    <n v="19"/>
    <x v="7"/>
    <n v="53"/>
    <n v="3044.32"/>
    <n v="57842.080000000002"/>
  </r>
  <r>
    <d v="2023-03-22T00:00:00"/>
    <s v="West"/>
    <s v="Gujarat"/>
    <s v="Ahmedabad"/>
    <s v="Stationery"/>
    <n v="3"/>
    <x v="8"/>
    <n v="48"/>
    <n v="2880.4"/>
    <n v="8641.2000000000007"/>
  </r>
  <r>
    <d v="2023-11-30T00:00:00"/>
    <s v="South"/>
    <s v="Karnataka"/>
    <s v="Bengaluru"/>
    <s v="Clothing"/>
    <n v="2"/>
    <x v="9"/>
    <n v="21"/>
    <n v="2087.14"/>
    <n v="4174.28"/>
  </r>
  <r>
    <d v="2023-03-08T00:00:00"/>
    <s v="West"/>
    <s v="Maharashtra"/>
    <s v="Nagpur"/>
    <s v="Groceries"/>
    <n v="14"/>
    <x v="10"/>
    <n v="38"/>
    <n v="1694.59"/>
    <n v="23724.26"/>
  </r>
  <r>
    <d v="2023-04-09T00:00:00"/>
    <s v="West"/>
    <s v="Gujarat"/>
    <s v="Vadodara"/>
    <s v="Clothing"/>
    <n v="5"/>
    <x v="11"/>
    <n v="16"/>
    <n v="4182.07"/>
    <n v="20910.349999999999"/>
  </r>
  <r>
    <d v="2023-02-23T00:00:00"/>
    <s v="West"/>
    <s v="Maharashtra"/>
    <s v="Mumbai"/>
    <s v="Groceries"/>
    <n v="20"/>
    <x v="0"/>
    <n v="27"/>
    <n v="4638.2"/>
    <n v="92764"/>
  </r>
  <r>
    <d v="2023-10-27T00:00:00"/>
    <s v="West"/>
    <s v="Maharashtra"/>
    <s v="Pune"/>
    <s v="Groceries"/>
    <n v="1"/>
    <x v="1"/>
    <n v="45"/>
    <n v="1999.98"/>
    <n v="1999.98"/>
  </r>
  <r>
    <d v="2023-10-13T00:00:00"/>
    <s v="West"/>
    <s v="Gujarat"/>
    <s v="Vadodara"/>
    <s v="Clothing"/>
    <n v="14"/>
    <x v="2"/>
    <n v="35"/>
    <n v="3931.74"/>
    <n v="55044.36"/>
  </r>
  <r>
    <d v="2023-05-03T00:00:00"/>
    <s v="South"/>
    <s v="Karnataka"/>
    <s v="Hubli"/>
    <s v="Groceries"/>
    <n v="5"/>
    <x v="3"/>
    <n v="32"/>
    <n v="3898.88"/>
    <n v="19494.400000000001"/>
  </r>
  <r>
    <d v="2023-03-14T00:00:00"/>
    <s v="South"/>
    <s v="Tamil Nadu"/>
    <s v="Coimbatore"/>
    <s v="Stationery"/>
    <n v="19"/>
    <x v="4"/>
    <n v="21"/>
    <n v="4134.01"/>
    <n v="78546.19"/>
  </r>
  <r>
    <d v="2023-09-30T00:00:00"/>
    <s v="West"/>
    <s v="Gujarat"/>
    <s v="Vadodara"/>
    <s v="Electronics"/>
    <n v="1"/>
    <x v="5"/>
    <n v="18"/>
    <n v="2571.59"/>
    <n v="2571.59"/>
  </r>
  <r>
    <d v="2023-10-07T00:00:00"/>
    <s v="West"/>
    <s v="Gujarat"/>
    <s v="Ahmedabad"/>
    <s v="Groceries"/>
    <n v="1"/>
    <x v="6"/>
    <n v="27"/>
    <n v="1286.1099999999999"/>
    <n v="1286.1099999999999"/>
  </r>
  <r>
    <d v="2023-12-08T00:00:00"/>
    <s v="South"/>
    <s v="Karnataka"/>
    <s v="Bengaluru"/>
    <s v="Electronics"/>
    <n v="5"/>
    <x v="7"/>
    <n v="41"/>
    <n v="1372.78"/>
    <n v="6863.9"/>
  </r>
  <r>
    <d v="2023-10-16T00:00:00"/>
    <s v="West"/>
    <s v="Gujarat"/>
    <s v="Vadodara"/>
    <s v="Clothing"/>
    <n v="2"/>
    <x v="8"/>
    <n v="28"/>
    <n v="1673.1"/>
    <n v="3346.2"/>
  </r>
  <r>
    <d v="2023-04-12T00:00:00"/>
    <s v="West"/>
    <s v="Maharashtra"/>
    <s v="Nagpur"/>
    <s v="Electronics"/>
    <n v="7"/>
    <x v="9"/>
    <n v="31"/>
    <n v="1576.4"/>
    <n v="11034.8"/>
  </r>
  <r>
    <d v="2023-08-24T00:00:00"/>
    <s v="West"/>
    <s v="Gujarat"/>
    <s v="Vadodara"/>
    <s v="Electronics"/>
    <n v="3"/>
    <x v="10"/>
    <n v="53"/>
    <n v="403.5"/>
    <n v="1210.5"/>
  </r>
  <r>
    <d v="2023-09-24T00:00:00"/>
    <s v="West"/>
    <s v="Maharashtra"/>
    <s v="Mumbai"/>
    <s v="Groceries"/>
    <n v="10"/>
    <x v="11"/>
    <n v="43"/>
    <n v="2691.21"/>
    <n v="26912.1"/>
  </r>
  <r>
    <d v="2023-02-28T00:00:00"/>
    <s v="South"/>
    <s v="Karnataka"/>
    <s v="Bengaluru"/>
    <s v="Electronics"/>
    <n v="8"/>
    <x v="0"/>
    <n v="16"/>
    <n v="372.22"/>
    <n v="2977.76"/>
  </r>
  <r>
    <d v="2023-03-08T00:00:00"/>
    <s v="South"/>
    <s v="Tamil Nadu"/>
    <s v="Chennai"/>
    <s v="Electronics"/>
    <n v="19"/>
    <x v="1"/>
    <n v="37"/>
    <n v="4642.84"/>
    <n v="88213.96"/>
  </r>
  <r>
    <d v="2023-02-05T00:00:00"/>
    <s v="South"/>
    <s v="Tamil Nadu"/>
    <s v="Madurai"/>
    <s v="Furniture"/>
    <n v="20"/>
    <x v="2"/>
    <n v="24"/>
    <n v="2860.11"/>
    <n v="57202.2"/>
  </r>
  <r>
    <d v="2023-01-24T00:00:00"/>
    <s v="North"/>
    <s v="Delhi"/>
    <s v="New Delhi"/>
    <s v="Electronics"/>
    <n v="8"/>
    <x v="3"/>
    <n v="35"/>
    <n v="4986.3100000000004"/>
    <n v="39890.480000000003"/>
  </r>
  <r>
    <d v="2023-03-31T00:00:00"/>
    <s v="West"/>
    <s v="Gujarat"/>
    <s v="Surat"/>
    <s v="Stationery"/>
    <n v="3"/>
    <x v="4"/>
    <n v="18"/>
    <n v="4888.03"/>
    <n v="14664.09"/>
  </r>
  <r>
    <d v="2023-08-04T00:00:00"/>
    <s v="North"/>
    <s v="Delhi"/>
    <s v="Karol Bagh"/>
    <s v="Groceries"/>
    <n v="11"/>
    <x v="5"/>
    <n v="47"/>
    <n v="3011.73"/>
    <n v="33129.03"/>
  </r>
  <r>
    <d v="2023-12-04T00:00:00"/>
    <s v="West"/>
    <s v="Gujarat"/>
    <s v="Ahmedabad"/>
    <s v="Stationery"/>
    <n v="16"/>
    <x v="6"/>
    <n v="51"/>
    <n v="3082.84"/>
    <n v="49325.440000000002"/>
  </r>
  <r>
    <d v="2023-11-23T00:00:00"/>
    <s v="West"/>
    <s v="Maharashtra"/>
    <s v="Nagpur"/>
    <s v="Clothing"/>
    <n v="6"/>
    <x v="7"/>
    <n v="41"/>
    <n v="4908.9799999999996"/>
    <n v="29453.88"/>
  </r>
  <r>
    <d v="2023-02-19T00:00:00"/>
    <s v="West"/>
    <s v="Gujarat"/>
    <s v="Ahmedabad"/>
    <s v="Groceries"/>
    <n v="16"/>
    <x v="8"/>
    <n v="49"/>
    <n v="1514.31"/>
    <n v="24228.959999999999"/>
  </r>
  <r>
    <d v="2023-03-31T00:00:00"/>
    <s v="South"/>
    <s v="Karnataka"/>
    <s v="Hubli"/>
    <s v="Electronics"/>
    <n v="18"/>
    <x v="9"/>
    <n v="18"/>
    <n v="4450.2299999999996"/>
    <n v="80104.14"/>
  </r>
  <r>
    <d v="2023-02-08T00:00:00"/>
    <s v="West"/>
    <s v="Gujarat"/>
    <s v="Vadodara"/>
    <s v="Furniture"/>
    <n v="15"/>
    <x v="10"/>
    <n v="28"/>
    <n v="4678.57"/>
    <n v="70178.55"/>
  </r>
  <r>
    <d v="2023-07-09T00:00:00"/>
    <s v="West"/>
    <s v="Maharashtra"/>
    <s v="Pune"/>
    <s v="Electronics"/>
    <n v="18"/>
    <x v="11"/>
    <n v="23"/>
    <n v="1177.8"/>
    <n v="21200.400000000001"/>
  </r>
  <r>
    <d v="2023-01-08T00:00:00"/>
    <s v="West"/>
    <s v="Gujarat"/>
    <s v="Ahmedabad"/>
    <s v="Stationery"/>
    <n v="17"/>
    <x v="0"/>
    <n v="39"/>
    <n v="4136.3100000000004"/>
    <n v="70317.27"/>
  </r>
  <r>
    <d v="2023-07-21T00:00:00"/>
    <s v="West"/>
    <s v="Maharashtra"/>
    <s v="Mumbai"/>
    <s v="Clothing"/>
    <n v="5"/>
    <x v="1"/>
    <n v="38"/>
    <n v="3156.9"/>
    <n v="15784.5"/>
  </r>
  <r>
    <d v="2023-07-08T00:00:00"/>
    <s v="South"/>
    <s v="Karnataka"/>
    <s v="Hubli"/>
    <s v="Furniture"/>
    <n v="5"/>
    <x v="2"/>
    <n v="41"/>
    <n v="1185.45"/>
    <n v="5927.25"/>
  </r>
  <r>
    <d v="2023-01-22T00:00:00"/>
    <s v="South"/>
    <s v="Tamil Nadu"/>
    <s v="Coimbatore"/>
    <s v="Clothing"/>
    <n v="13"/>
    <x v="3"/>
    <n v="50"/>
    <n v="818.58"/>
    <n v="10641.54"/>
  </r>
  <r>
    <d v="2023-11-11T00:00:00"/>
    <s v="South"/>
    <s v="Karnataka"/>
    <s v="Bengaluru"/>
    <s v="Groceries"/>
    <n v="10"/>
    <x v="4"/>
    <n v="21"/>
    <n v="2539.6799999999998"/>
    <n v="25396.799999999999"/>
  </r>
  <r>
    <d v="2023-10-30T00:00:00"/>
    <s v="South"/>
    <s v="Tamil Nadu"/>
    <s v="Coimbatore"/>
    <s v="Electronics"/>
    <n v="7"/>
    <x v="5"/>
    <n v="49"/>
    <n v="1316.13"/>
    <n v="9212.91"/>
  </r>
  <r>
    <d v="2023-03-07T00:00:00"/>
    <s v="South"/>
    <s v="Karnataka"/>
    <s v="Mysuru"/>
    <s v="Groceries"/>
    <n v="5"/>
    <x v="6"/>
    <n v="28"/>
    <n v="1991.64"/>
    <n v="9958.2000000000007"/>
  </r>
  <r>
    <d v="2023-06-24T00:00:00"/>
    <s v="South"/>
    <s v="Karnataka"/>
    <s v="Hubli"/>
    <s v="Groceries"/>
    <n v="12"/>
    <x v="7"/>
    <n v="21"/>
    <n v="4572.79"/>
    <n v="54873.48"/>
  </r>
  <r>
    <d v="2023-04-12T00:00:00"/>
    <s v="South"/>
    <s v="Karnataka"/>
    <s v="Hubli"/>
    <s v="Groceries"/>
    <n v="2"/>
    <x v="8"/>
    <n v="41"/>
    <n v="2493.06"/>
    <n v="4986.12"/>
  </r>
  <r>
    <d v="2023-01-31T00:00:00"/>
    <s v="South"/>
    <s v="Karnataka"/>
    <s v="Mysuru"/>
    <s v="Electronics"/>
    <n v="15"/>
    <x v="9"/>
    <n v="38"/>
    <n v="3270.81"/>
    <n v="49062.15"/>
  </r>
  <r>
    <d v="2023-12-23T00:00:00"/>
    <s v="West"/>
    <s v="Gujarat"/>
    <s v="Ahmedabad"/>
    <s v="Stationery"/>
    <n v="8"/>
    <x v="10"/>
    <n v="35"/>
    <n v="4009.51"/>
    <n v="32076.080000000002"/>
  </r>
  <r>
    <d v="2023-02-19T00:00:00"/>
    <s v="West"/>
    <s v="Gujarat"/>
    <s v="Ahmedabad"/>
    <s v="Groceries"/>
    <n v="1"/>
    <x v="11"/>
    <n v="23"/>
    <n v="302.02"/>
    <n v="302.02"/>
  </r>
  <r>
    <d v="2023-12-31T00:00:00"/>
    <s v="West"/>
    <s v="Maharashtra"/>
    <s v="Pune"/>
    <s v="Stationery"/>
    <n v="10"/>
    <x v="0"/>
    <n v="52"/>
    <n v="4995.74"/>
    <n v="49957.4"/>
  </r>
  <r>
    <d v="2023-01-01T00:00:00"/>
    <s v="West"/>
    <s v="Maharashtra"/>
    <s v="Mumbai"/>
    <s v="Stationery"/>
    <n v="9"/>
    <x v="1"/>
    <n v="27"/>
    <n v="4858.75"/>
    <n v="43728.75"/>
  </r>
  <r>
    <d v="2023-03-16T00:00:00"/>
    <s v="West"/>
    <s v="Gujarat"/>
    <s v="Surat"/>
    <s v="Electronics"/>
    <n v="2"/>
    <x v="2"/>
    <n v="49"/>
    <n v="1971"/>
    <n v="3942"/>
  </r>
  <r>
    <d v="2023-11-15T00:00:00"/>
    <s v="West"/>
    <s v="Maharashtra"/>
    <s v="Nagpur"/>
    <s v="Electronics"/>
    <n v="12"/>
    <x v="3"/>
    <n v="19"/>
    <n v="4713.26"/>
    <n v="56559.12"/>
  </r>
  <r>
    <d v="2023-10-27T00:00:00"/>
    <s v="North"/>
    <s v="Delhi"/>
    <s v="New Delhi"/>
    <s v="Clothing"/>
    <n v="5"/>
    <x v="4"/>
    <n v="50"/>
    <n v="4993.87"/>
    <n v="24969.35"/>
  </r>
  <r>
    <d v="2023-06-23T00:00:00"/>
    <s v="West"/>
    <s v="Gujarat"/>
    <s v="Ahmedabad"/>
    <s v="Electronics"/>
    <n v="12"/>
    <x v="5"/>
    <n v="22"/>
    <n v="255.59"/>
    <n v="3067.08"/>
  </r>
  <r>
    <d v="2023-09-04T00:00:00"/>
    <s v="South"/>
    <s v="Karnataka"/>
    <s v="Mysuru"/>
    <s v="Electronics"/>
    <n v="11"/>
    <x v="6"/>
    <n v="29"/>
    <n v="1169.3"/>
    <n v="12862.3"/>
  </r>
  <r>
    <d v="2023-03-29T00:00:00"/>
    <s v="West"/>
    <s v="Maharashtra"/>
    <s v="Pune"/>
    <s v="Clothing"/>
    <n v="12"/>
    <x v="7"/>
    <n v="34"/>
    <n v="593.52"/>
    <n v="7122.24"/>
  </r>
  <r>
    <d v="2023-12-20T00:00:00"/>
    <s v="West"/>
    <s v="Maharashtra"/>
    <s v="Pune"/>
    <s v="Stationery"/>
    <n v="7"/>
    <x v="8"/>
    <n v="31"/>
    <n v="1711.81"/>
    <n v="11982.67"/>
  </r>
  <r>
    <d v="2023-10-02T00:00:00"/>
    <s v="South"/>
    <s v="Karnataka"/>
    <s v="Hubli"/>
    <s v="Furniture"/>
    <n v="12"/>
    <x v="9"/>
    <n v="53"/>
    <n v="4945.7700000000004"/>
    <n v="59349.24"/>
  </r>
  <r>
    <d v="2023-07-20T00:00:00"/>
    <s v="North"/>
    <s v="Delhi"/>
    <s v="New Delhi"/>
    <s v="Furniture"/>
    <n v="17"/>
    <x v="10"/>
    <n v="18"/>
    <n v="4502.3900000000003"/>
    <n v="76540.63"/>
  </r>
  <r>
    <d v="2023-06-19T00:00:00"/>
    <s v="West"/>
    <s v="Maharashtra"/>
    <s v="Nagpur"/>
    <s v="Stationery"/>
    <n v="3"/>
    <x v="11"/>
    <n v="40"/>
    <n v="264.98"/>
    <n v="794.94"/>
  </r>
  <r>
    <d v="2023-09-02T00:00:00"/>
    <s v="South"/>
    <s v="Karnataka"/>
    <s v="Bengaluru"/>
    <s v="Clothing"/>
    <n v="11"/>
    <x v="0"/>
    <n v="52"/>
    <n v="4758.46"/>
    <n v="52343.06"/>
  </r>
  <r>
    <d v="2023-04-14T00:00:00"/>
    <s v="West"/>
    <s v="Maharashtra"/>
    <s v="Pune"/>
    <s v="Clothing"/>
    <n v="1"/>
    <x v="1"/>
    <n v="27"/>
    <n v="2517.3200000000002"/>
    <n v="2517.3200000000002"/>
  </r>
  <r>
    <d v="2023-05-26T00:00:00"/>
    <s v="South"/>
    <s v="Karnataka"/>
    <s v="Bengaluru"/>
    <s v="Groceries"/>
    <n v="16"/>
    <x v="2"/>
    <n v="37"/>
    <n v="2231.67"/>
    <n v="35706.720000000001"/>
  </r>
  <r>
    <d v="2023-09-22T00:00:00"/>
    <s v="South"/>
    <s v="Tamil Nadu"/>
    <s v="Chennai"/>
    <s v="Electronics"/>
    <n v="20"/>
    <x v="3"/>
    <n v="37"/>
    <n v="4710.8500000000004"/>
    <n v="94217"/>
  </r>
  <r>
    <d v="2023-05-20T00:00:00"/>
    <s v="North"/>
    <s v="Delhi"/>
    <s v="Karol Bagh"/>
    <s v="Stationery"/>
    <n v="13"/>
    <x v="4"/>
    <n v="43"/>
    <n v="3423.36"/>
    <n v="44503.68"/>
  </r>
  <r>
    <d v="2023-04-29T00:00:00"/>
    <s v="West"/>
    <s v="Maharashtra"/>
    <s v="Pune"/>
    <s v="Furniture"/>
    <n v="12"/>
    <x v="5"/>
    <n v="32"/>
    <n v="3686.27"/>
    <n v="44235.24"/>
  </r>
  <r>
    <d v="2023-02-07T00:00:00"/>
    <s v="South"/>
    <s v="Tamil Nadu"/>
    <s v="Chennai"/>
    <s v="Furniture"/>
    <n v="8"/>
    <x v="6"/>
    <n v="54"/>
    <n v="562.98"/>
    <n v="4503.84"/>
  </r>
  <r>
    <d v="2023-07-15T00:00:00"/>
    <s v="South"/>
    <s v="Karnataka"/>
    <s v="Bengaluru"/>
    <s v="Groceries"/>
    <n v="11"/>
    <x v="7"/>
    <n v="52"/>
    <n v="3590.89"/>
    <n v="39499.79"/>
  </r>
  <r>
    <d v="2023-12-26T00:00:00"/>
    <s v="West"/>
    <s v="Maharashtra"/>
    <s v="Pune"/>
    <s v="Stationery"/>
    <n v="12"/>
    <x v="8"/>
    <n v="54"/>
    <n v="4765.33"/>
    <n v="57183.96"/>
  </r>
  <r>
    <d v="2023-10-23T00:00:00"/>
    <s v="South"/>
    <s v="Tamil Nadu"/>
    <s v="Madurai"/>
    <s v="Clothing"/>
    <n v="18"/>
    <x v="9"/>
    <n v="23"/>
    <n v="913.13"/>
    <n v="16436.34"/>
  </r>
  <r>
    <d v="2023-02-09T00:00:00"/>
    <s v="North"/>
    <s v="Delhi"/>
    <s v="Dwarka"/>
    <s v="Groceries"/>
    <n v="18"/>
    <x v="10"/>
    <n v="26"/>
    <n v="497.68"/>
    <n v="8958.24"/>
  </r>
  <r>
    <d v="2023-11-27T00:00:00"/>
    <s v="West"/>
    <s v="Gujarat"/>
    <s v="Surat"/>
    <s v="Clothing"/>
    <n v="4"/>
    <x v="11"/>
    <n v="35"/>
    <n v="1303.8800000000001"/>
    <n v="5215.5200000000004"/>
  </r>
  <r>
    <d v="2023-07-07T00:00:00"/>
    <s v="South"/>
    <s v="Karnataka"/>
    <s v="Bengaluru"/>
    <s v="Groceries"/>
    <n v="15"/>
    <x v="0"/>
    <n v="46"/>
    <n v="2477.09"/>
    <n v="37156.35"/>
  </r>
  <r>
    <d v="2023-07-11T00:00:00"/>
    <s v="South"/>
    <s v="Tamil Nadu"/>
    <s v="Chennai"/>
    <s v="Clothing"/>
    <n v="13"/>
    <x v="1"/>
    <n v="30"/>
    <n v="4021.84"/>
    <n v="52283.92"/>
  </r>
  <r>
    <d v="2023-08-28T00:00:00"/>
    <s v="South"/>
    <s v="Karnataka"/>
    <s v="Bengaluru"/>
    <s v="Stationery"/>
    <n v="7"/>
    <x v="2"/>
    <n v="29"/>
    <n v="4083.1"/>
    <n v="28581.7"/>
  </r>
  <r>
    <d v="2023-03-08T00:00:00"/>
    <s v="South"/>
    <s v="Tamil Nadu"/>
    <s v="Chennai"/>
    <s v="Groceries"/>
    <n v="17"/>
    <x v="3"/>
    <n v="47"/>
    <n v="2603.4899999999998"/>
    <n v="44259.33"/>
  </r>
  <r>
    <d v="2023-10-23T00:00:00"/>
    <s v="South"/>
    <s v="Karnataka"/>
    <s v="Bengaluru"/>
    <s v="Electronics"/>
    <n v="19"/>
    <x v="4"/>
    <n v="48"/>
    <n v="2900.31"/>
    <n v="55105.89"/>
  </r>
  <r>
    <d v="2023-07-20T00:00:00"/>
    <s v="West"/>
    <s v="Gujarat"/>
    <s v="Vadodara"/>
    <s v="Furniture"/>
    <n v="2"/>
    <x v="5"/>
    <n v="54"/>
    <n v="1316.79"/>
    <n v="2633.58"/>
  </r>
  <r>
    <d v="2023-07-03T00:00:00"/>
    <s v="West"/>
    <s v="Maharashtra"/>
    <s v="Pune"/>
    <s v="Stationery"/>
    <n v="5"/>
    <x v="6"/>
    <n v="21"/>
    <n v="4716.38"/>
    <n v="23581.9"/>
  </r>
  <r>
    <d v="2023-09-16T00:00:00"/>
    <s v="South"/>
    <s v="Tamil Nadu"/>
    <s v="Coimbatore"/>
    <s v="Clothing"/>
    <n v="4"/>
    <x v="7"/>
    <n v="38"/>
    <n v="4961.01"/>
    <n v="19844.04"/>
  </r>
  <r>
    <d v="2023-03-09T00:00:00"/>
    <s v="West"/>
    <s v="Gujarat"/>
    <s v="Ahmedabad"/>
    <s v="Groceries"/>
    <n v="7"/>
    <x v="8"/>
    <n v="40"/>
    <n v="1500.87"/>
    <n v="10506.09"/>
  </r>
  <r>
    <d v="2023-01-27T00:00:00"/>
    <s v="West"/>
    <s v="Gujarat"/>
    <s v="Surat"/>
    <s v="Groceries"/>
    <n v="5"/>
    <x v="9"/>
    <n v="52"/>
    <n v="879.82"/>
    <n v="4399.1000000000004"/>
  </r>
  <r>
    <d v="2023-10-14T00:00:00"/>
    <s v="West"/>
    <s v="Gujarat"/>
    <s v="Ahmedabad"/>
    <s v="Furniture"/>
    <n v="2"/>
    <x v="10"/>
    <n v="44"/>
    <n v="2400.5500000000002"/>
    <n v="4801.1000000000004"/>
  </r>
  <r>
    <d v="2023-06-11T00:00:00"/>
    <s v="North"/>
    <s v="Delhi"/>
    <s v="Dwarka"/>
    <s v="Clothing"/>
    <n v="17"/>
    <x v="11"/>
    <n v="20"/>
    <n v="3878.66"/>
    <n v="65937.22"/>
  </r>
  <r>
    <d v="2023-02-01T00:00:00"/>
    <s v="South"/>
    <s v="Karnataka"/>
    <s v="Bengaluru"/>
    <s v="Groceries"/>
    <n v="6"/>
    <x v="0"/>
    <n v="19"/>
    <n v="3116.12"/>
    <n v="18696.72"/>
  </r>
  <r>
    <d v="2023-07-31T00:00:00"/>
    <s v="West"/>
    <s v="Gujarat"/>
    <s v="Ahmedabad"/>
    <s v="Stationery"/>
    <n v="16"/>
    <x v="1"/>
    <n v="16"/>
    <n v="2747.36"/>
    <n v="43957.760000000002"/>
  </r>
  <r>
    <d v="2023-10-02T00:00:00"/>
    <s v="West"/>
    <s v="Gujarat"/>
    <s v="Ahmedabad"/>
    <s v="Furniture"/>
    <n v="17"/>
    <x v="2"/>
    <n v="33"/>
    <n v="3971.7"/>
    <n v="67518.899999999994"/>
  </r>
  <r>
    <d v="2023-09-30T00:00:00"/>
    <s v="South"/>
    <s v="Karnataka"/>
    <s v="Hubli"/>
    <s v="Electronics"/>
    <n v="18"/>
    <x v="3"/>
    <n v="23"/>
    <n v="678.76"/>
    <n v="12217.68"/>
  </r>
  <r>
    <d v="2023-10-25T00:00:00"/>
    <s v="South"/>
    <s v="Karnataka"/>
    <s v="Hubli"/>
    <s v="Stationery"/>
    <n v="18"/>
    <x v="4"/>
    <n v="29"/>
    <n v="4888.0200000000004"/>
    <n v="87984.36"/>
  </r>
  <r>
    <d v="2023-02-21T00:00:00"/>
    <s v="West"/>
    <s v="Gujarat"/>
    <s v="Vadodara"/>
    <s v="Electronics"/>
    <n v="17"/>
    <x v="5"/>
    <n v="27"/>
    <n v="2107.36"/>
    <n v="35825.120000000003"/>
  </r>
  <r>
    <d v="2023-03-09T00:00:00"/>
    <s v="North"/>
    <s v="Delhi"/>
    <s v="Dwarka"/>
    <s v="Electronics"/>
    <n v="4"/>
    <x v="6"/>
    <n v="42"/>
    <n v="1181.3900000000001"/>
    <n v="4725.5600000000004"/>
  </r>
  <r>
    <d v="2023-08-10T00:00:00"/>
    <s v="South"/>
    <s v="Karnataka"/>
    <s v="Mysuru"/>
    <s v="Furniture"/>
    <n v="1"/>
    <x v="7"/>
    <n v="51"/>
    <n v="3374.31"/>
    <n v="3374.31"/>
  </r>
  <r>
    <d v="2023-02-18T00:00:00"/>
    <s v="North"/>
    <s v="Delhi"/>
    <s v="New Delhi"/>
    <s v="Clothing"/>
    <n v="19"/>
    <x v="8"/>
    <n v="53"/>
    <n v="609.63"/>
    <n v="11582.97"/>
  </r>
  <r>
    <d v="2023-08-26T00:00:00"/>
    <s v="West"/>
    <s v="Gujarat"/>
    <s v="Ahmedabad"/>
    <s v="Electronics"/>
    <n v="11"/>
    <x v="9"/>
    <n v="50"/>
    <n v="3538.83"/>
    <n v="38927.129999999997"/>
  </r>
  <r>
    <d v="2023-10-11T00:00:00"/>
    <s v="South"/>
    <s v="Tamil Nadu"/>
    <s v="Chennai"/>
    <s v="Groceries"/>
    <n v="16"/>
    <x v="10"/>
    <n v="41"/>
    <n v="3155.43"/>
    <n v="50486.879999999997"/>
  </r>
  <r>
    <d v="2023-01-21T00:00:00"/>
    <s v="North"/>
    <s v="Delhi"/>
    <s v="New Delhi"/>
    <s v="Furniture"/>
    <n v="6"/>
    <x v="11"/>
    <n v="26"/>
    <n v="863.69"/>
    <n v="5182.1400000000003"/>
  </r>
  <r>
    <d v="2023-12-22T00:00:00"/>
    <s v="North"/>
    <s v="Delhi"/>
    <s v="Karol Bagh"/>
    <s v="Electronics"/>
    <n v="4"/>
    <x v="0"/>
    <n v="50"/>
    <n v="1128.8900000000001"/>
    <n v="4515.5600000000004"/>
  </r>
  <r>
    <d v="2023-06-23T00:00:00"/>
    <s v="West"/>
    <s v="Gujarat"/>
    <s v="Vadodara"/>
    <s v="Electronics"/>
    <n v="8"/>
    <x v="1"/>
    <n v="41"/>
    <n v="4197.6400000000003"/>
    <n v="33581.120000000003"/>
  </r>
  <r>
    <d v="2023-03-08T00:00:00"/>
    <s v="South"/>
    <s v="Tamil Nadu"/>
    <s v="Coimbatore"/>
    <s v="Groceries"/>
    <n v="11"/>
    <x v="2"/>
    <n v="38"/>
    <n v="3561.4"/>
    <n v="39175.4"/>
  </r>
  <r>
    <d v="2023-08-03T00:00:00"/>
    <s v="North"/>
    <s v="Delhi"/>
    <s v="Dwarka"/>
    <s v="Groceries"/>
    <n v="16"/>
    <x v="3"/>
    <n v="37"/>
    <n v="3836.1"/>
    <n v="61377.599999999999"/>
  </r>
  <r>
    <d v="2023-07-14T00:00:00"/>
    <s v="West"/>
    <s v="Gujarat"/>
    <s v="Ahmedabad"/>
    <s v="Groceries"/>
    <n v="18"/>
    <x v="4"/>
    <n v="32"/>
    <n v="3943.82"/>
    <n v="70988.759999999995"/>
  </r>
  <r>
    <d v="2023-07-11T00:00:00"/>
    <s v="West"/>
    <s v="Gujarat"/>
    <s v="Vadodara"/>
    <s v="Electronics"/>
    <n v="15"/>
    <x v="5"/>
    <n v="37"/>
    <n v="3005.08"/>
    <n v="45076.2"/>
  </r>
  <r>
    <d v="2023-05-24T00:00:00"/>
    <s v="South"/>
    <s v="Karnataka"/>
    <s v="Mysuru"/>
    <s v="Clothing"/>
    <n v="17"/>
    <x v="6"/>
    <n v="25"/>
    <n v="3342.49"/>
    <n v="56822.33"/>
  </r>
  <r>
    <d v="2023-11-08T00:00:00"/>
    <s v="West"/>
    <s v="Maharashtra"/>
    <s v="Pune"/>
    <s v="Furniture"/>
    <n v="11"/>
    <x v="7"/>
    <n v="23"/>
    <n v="212.86"/>
    <n v="2341.46"/>
  </r>
  <r>
    <d v="2023-07-28T00:00:00"/>
    <s v="South"/>
    <s v="Karnataka"/>
    <s v="Bengaluru"/>
    <s v="Furniture"/>
    <n v="6"/>
    <x v="8"/>
    <n v="44"/>
    <n v="1872.18"/>
    <n v="11233.08"/>
  </r>
  <r>
    <d v="2023-06-18T00:00:00"/>
    <s v="West"/>
    <s v="Maharashtra"/>
    <s v="Mumbai"/>
    <s v="Electronics"/>
    <n v="14"/>
    <x v="9"/>
    <n v="34"/>
    <n v="4428"/>
    <n v="61992"/>
  </r>
  <r>
    <d v="2023-05-11T00:00:00"/>
    <s v="South"/>
    <s v="Tamil Nadu"/>
    <s v="Chennai"/>
    <s v="Groceries"/>
    <n v="15"/>
    <x v="10"/>
    <n v="23"/>
    <n v="2905.47"/>
    <n v="43582.05"/>
  </r>
  <r>
    <d v="2023-01-17T00:00:00"/>
    <s v="South"/>
    <s v="Karnataka"/>
    <s v="Bengaluru"/>
    <s v="Clothing"/>
    <n v="14"/>
    <x v="11"/>
    <n v="42"/>
    <n v="4200.9799999999996"/>
    <n v="58813.72"/>
  </r>
  <r>
    <d v="2023-04-13T00:00:00"/>
    <s v="West"/>
    <s v="Maharashtra"/>
    <s v="Pune"/>
    <s v="Stationery"/>
    <n v="19"/>
    <x v="0"/>
    <n v="49"/>
    <n v="3927.27"/>
    <n v="74618.13"/>
  </r>
  <r>
    <d v="2023-03-27T00:00:00"/>
    <s v="North"/>
    <s v="Delhi"/>
    <s v="Dwarka"/>
    <s v="Groceries"/>
    <n v="16"/>
    <x v="1"/>
    <n v="51"/>
    <n v="3788.36"/>
    <n v="60613.760000000002"/>
  </r>
  <r>
    <d v="2023-10-20T00:00:00"/>
    <s v="North"/>
    <s v="Delhi"/>
    <s v="New Delhi"/>
    <s v="Stationery"/>
    <n v="2"/>
    <x v="2"/>
    <n v="23"/>
    <n v="4527.13"/>
    <n v="9054.26"/>
  </r>
  <r>
    <d v="2023-06-14T00:00:00"/>
    <s v="North"/>
    <s v="Delhi"/>
    <s v="Dwarka"/>
    <s v="Furniture"/>
    <n v="20"/>
    <x v="3"/>
    <n v="38"/>
    <n v="3753.15"/>
    <n v="75063"/>
  </r>
  <r>
    <d v="2023-08-06T00:00:00"/>
    <s v="West"/>
    <s v="Maharashtra"/>
    <s v="Mumbai"/>
    <s v="Stationery"/>
    <n v="6"/>
    <x v="4"/>
    <n v="29"/>
    <n v="3363.77"/>
    <n v="20182.62"/>
  </r>
  <r>
    <d v="2023-09-03T00:00:00"/>
    <s v="North"/>
    <s v="Delhi"/>
    <s v="New Delhi"/>
    <s v="Stationery"/>
    <n v="12"/>
    <x v="5"/>
    <n v="39"/>
    <n v="1973.14"/>
    <n v="23677.68"/>
  </r>
  <r>
    <d v="2023-03-08T00:00:00"/>
    <s v="West"/>
    <s v="Gujarat"/>
    <s v="Ahmedabad"/>
    <s v="Stationery"/>
    <n v="16"/>
    <x v="6"/>
    <n v="33"/>
    <n v="355.63"/>
    <n v="5690.08"/>
  </r>
  <r>
    <d v="2023-06-24T00:00:00"/>
    <s v="North"/>
    <s v="Delhi"/>
    <s v="Karol Bagh"/>
    <s v="Stationery"/>
    <n v="7"/>
    <x v="7"/>
    <n v="54"/>
    <n v="4243.95"/>
    <n v="29707.65"/>
  </r>
  <r>
    <d v="2023-03-19T00:00:00"/>
    <s v="North"/>
    <s v="Delhi"/>
    <s v="Dwarka"/>
    <s v="Furniture"/>
    <n v="15"/>
    <x v="8"/>
    <n v="49"/>
    <n v="3256.2"/>
    <n v="48843"/>
  </r>
  <r>
    <d v="2023-05-19T00:00:00"/>
    <s v="West"/>
    <s v="Gujarat"/>
    <s v="Vadodara"/>
    <s v="Electronics"/>
    <n v="13"/>
    <x v="9"/>
    <n v="44"/>
    <n v="4076.94"/>
    <n v="53000.22"/>
  </r>
  <r>
    <d v="2023-04-07T00:00:00"/>
    <s v="South"/>
    <s v="Tamil Nadu"/>
    <s v="Coimbatore"/>
    <s v="Stationery"/>
    <n v="17"/>
    <x v="10"/>
    <n v="16"/>
    <n v="3771.79"/>
    <n v="64120.43"/>
  </r>
  <r>
    <d v="2023-07-07T00:00:00"/>
    <s v="South"/>
    <s v="Karnataka"/>
    <s v="Mysuru"/>
    <s v="Stationery"/>
    <n v="7"/>
    <x v="11"/>
    <n v="44"/>
    <n v="2016.03"/>
    <n v="14112.21"/>
  </r>
  <r>
    <d v="2023-10-05T00:00:00"/>
    <s v="West"/>
    <s v="Gujarat"/>
    <s v="Ahmedabad"/>
    <s v="Groceries"/>
    <n v="9"/>
    <x v="0"/>
    <n v="47"/>
    <n v="722.4"/>
    <n v="6501.6"/>
  </r>
  <r>
    <d v="2023-04-02T00:00:00"/>
    <s v="South"/>
    <s v="Karnataka"/>
    <s v="Mysuru"/>
    <s v="Stationery"/>
    <n v="5"/>
    <x v="1"/>
    <n v="54"/>
    <n v="491.78"/>
    <n v="2458.9"/>
  </r>
  <r>
    <d v="2023-02-20T00:00:00"/>
    <s v="West"/>
    <s v="Gujarat"/>
    <s v="Ahmedabad"/>
    <s v="Clothing"/>
    <n v="19"/>
    <x v="2"/>
    <n v="29"/>
    <n v="2146.17"/>
    <n v="40777.230000000003"/>
  </r>
  <r>
    <d v="2023-05-24T00:00:00"/>
    <s v="West"/>
    <s v="Gujarat"/>
    <s v="Ahmedabad"/>
    <s v="Furniture"/>
    <n v="14"/>
    <x v="3"/>
    <n v="43"/>
    <n v="2715.54"/>
    <n v="38017.56"/>
  </r>
  <r>
    <d v="2023-04-10T00:00:00"/>
    <s v="West"/>
    <s v="Maharashtra"/>
    <s v="Mumbai"/>
    <s v="Electronics"/>
    <n v="11"/>
    <x v="4"/>
    <n v="53"/>
    <n v="1708.99"/>
    <n v="18798.89"/>
  </r>
  <r>
    <d v="2023-02-12T00:00:00"/>
    <s v="West"/>
    <s v="Gujarat"/>
    <s v="Ahmedabad"/>
    <s v="Furniture"/>
    <n v="1"/>
    <x v="5"/>
    <n v="46"/>
    <n v="1898.15"/>
    <n v="1898.15"/>
  </r>
  <r>
    <d v="2023-10-14T00:00:00"/>
    <s v="South"/>
    <s v="Tamil Nadu"/>
    <s v="Madurai"/>
    <s v="Stationery"/>
    <n v="1"/>
    <x v="6"/>
    <n v="49"/>
    <n v="648.88"/>
    <n v="648.88"/>
  </r>
  <r>
    <d v="2023-12-24T00:00:00"/>
    <s v="South"/>
    <s v="Karnataka"/>
    <s v="Mysuru"/>
    <s v="Stationery"/>
    <n v="8"/>
    <x v="7"/>
    <n v="19"/>
    <n v="4516.82"/>
    <n v="36134.559999999998"/>
  </r>
  <r>
    <d v="2023-11-24T00:00:00"/>
    <s v="North"/>
    <s v="Delhi"/>
    <s v="Dwarka"/>
    <s v="Clothing"/>
    <n v="7"/>
    <x v="8"/>
    <n v="34"/>
    <n v="1102.48"/>
    <n v="7717.36"/>
  </r>
  <r>
    <d v="2023-05-30T00:00:00"/>
    <s v="South"/>
    <s v="Tamil Nadu"/>
    <s v="Madurai"/>
    <s v="Stationery"/>
    <n v="4"/>
    <x v="9"/>
    <n v="23"/>
    <n v="2830.6"/>
    <n v="11322.4"/>
  </r>
  <r>
    <d v="2023-08-21T00:00:00"/>
    <s v="South"/>
    <s v="Karnataka"/>
    <s v="Bengaluru"/>
    <s v="Electronics"/>
    <n v="9"/>
    <x v="10"/>
    <n v="23"/>
    <n v="515.97"/>
    <n v="4643.7299999999996"/>
  </r>
  <r>
    <d v="2023-01-19T00:00:00"/>
    <s v="North"/>
    <s v="Delhi"/>
    <s v="New Delhi"/>
    <s v="Electronics"/>
    <n v="8"/>
    <x v="11"/>
    <n v="41"/>
    <n v="2019.04"/>
    <n v="16152.32"/>
  </r>
  <r>
    <d v="2023-03-31T00:00:00"/>
    <s v="West"/>
    <s v="Maharashtra"/>
    <s v="Pune"/>
    <s v="Groceries"/>
    <n v="1"/>
    <x v="0"/>
    <n v="41"/>
    <n v="1889.5"/>
    <n v="1889.5"/>
  </r>
  <r>
    <d v="2023-06-19T00:00:00"/>
    <s v="West"/>
    <s v="Maharashtra"/>
    <s v="Mumbai"/>
    <s v="Electronics"/>
    <n v="2"/>
    <x v="1"/>
    <n v="19"/>
    <n v="3239.94"/>
    <n v="6479.88"/>
  </r>
  <r>
    <d v="2023-01-20T00:00:00"/>
    <s v="South"/>
    <s v="Tamil Nadu"/>
    <s v="Coimbatore"/>
    <s v="Stationery"/>
    <n v="11"/>
    <x v="2"/>
    <n v="23"/>
    <n v="2426.48"/>
    <n v="26691.279999999999"/>
  </r>
  <r>
    <d v="2023-12-15T00:00:00"/>
    <s v="South"/>
    <s v="Karnataka"/>
    <s v="Mysuru"/>
    <s v="Groceries"/>
    <n v="3"/>
    <x v="3"/>
    <n v="48"/>
    <n v="1043.3900000000001"/>
    <n v="3130.17"/>
  </r>
  <r>
    <d v="2023-02-02T00:00:00"/>
    <s v="West"/>
    <s v="Gujarat"/>
    <s v="Surat"/>
    <s v="Electronics"/>
    <n v="6"/>
    <x v="4"/>
    <n v="25"/>
    <n v="3350.51"/>
    <n v="20103.060000000001"/>
  </r>
  <r>
    <d v="2023-01-08T00:00:00"/>
    <s v="West"/>
    <s v="Gujarat"/>
    <s v="Surat"/>
    <s v="Stationery"/>
    <n v="11"/>
    <x v="5"/>
    <n v="44"/>
    <n v="1278.32"/>
    <n v="14061.52"/>
  </r>
  <r>
    <d v="2023-02-17T00:00:00"/>
    <s v="West"/>
    <s v="Gujarat"/>
    <s v="Surat"/>
    <s v="Furniture"/>
    <n v="20"/>
    <x v="6"/>
    <n v="50"/>
    <n v="1353.54"/>
    <n v="27070.799999999999"/>
  </r>
  <r>
    <d v="2023-01-29T00:00:00"/>
    <s v="West"/>
    <s v="Maharashtra"/>
    <s v="Nagpur"/>
    <s v="Electronics"/>
    <n v="17"/>
    <x v="7"/>
    <n v="38"/>
    <n v="1457.07"/>
    <n v="24770.19"/>
  </r>
  <r>
    <d v="2023-07-20T00:00:00"/>
    <s v="South"/>
    <s v="Karnataka"/>
    <s v="Bengaluru"/>
    <s v="Electronics"/>
    <n v="14"/>
    <x v="8"/>
    <n v="16"/>
    <n v="4894.84"/>
    <n v="68527.759999999995"/>
  </r>
  <r>
    <d v="2023-09-13T00:00:00"/>
    <s v="South"/>
    <s v="Tamil Nadu"/>
    <s v="Madurai"/>
    <s v="Groceries"/>
    <n v="8"/>
    <x v="9"/>
    <n v="38"/>
    <n v="4651.3"/>
    <n v="37210.400000000001"/>
  </r>
  <r>
    <d v="2023-12-28T00:00:00"/>
    <s v="West"/>
    <s v="Maharashtra"/>
    <s v="Pune"/>
    <s v="Stationery"/>
    <n v="1"/>
    <x v="10"/>
    <n v="30"/>
    <n v="1520.22"/>
    <n v="1520.22"/>
  </r>
  <r>
    <d v="2023-09-30T00:00:00"/>
    <s v="South"/>
    <s v="Karnataka"/>
    <s v="Hubli"/>
    <s v="Stationery"/>
    <n v="1"/>
    <x v="11"/>
    <n v="49"/>
    <n v="3754.28"/>
    <n v="3754.28"/>
  </r>
  <r>
    <d v="2023-05-22T00:00:00"/>
    <s v="South"/>
    <s v="Tamil Nadu"/>
    <s v="Madurai"/>
    <s v="Furniture"/>
    <n v="17"/>
    <x v="0"/>
    <n v="47"/>
    <n v="947.7"/>
    <n v="16110.9"/>
  </r>
  <r>
    <d v="2023-09-12T00:00:00"/>
    <s v="South"/>
    <s v="Karnataka"/>
    <s v="Bengaluru"/>
    <s v="Groceries"/>
    <n v="6"/>
    <x v="1"/>
    <n v="51"/>
    <n v="2207.64"/>
    <n v="13245.84"/>
  </r>
  <r>
    <d v="2023-01-10T00:00:00"/>
    <s v="West"/>
    <s v="Maharashtra"/>
    <s v="Pune"/>
    <s v="Groceries"/>
    <n v="8"/>
    <x v="2"/>
    <n v="41"/>
    <n v="4146.82"/>
    <n v="33174.559999999998"/>
  </r>
  <r>
    <d v="2023-02-05T00:00:00"/>
    <s v="South"/>
    <s v="Tamil Nadu"/>
    <s v="Coimbatore"/>
    <s v="Stationery"/>
    <n v="14"/>
    <x v="3"/>
    <n v="50"/>
    <n v="1273.8399999999999"/>
    <n v="17833.759999999998"/>
  </r>
  <r>
    <d v="2023-02-21T00:00:00"/>
    <s v="South"/>
    <s v="Tamil Nadu"/>
    <s v="Coimbatore"/>
    <s v="Groceries"/>
    <n v="4"/>
    <x v="4"/>
    <n v="31"/>
    <n v="4878.16"/>
    <n v="19512.64"/>
  </r>
  <r>
    <d v="2023-04-19T00:00:00"/>
    <s v="West"/>
    <s v="Gujarat"/>
    <s v="Surat"/>
    <s v="Stationery"/>
    <n v="11"/>
    <x v="5"/>
    <n v="23"/>
    <n v="3072.59"/>
    <n v="33798.49"/>
  </r>
  <r>
    <d v="2023-09-22T00:00:00"/>
    <s v="South"/>
    <s v="Karnataka"/>
    <s v="Bengaluru"/>
    <s v="Groceries"/>
    <n v="12"/>
    <x v="6"/>
    <n v="16"/>
    <n v="549.84"/>
    <n v="6598.08"/>
  </r>
  <r>
    <d v="2023-11-30T00:00:00"/>
    <s v="South"/>
    <s v="Karnataka"/>
    <s v="Hubli"/>
    <s v="Furniture"/>
    <n v="7"/>
    <x v="7"/>
    <n v="20"/>
    <n v="3402.48"/>
    <n v="23817.360000000001"/>
  </r>
  <r>
    <d v="2023-12-28T00:00:00"/>
    <s v="South"/>
    <s v="Karnataka"/>
    <s v="Hubli"/>
    <s v="Electronics"/>
    <n v="1"/>
    <x v="8"/>
    <n v="25"/>
    <n v="979.17"/>
    <n v="979.17"/>
  </r>
  <r>
    <d v="2023-09-18T00:00:00"/>
    <s v="West"/>
    <s v="Gujarat"/>
    <s v="Ahmedabad"/>
    <s v="Furniture"/>
    <n v="14"/>
    <x v="9"/>
    <n v="20"/>
    <n v="3433.55"/>
    <n v="48069.7"/>
  </r>
  <r>
    <d v="2023-05-21T00:00:00"/>
    <s v="South"/>
    <s v="Karnataka"/>
    <s v="Hubli"/>
    <s v="Clothing"/>
    <n v="5"/>
    <x v="10"/>
    <n v="16"/>
    <n v="1757.01"/>
    <n v="8785.0499999999993"/>
  </r>
  <r>
    <d v="2023-07-12T00:00:00"/>
    <s v="West"/>
    <s v="Gujarat"/>
    <s v="Ahmedabad"/>
    <s v="Groceries"/>
    <n v="16"/>
    <x v="11"/>
    <n v="34"/>
    <n v="4858.3100000000004"/>
    <n v="77732.960000000006"/>
  </r>
  <r>
    <d v="2023-07-18T00:00:00"/>
    <s v="South"/>
    <s v="Karnataka"/>
    <s v="Hubli"/>
    <s v="Furniture"/>
    <n v="8"/>
    <x v="0"/>
    <n v="33"/>
    <n v="1366.18"/>
    <n v="10929.44"/>
  </r>
  <r>
    <d v="2023-05-06T00:00:00"/>
    <s v="South"/>
    <s v="Tamil Nadu"/>
    <s v="Coimbatore"/>
    <s v="Clothing"/>
    <n v="4"/>
    <x v="1"/>
    <n v="51"/>
    <n v="2425.52"/>
    <n v="9702.08"/>
  </r>
  <r>
    <d v="2023-07-07T00:00:00"/>
    <s v="South"/>
    <s v="Karnataka"/>
    <s v="Mysuru"/>
    <s v="Furniture"/>
    <n v="19"/>
    <x v="2"/>
    <n v="40"/>
    <n v="4421.6899999999996"/>
    <n v="84012.11"/>
  </r>
  <r>
    <d v="2023-03-16T00:00:00"/>
    <s v="South"/>
    <s v="Tamil Nadu"/>
    <s v="Madurai"/>
    <s v="Stationery"/>
    <n v="15"/>
    <x v="3"/>
    <n v="21"/>
    <n v="4724.91"/>
    <n v="70873.649999999994"/>
  </r>
  <r>
    <d v="2023-02-02T00:00:00"/>
    <s v="West"/>
    <s v="Gujarat"/>
    <s v="Surat"/>
    <s v="Groceries"/>
    <n v="15"/>
    <x v="4"/>
    <n v="20"/>
    <n v="3555.88"/>
    <n v="53338.2"/>
  </r>
  <r>
    <d v="2023-08-16T00:00:00"/>
    <s v="South"/>
    <s v="Tamil Nadu"/>
    <s v="Chennai"/>
    <s v="Clothing"/>
    <n v="12"/>
    <x v="5"/>
    <n v="52"/>
    <n v="2557.5700000000002"/>
    <n v="30690.84"/>
  </r>
  <r>
    <d v="2023-08-02T00:00:00"/>
    <s v="West"/>
    <s v="Gujarat"/>
    <s v="Vadodara"/>
    <s v="Clothing"/>
    <n v="5"/>
    <x v="6"/>
    <n v="55"/>
    <n v="1997.76"/>
    <n v="9988.7999999999993"/>
  </r>
  <r>
    <d v="2023-04-05T00:00:00"/>
    <s v="South"/>
    <s v="Tamil Nadu"/>
    <s v="Coimbatore"/>
    <s v="Furniture"/>
    <n v="9"/>
    <x v="7"/>
    <n v="37"/>
    <n v="704.39"/>
    <n v="6339.51"/>
  </r>
  <r>
    <d v="2023-07-26T00:00:00"/>
    <s v="South"/>
    <s v="Tamil Nadu"/>
    <s v="Coimbatore"/>
    <s v="Electronics"/>
    <n v="20"/>
    <x v="8"/>
    <n v="44"/>
    <n v="2446.31"/>
    <n v="48926.2"/>
  </r>
  <r>
    <d v="2023-09-11T00:00:00"/>
    <s v="West"/>
    <s v="Maharashtra"/>
    <s v="Nagpur"/>
    <s v="Clothing"/>
    <n v="10"/>
    <x v="9"/>
    <n v="33"/>
    <n v="2853.88"/>
    <n v="28538.799999999999"/>
  </r>
  <r>
    <d v="2023-03-27T00:00:00"/>
    <s v="West"/>
    <s v="Gujarat"/>
    <s v="Surat"/>
    <s v="Stationery"/>
    <n v="15"/>
    <x v="10"/>
    <n v="55"/>
    <n v="1098.31"/>
    <n v="16474.650000000001"/>
  </r>
  <r>
    <d v="2023-08-01T00:00:00"/>
    <s v="South"/>
    <s v="Tamil Nadu"/>
    <s v="Madurai"/>
    <s v="Furniture"/>
    <n v="11"/>
    <x v="11"/>
    <n v="55"/>
    <n v="968.17"/>
    <n v="10649.87"/>
  </r>
  <r>
    <d v="2023-04-19T00:00:00"/>
    <s v="North"/>
    <s v="Delhi"/>
    <s v="Dwarka"/>
    <s v="Furniture"/>
    <n v="10"/>
    <x v="0"/>
    <n v="30"/>
    <n v="373.54"/>
    <n v="3735.4"/>
  </r>
  <r>
    <d v="2023-02-03T00:00:00"/>
    <s v="North"/>
    <s v="Delhi"/>
    <s v="Karol Bagh"/>
    <s v="Clothing"/>
    <n v="4"/>
    <x v="1"/>
    <n v="51"/>
    <n v="1938.6"/>
    <n v="7754.4"/>
  </r>
  <r>
    <d v="2023-10-30T00:00:00"/>
    <s v="South"/>
    <s v="Tamil Nadu"/>
    <s v="Madurai"/>
    <s v="Electronics"/>
    <n v="9"/>
    <x v="2"/>
    <n v="45"/>
    <n v="3643.26"/>
    <n v="32789.339999999997"/>
  </r>
  <r>
    <d v="2023-05-09T00:00:00"/>
    <s v="West"/>
    <s v="Maharashtra"/>
    <s v="Nagpur"/>
    <s v="Electronics"/>
    <n v="19"/>
    <x v="3"/>
    <n v="22"/>
    <n v="3374.33"/>
    <n v="64112.27"/>
  </r>
  <r>
    <d v="2023-10-25T00:00:00"/>
    <s v="North"/>
    <s v="Delhi"/>
    <s v="Dwarka"/>
    <s v="Furniture"/>
    <n v="4"/>
    <x v="4"/>
    <n v="45"/>
    <n v="700.07"/>
    <n v="2800.28"/>
  </r>
  <r>
    <d v="2023-09-18T00:00:00"/>
    <s v="South"/>
    <s v="Karnataka"/>
    <s v="Hubli"/>
    <s v="Electronics"/>
    <n v="11"/>
    <x v="5"/>
    <n v="17"/>
    <n v="2677.03"/>
    <n v="29447.33"/>
  </r>
  <r>
    <d v="2023-08-02T00:00:00"/>
    <s v="South"/>
    <s v="Tamil Nadu"/>
    <s v="Madurai"/>
    <s v="Electronics"/>
    <n v="13"/>
    <x v="6"/>
    <n v="55"/>
    <n v="1220.76"/>
    <n v="15869.88"/>
  </r>
  <r>
    <d v="2023-06-22T00:00:00"/>
    <s v="West"/>
    <s v="Maharashtra"/>
    <s v="Nagpur"/>
    <s v="Stationery"/>
    <n v="1"/>
    <x v="7"/>
    <n v="52"/>
    <n v="4640.17"/>
    <n v="4640.17"/>
  </r>
  <r>
    <d v="2023-02-08T00:00:00"/>
    <s v="South"/>
    <s v="Tamil Nadu"/>
    <s v="Chennai"/>
    <s v="Groceries"/>
    <n v="12"/>
    <x v="8"/>
    <n v="31"/>
    <n v="1608.11"/>
    <n v="19297.32"/>
  </r>
  <r>
    <d v="2023-10-19T00:00:00"/>
    <s v="West"/>
    <s v="Maharashtra"/>
    <s v="Nagpur"/>
    <s v="Electronics"/>
    <n v="8"/>
    <x v="9"/>
    <n v="51"/>
    <n v="3615.06"/>
    <n v="28920.48"/>
  </r>
  <r>
    <d v="2023-05-25T00:00:00"/>
    <s v="West"/>
    <s v="Maharashtra"/>
    <s v="Nagpur"/>
    <s v="Furniture"/>
    <n v="7"/>
    <x v="10"/>
    <n v="27"/>
    <n v="4238.07"/>
    <n v="29666.49"/>
  </r>
  <r>
    <d v="2023-11-09T00:00:00"/>
    <s v="South"/>
    <s v="Karnataka"/>
    <s v="Bengaluru"/>
    <s v="Stationery"/>
    <n v="16"/>
    <x v="11"/>
    <n v="24"/>
    <n v="3981.76"/>
    <n v="63708.160000000003"/>
  </r>
  <r>
    <d v="2023-01-17T00:00:00"/>
    <s v="North"/>
    <s v="Delhi"/>
    <s v="New Delhi"/>
    <s v="Furniture"/>
    <n v="6"/>
    <x v="0"/>
    <n v="30"/>
    <n v="3671.84"/>
    <n v="22031.040000000001"/>
  </r>
  <r>
    <d v="2023-10-15T00:00:00"/>
    <s v="South"/>
    <s v="Tamil Nadu"/>
    <s v="Coimbatore"/>
    <s v="Furniture"/>
    <n v="3"/>
    <x v="1"/>
    <n v="20"/>
    <n v="1046.06"/>
    <n v="3138.18"/>
  </r>
  <r>
    <d v="2023-12-10T00:00:00"/>
    <s v="South"/>
    <s v="Tamil Nadu"/>
    <s v="Madurai"/>
    <s v="Clothing"/>
    <n v="8"/>
    <x v="2"/>
    <n v="54"/>
    <n v="1595.76"/>
    <n v="12766.08"/>
  </r>
  <r>
    <d v="2023-09-22T00:00:00"/>
    <s v="North"/>
    <s v="Delhi"/>
    <s v="New Delhi"/>
    <s v="Electronics"/>
    <n v="8"/>
    <x v="3"/>
    <n v="55"/>
    <n v="4866.58"/>
    <n v="38932.639999999999"/>
  </r>
  <r>
    <d v="2023-09-25T00:00:00"/>
    <s v="West"/>
    <s v="Gujarat"/>
    <s v="Surat"/>
    <s v="Groceries"/>
    <n v="2"/>
    <x v="4"/>
    <n v="24"/>
    <n v="4176.99"/>
    <n v="8353.98"/>
  </r>
  <r>
    <d v="2023-10-04T00:00:00"/>
    <s v="North"/>
    <s v="Delhi"/>
    <s v="New Delhi"/>
    <s v="Electronics"/>
    <n v="16"/>
    <x v="5"/>
    <n v="34"/>
    <n v="4860.07"/>
    <n v="77761.119999999995"/>
  </r>
  <r>
    <d v="2023-07-19T00:00:00"/>
    <s v="South"/>
    <s v="Karnataka"/>
    <s v="Hubli"/>
    <s v="Clothing"/>
    <n v="4"/>
    <x v="6"/>
    <n v="55"/>
    <n v="277.45"/>
    <n v="1109.8"/>
  </r>
  <r>
    <d v="2023-02-08T00:00:00"/>
    <s v="South"/>
    <s v="Karnataka"/>
    <s v="Hubli"/>
    <s v="Groceries"/>
    <n v="13"/>
    <x v="7"/>
    <n v="19"/>
    <n v="1030.9000000000001"/>
    <n v="13401.7"/>
  </r>
  <r>
    <d v="2023-11-28T00:00:00"/>
    <s v="South"/>
    <s v="Karnataka"/>
    <s v="Bengaluru"/>
    <s v="Furniture"/>
    <n v="16"/>
    <x v="8"/>
    <n v="28"/>
    <n v="2573.33"/>
    <n v="41173.279999999999"/>
  </r>
  <r>
    <d v="2023-01-16T00:00:00"/>
    <s v="South"/>
    <s v="Tamil Nadu"/>
    <s v="Chennai"/>
    <s v="Stationery"/>
    <n v="18"/>
    <x v="9"/>
    <n v="52"/>
    <n v="1134.8800000000001"/>
    <n v="20427.84"/>
  </r>
  <r>
    <d v="2023-12-23T00:00:00"/>
    <s v="North"/>
    <s v="Delhi"/>
    <s v="Karol Bagh"/>
    <s v="Furniture"/>
    <n v="13"/>
    <x v="10"/>
    <n v="22"/>
    <n v="802.18"/>
    <n v="10428.34"/>
  </r>
  <r>
    <d v="2023-12-28T00:00:00"/>
    <s v="South"/>
    <s v="Tamil Nadu"/>
    <s v="Coimbatore"/>
    <s v="Stationery"/>
    <n v="10"/>
    <x v="11"/>
    <n v="46"/>
    <n v="568.6"/>
    <n v="5686"/>
  </r>
  <r>
    <d v="2023-09-23T00:00:00"/>
    <s v="West"/>
    <s v="Maharashtra"/>
    <s v="Nagpur"/>
    <s v="Clothing"/>
    <n v="7"/>
    <x v="0"/>
    <n v="18"/>
    <n v="1801.74"/>
    <n v="12612.18"/>
  </r>
  <r>
    <d v="2023-07-31T00:00:00"/>
    <s v="South"/>
    <s v="Karnataka"/>
    <s v="Bengaluru"/>
    <s v="Clothing"/>
    <n v="13"/>
    <x v="1"/>
    <n v="20"/>
    <n v="968.18"/>
    <n v="12586.34"/>
  </r>
  <r>
    <d v="2023-04-18T00:00:00"/>
    <s v="South"/>
    <s v="Karnataka"/>
    <s v="Mysuru"/>
    <s v="Stationery"/>
    <n v="6"/>
    <x v="2"/>
    <n v="53"/>
    <n v="3439.83"/>
    <n v="20638.98"/>
  </r>
  <r>
    <d v="2023-08-08T00:00:00"/>
    <s v="South"/>
    <s v="Karnataka"/>
    <s v="Hubli"/>
    <s v="Groceries"/>
    <n v="15"/>
    <x v="3"/>
    <n v="48"/>
    <n v="3943.63"/>
    <n v="59154.45"/>
  </r>
  <r>
    <d v="2023-09-03T00:00:00"/>
    <s v="North"/>
    <s v="Delhi"/>
    <s v="Dwarka"/>
    <s v="Stationery"/>
    <n v="11"/>
    <x v="4"/>
    <n v="28"/>
    <n v="1418.67"/>
    <n v="15605.37"/>
  </r>
  <r>
    <d v="2023-01-12T00:00:00"/>
    <s v="South"/>
    <s v="Karnataka"/>
    <s v="Hubli"/>
    <s v="Furniture"/>
    <n v="16"/>
    <x v="5"/>
    <n v="18"/>
    <n v="2976.17"/>
    <n v="47618.720000000001"/>
  </r>
  <r>
    <d v="2023-07-02T00:00:00"/>
    <s v="North"/>
    <s v="Delhi"/>
    <s v="Karol Bagh"/>
    <s v="Clothing"/>
    <n v="4"/>
    <x v="6"/>
    <n v="47"/>
    <n v="2984.27"/>
    <n v="11937.08"/>
  </r>
  <r>
    <d v="2023-03-12T00:00:00"/>
    <s v="South"/>
    <s v="Karnataka"/>
    <s v="Hubli"/>
    <s v="Groceries"/>
    <n v="2"/>
    <x v="7"/>
    <n v="35"/>
    <n v="1888.47"/>
    <n v="3776.94"/>
  </r>
  <r>
    <d v="2023-11-04T00:00:00"/>
    <s v="West"/>
    <s v="Gujarat"/>
    <s v="Surat"/>
    <s v="Stationery"/>
    <n v="18"/>
    <x v="8"/>
    <n v="21"/>
    <n v="651.22"/>
    <n v="11721.96"/>
  </r>
  <r>
    <d v="2023-06-12T00:00:00"/>
    <s v="South"/>
    <s v="Tamil Nadu"/>
    <s v="Coimbatore"/>
    <s v="Stationery"/>
    <n v="3"/>
    <x v="9"/>
    <n v="44"/>
    <n v="3109.18"/>
    <n v="9327.5400000000009"/>
  </r>
  <r>
    <d v="2023-08-05T00:00:00"/>
    <s v="West"/>
    <s v="Maharashtra"/>
    <s v="Pune"/>
    <s v="Stationery"/>
    <n v="11"/>
    <x v="10"/>
    <n v="23"/>
    <n v="587.46"/>
    <n v="6462.06"/>
  </r>
  <r>
    <d v="2023-02-15T00:00:00"/>
    <s v="North"/>
    <s v="Delhi"/>
    <s v="Karol Bagh"/>
    <s v="Clothing"/>
    <n v="1"/>
    <x v="11"/>
    <n v="49"/>
    <n v="2466.0100000000002"/>
    <n v="2466.0100000000002"/>
  </r>
  <r>
    <d v="2023-10-24T00:00:00"/>
    <s v="West"/>
    <s v="Gujarat"/>
    <s v="Ahmedabad"/>
    <s v="Furniture"/>
    <n v="19"/>
    <x v="0"/>
    <n v="23"/>
    <n v="3907.56"/>
    <n v="74243.64"/>
  </r>
  <r>
    <d v="2023-07-22T00:00:00"/>
    <s v="North"/>
    <s v="Delhi"/>
    <s v="New Delhi"/>
    <s v="Clothing"/>
    <n v="5"/>
    <x v="1"/>
    <n v="31"/>
    <n v="2463.9499999999998"/>
    <n v="12319.75"/>
  </r>
  <r>
    <d v="2023-01-07T00:00:00"/>
    <s v="South"/>
    <s v="Karnataka"/>
    <s v="Mysuru"/>
    <s v="Stationery"/>
    <n v="7"/>
    <x v="2"/>
    <n v="24"/>
    <n v="410.28"/>
    <n v="2871.96"/>
  </r>
  <r>
    <d v="2023-05-23T00:00:00"/>
    <s v="West"/>
    <s v="Gujarat"/>
    <s v="Vadodara"/>
    <s v="Groceries"/>
    <n v="16"/>
    <x v="3"/>
    <n v="44"/>
    <n v="704.88"/>
    <n v="11278.08"/>
  </r>
  <r>
    <d v="2023-01-06T00:00:00"/>
    <s v="South"/>
    <s v="Tamil Nadu"/>
    <s v="Chennai"/>
    <s v="Groceries"/>
    <n v="2"/>
    <x v="4"/>
    <n v="48"/>
    <n v="779.35"/>
    <n v="1558.7"/>
  </r>
  <r>
    <d v="2023-07-28T00:00:00"/>
    <s v="North"/>
    <s v="Delhi"/>
    <s v="Dwarka"/>
    <s v="Clothing"/>
    <n v="18"/>
    <x v="5"/>
    <n v="49"/>
    <n v="276.35000000000002"/>
    <n v="4974.3"/>
  </r>
  <r>
    <d v="2023-02-23T00:00:00"/>
    <s v="South"/>
    <s v="Karnataka"/>
    <s v="Hubli"/>
    <s v="Groceries"/>
    <n v="12"/>
    <x v="6"/>
    <n v="53"/>
    <n v="4964.87"/>
    <n v="59578.44"/>
  </r>
  <r>
    <d v="2023-06-15T00:00:00"/>
    <s v="West"/>
    <s v="Gujarat"/>
    <s v="Vadodara"/>
    <s v="Groceries"/>
    <n v="10"/>
    <x v="7"/>
    <n v="30"/>
    <n v="1979.32"/>
    <n v="19793.2"/>
  </r>
  <r>
    <d v="2023-09-05T00:00:00"/>
    <s v="West"/>
    <s v="Gujarat"/>
    <s v="Vadodara"/>
    <s v="Furniture"/>
    <n v="7"/>
    <x v="8"/>
    <n v="19"/>
    <n v="978.46"/>
    <n v="6849.22"/>
  </r>
  <r>
    <d v="2023-06-05T00:00:00"/>
    <s v="North"/>
    <s v="Delhi"/>
    <s v="Karol Bagh"/>
    <s v="Electronics"/>
    <n v="1"/>
    <x v="9"/>
    <n v="43"/>
    <n v="1591.88"/>
    <n v="1591.88"/>
  </r>
  <r>
    <d v="2023-03-01T00:00:00"/>
    <s v="South"/>
    <s v="Tamil Nadu"/>
    <s v="Coimbatore"/>
    <s v="Groceries"/>
    <n v="12"/>
    <x v="10"/>
    <n v="27"/>
    <n v="4403.8500000000004"/>
    <n v="52846.2"/>
  </r>
  <r>
    <d v="2023-02-20T00:00:00"/>
    <s v="South"/>
    <s v="Tamil Nadu"/>
    <s v="Madurai"/>
    <s v="Clothing"/>
    <n v="8"/>
    <x v="11"/>
    <n v="17"/>
    <n v="1481.04"/>
    <n v="11848.32"/>
  </r>
  <r>
    <d v="2023-07-02T00:00:00"/>
    <s v="South"/>
    <s v="Karnataka"/>
    <s v="Hubli"/>
    <s v="Furniture"/>
    <n v="20"/>
    <x v="0"/>
    <n v="39"/>
    <n v="722.13"/>
    <n v="14442.6"/>
  </r>
  <r>
    <d v="2023-02-06T00:00:00"/>
    <s v="North"/>
    <s v="Delhi"/>
    <s v="Karol Bagh"/>
    <s v="Clothing"/>
    <n v="6"/>
    <x v="1"/>
    <n v="26"/>
    <n v="2772.51"/>
    <n v="16635.060000000001"/>
  </r>
  <r>
    <d v="2023-05-29T00:00:00"/>
    <s v="South"/>
    <s v="Karnataka"/>
    <s v="Bengaluru"/>
    <s v="Furniture"/>
    <n v="4"/>
    <x v="2"/>
    <n v="16"/>
    <n v="1993.97"/>
    <n v="7975.88"/>
  </r>
  <r>
    <d v="2023-02-03T00:00:00"/>
    <s v="West"/>
    <s v="Gujarat"/>
    <s v="Ahmedabad"/>
    <s v="Furniture"/>
    <n v="4"/>
    <x v="3"/>
    <n v="25"/>
    <n v="2514.88"/>
    <n v="10059.52"/>
  </r>
  <r>
    <d v="2023-07-26T00:00:00"/>
    <s v="West"/>
    <s v="Gujarat"/>
    <s v="Surat"/>
    <s v="Furniture"/>
    <n v="15"/>
    <x v="4"/>
    <n v="33"/>
    <n v="2006.04"/>
    <n v="30090.6"/>
  </r>
  <r>
    <d v="2023-07-21T00:00:00"/>
    <s v="West"/>
    <s v="Maharashtra"/>
    <s v="Nagpur"/>
    <s v="Clothing"/>
    <n v="16"/>
    <x v="5"/>
    <n v="28"/>
    <n v="4780.7700000000004"/>
    <n v="76492.320000000007"/>
  </r>
  <r>
    <d v="2023-02-23T00:00:00"/>
    <s v="West"/>
    <s v="Gujarat"/>
    <s v="Surat"/>
    <s v="Groceries"/>
    <n v="19"/>
    <x v="6"/>
    <n v="20"/>
    <n v="1067.6199999999999"/>
    <n v="20284.78"/>
  </r>
  <r>
    <d v="2023-08-30T00:00:00"/>
    <s v="South"/>
    <s v="Tamil Nadu"/>
    <s v="Madurai"/>
    <s v="Furniture"/>
    <n v="3"/>
    <x v="7"/>
    <n v="50"/>
    <n v="4363.3"/>
    <n v="13089.9"/>
  </r>
  <r>
    <d v="2023-11-12T00:00:00"/>
    <s v="West"/>
    <s v="Maharashtra"/>
    <s v="Mumbai"/>
    <s v="Stationery"/>
    <n v="14"/>
    <x v="8"/>
    <n v="24"/>
    <n v="492.06"/>
    <n v="6888.84"/>
  </r>
  <r>
    <d v="2023-09-01T00:00:00"/>
    <s v="West"/>
    <s v="Gujarat"/>
    <s v="Vadodara"/>
    <s v="Groceries"/>
    <n v="19"/>
    <x v="9"/>
    <n v="25"/>
    <n v="3326.91"/>
    <n v="63211.29"/>
  </r>
  <r>
    <d v="2023-10-24T00:00:00"/>
    <s v="South"/>
    <s v="Karnataka"/>
    <s v="Bengaluru"/>
    <s v="Groceries"/>
    <n v="11"/>
    <x v="10"/>
    <n v="20"/>
    <n v="841.99"/>
    <n v="9261.89"/>
  </r>
  <r>
    <d v="2023-11-12T00:00:00"/>
    <s v="West"/>
    <s v="Maharashtra"/>
    <s v="Mumbai"/>
    <s v="Electronics"/>
    <n v="7"/>
    <x v="11"/>
    <n v="37"/>
    <n v="1458"/>
    <n v="10206"/>
  </r>
  <r>
    <d v="2023-08-29T00:00:00"/>
    <s v="West"/>
    <s v="Maharashtra"/>
    <s v="Nagpur"/>
    <s v="Groceries"/>
    <n v="5"/>
    <x v="0"/>
    <n v="37"/>
    <n v="3342.48"/>
    <n v="16712.400000000001"/>
  </r>
  <r>
    <d v="2023-03-10T00:00:00"/>
    <s v="South"/>
    <s v="Karnataka"/>
    <s v="Bengaluru"/>
    <s v="Stationery"/>
    <n v="5"/>
    <x v="1"/>
    <n v="16"/>
    <n v="4300.7"/>
    <n v="21503.5"/>
  </r>
  <r>
    <d v="2023-05-06T00:00:00"/>
    <s v="North"/>
    <s v="Delhi"/>
    <s v="New Delhi"/>
    <s v="Stationery"/>
    <n v="18"/>
    <x v="2"/>
    <n v="47"/>
    <n v="4861.3100000000004"/>
    <n v="87503.58"/>
  </r>
  <r>
    <d v="2023-11-08T00:00:00"/>
    <s v="North"/>
    <s v="Delhi"/>
    <s v="New Delhi"/>
    <s v="Electronics"/>
    <n v="17"/>
    <x v="3"/>
    <n v="52"/>
    <n v="2216.38"/>
    <n v="37678.46"/>
  </r>
  <r>
    <d v="2023-08-30T00:00:00"/>
    <s v="North"/>
    <s v="Delhi"/>
    <s v="New Delhi"/>
    <s v="Groceries"/>
    <n v="18"/>
    <x v="4"/>
    <n v="37"/>
    <n v="448.42"/>
    <n v="8071.56"/>
  </r>
  <r>
    <d v="2023-11-28T00:00:00"/>
    <s v="West"/>
    <s v="Maharashtra"/>
    <s v="Pune"/>
    <s v="Groceries"/>
    <n v="20"/>
    <x v="5"/>
    <n v="25"/>
    <n v="4226.93"/>
    <n v="84538.6"/>
  </r>
  <r>
    <d v="2023-07-24T00:00:00"/>
    <s v="West"/>
    <s v="Maharashtra"/>
    <s v="Pune"/>
    <s v="Groceries"/>
    <n v="16"/>
    <x v="6"/>
    <n v="28"/>
    <n v="1575.89"/>
    <n v="25214.240000000002"/>
  </r>
  <r>
    <d v="2023-04-09T00:00:00"/>
    <s v="South"/>
    <s v="Karnataka"/>
    <s v="Bengaluru"/>
    <s v="Stationery"/>
    <n v="8"/>
    <x v="7"/>
    <n v="41"/>
    <n v="1968.58"/>
    <n v="15748.64"/>
  </r>
  <r>
    <d v="2023-09-14T00:00:00"/>
    <s v="West"/>
    <s v="Gujarat"/>
    <s v="Ahmedabad"/>
    <s v="Groceries"/>
    <n v="4"/>
    <x v="8"/>
    <n v="39"/>
    <n v="3377.27"/>
    <n v="13509.08"/>
  </r>
  <r>
    <d v="2023-02-22T00:00:00"/>
    <s v="South"/>
    <s v="Karnataka"/>
    <s v="Bengaluru"/>
    <s v="Stationery"/>
    <n v="2"/>
    <x v="9"/>
    <n v="18"/>
    <n v="296.52999999999997"/>
    <n v="593.05999999999995"/>
  </r>
  <r>
    <d v="2023-11-27T00:00:00"/>
    <s v="West"/>
    <s v="Gujarat"/>
    <s v="Vadodara"/>
    <s v="Clothing"/>
    <n v="12"/>
    <x v="10"/>
    <n v="19"/>
    <n v="749.68"/>
    <n v="8996.16"/>
  </r>
  <r>
    <d v="2023-03-03T00:00:00"/>
    <s v="West"/>
    <s v="Maharashtra"/>
    <s v="Nagpur"/>
    <s v="Electronics"/>
    <n v="11"/>
    <x v="11"/>
    <n v="19"/>
    <n v="3584.06"/>
    <n v="39424.660000000003"/>
  </r>
  <r>
    <d v="2023-11-02T00:00:00"/>
    <s v="West"/>
    <s v="Maharashtra"/>
    <s v="Nagpur"/>
    <s v="Groceries"/>
    <n v="15"/>
    <x v="0"/>
    <n v="52"/>
    <n v="2869.14"/>
    <n v="43037.1"/>
  </r>
  <r>
    <d v="2023-02-04T00:00:00"/>
    <s v="West"/>
    <s v="Maharashtra"/>
    <s v="Mumbai"/>
    <s v="Electronics"/>
    <n v="17"/>
    <x v="1"/>
    <n v="42"/>
    <n v="4100.2700000000004"/>
    <n v="69704.59"/>
  </r>
  <r>
    <d v="2023-10-28T00:00:00"/>
    <s v="South"/>
    <s v="Tamil Nadu"/>
    <s v="Chennai"/>
    <s v="Furniture"/>
    <n v="3"/>
    <x v="2"/>
    <n v="38"/>
    <n v="2756.83"/>
    <n v="8270.49"/>
  </r>
  <r>
    <d v="2023-12-18T00:00:00"/>
    <s v="South"/>
    <s v="Tamil Nadu"/>
    <s v="Madurai"/>
    <s v="Clothing"/>
    <n v="13"/>
    <x v="3"/>
    <n v="21"/>
    <n v="2829.47"/>
    <n v="36783.11"/>
  </r>
  <r>
    <d v="2023-04-16T00:00:00"/>
    <s v="West"/>
    <s v="Gujarat"/>
    <s v="Vadodara"/>
    <s v="Groceries"/>
    <n v="17"/>
    <x v="4"/>
    <n v="21"/>
    <n v="1340.98"/>
    <n v="22796.66"/>
  </r>
  <r>
    <d v="2023-02-28T00:00:00"/>
    <s v="South"/>
    <s v="Karnataka"/>
    <s v="Mysuru"/>
    <s v="Stationery"/>
    <n v="10"/>
    <x v="5"/>
    <n v="45"/>
    <n v="429.69"/>
    <n v="4296.8999999999996"/>
  </r>
  <r>
    <d v="2023-06-28T00:00:00"/>
    <s v="West"/>
    <s v="Maharashtra"/>
    <s v="Nagpur"/>
    <s v="Stationery"/>
    <n v="17"/>
    <x v="6"/>
    <n v="31"/>
    <n v="4982.8100000000004"/>
    <n v="84707.77"/>
  </r>
  <r>
    <d v="2023-05-03T00:00:00"/>
    <s v="West"/>
    <s v="Maharashtra"/>
    <s v="Mumbai"/>
    <s v="Clothing"/>
    <n v="19"/>
    <x v="7"/>
    <n v="39"/>
    <n v="4137.4399999999996"/>
    <n v="78611.360000000001"/>
  </r>
  <r>
    <d v="2023-10-06T00:00:00"/>
    <s v="North"/>
    <s v="Delhi"/>
    <s v="New Delhi"/>
    <s v="Electronics"/>
    <n v="4"/>
    <x v="8"/>
    <n v="22"/>
    <n v="1147.06"/>
    <n v="4588.24"/>
  </r>
  <r>
    <d v="2023-02-18T00:00:00"/>
    <s v="South"/>
    <s v="Karnataka"/>
    <s v="Mysuru"/>
    <s v="Groceries"/>
    <n v="15"/>
    <x v="9"/>
    <n v="53"/>
    <n v="1972.75"/>
    <n v="29591.25"/>
  </r>
  <r>
    <d v="2023-07-14T00:00:00"/>
    <s v="North"/>
    <s v="Delhi"/>
    <s v="New Delhi"/>
    <s v="Electronics"/>
    <n v="16"/>
    <x v="10"/>
    <n v="54"/>
    <n v="1192.3800000000001"/>
    <n v="19078.080000000002"/>
  </r>
  <r>
    <d v="2023-07-06T00:00:00"/>
    <s v="West"/>
    <s v="Maharashtra"/>
    <s v="Nagpur"/>
    <s v="Stationery"/>
    <n v="5"/>
    <x v="11"/>
    <n v="52"/>
    <n v="2545.9299999999998"/>
    <n v="12729.65"/>
  </r>
  <r>
    <d v="2023-05-28T00:00:00"/>
    <s v="South"/>
    <s v="Tamil Nadu"/>
    <s v="Coimbatore"/>
    <s v="Electronics"/>
    <n v="20"/>
    <x v="0"/>
    <n v="47"/>
    <n v="2860.96"/>
    <n v="57219.199999999997"/>
  </r>
  <r>
    <d v="2023-04-23T00:00:00"/>
    <s v="West"/>
    <s v="Maharashtra"/>
    <s v="Mumbai"/>
    <s v="Electronics"/>
    <n v="14"/>
    <x v="1"/>
    <n v="31"/>
    <n v="2775.33"/>
    <n v="38854.620000000003"/>
  </r>
  <r>
    <d v="2023-04-23T00:00:00"/>
    <s v="South"/>
    <s v="Karnataka"/>
    <s v="Bengaluru"/>
    <s v="Stationery"/>
    <n v="15"/>
    <x v="2"/>
    <n v="43"/>
    <n v="3285.68"/>
    <n v="49285.2"/>
  </r>
  <r>
    <d v="2023-10-26T00:00:00"/>
    <s v="South"/>
    <s v="Karnataka"/>
    <s v="Bengaluru"/>
    <s v="Furniture"/>
    <n v="18"/>
    <x v="3"/>
    <n v="50"/>
    <n v="1132.04"/>
    <n v="20376.72"/>
  </r>
  <r>
    <d v="2023-06-06T00:00:00"/>
    <s v="West"/>
    <s v="Maharashtra"/>
    <s v="Mumbai"/>
    <s v="Furniture"/>
    <n v="6"/>
    <x v="4"/>
    <n v="55"/>
    <n v="1205.3599999999999"/>
    <n v="7232.16"/>
  </r>
  <r>
    <d v="2023-08-06T00:00:00"/>
    <s v="West"/>
    <s v="Gujarat"/>
    <s v="Vadodara"/>
    <s v="Groceries"/>
    <n v="20"/>
    <x v="5"/>
    <n v="23"/>
    <n v="4944.01"/>
    <n v="98880.2"/>
  </r>
  <r>
    <d v="2023-09-12T00:00:00"/>
    <s v="South"/>
    <s v="Karnataka"/>
    <s v="Hubli"/>
    <s v="Stationery"/>
    <n v="11"/>
    <x v="6"/>
    <n v="37"/>
    <n v="268.13"/>
    <n v="2949.43"/>
  </r>
  <r>
    <d v="2023-07-05T00:00:00"/>
    <s v="North"/>
    <s v="Delhi"/>
    <s v="New Delhi"/>
    <s v="Stationery"/>
    <n v="14"/>
    <x v="7"/>
    <n v="23"/>
    <n v="564.63"/>
    <n v="7904.82"/>
  </r>
  <r>
    <d v="2023-06-13T00:00:00"/>
    <s v="North"/>
    <s v="Delhi"/>
    <s v="Karol Bagh"/>
    <s v="Groceries"/>
    <n v="5"/>
    <x v="8"/>
    <n v="35"/>
    <n v="1412.08"/>
    <n v="7060.4"/>
  </r>
  <r>
    <d v="2023-05-28T00:00:00"/>
    <s v="South"/>
    <s v="Karnataka"/>
    <s v="Hubli"/>
    <s v="Furniture"/>
    <n v="2"/>
    <x v="9"/>
    <n v="45"/>
    <n v="4019.4"/>
    <n v="8038.8"/>
  </r>
  <r>
    <d v="2023-06-27T00:00:00"/>
    <s v="West"/>
    <s v="Maharashtra"/>
    <s v="Pune"/>
    <s v="Clothing"/>
    <n v="12"/>
    <x v="10"/>
    <n v="52"/>
    <n v="3076.03"/>
    <n v="36912.36"/>
  </r>
  <r>
    <d v="2023-03-23T00:00:00"/>
    <s v="North"/>
    <s v="Delhi"/>
    <s v="New Delhi"/>
    <s v="Clothing"/>
    <n v="2"/>
    <x v="11"/>
    <n v="20"/>
    <n v="233.75"/>
    <n v="467.5"/>
  </r>
  <r>
    <d v="2023-04-11T00:00:00"/>
    <s v="West"/>
    <s v="Maharashtra"/>
    <s v="Mumbai"/>
    <s v="Stationery"/>
    <n v="9"/>
    <x v="0"/>
    <n v="53"/>
    <n v="2376.12"/>
    <n v="21385.08"/>
  </r>
  <r>
    <d v="2023-06-30T00:00:00"/>
    <s v="South"/>
    <s v="Karnataka"/>
    <s v="Bengaluru"/>
    <s v="Furniture"/>
    <n v="20"/>
    <x v="1"/>
    <n v="50"/>
    <n v="603.49"/>
    <n v="12069.8"/>
  </r>
  <r>
    <d v="2023-05-23T00:00:00"/>
    <s v="South"/>
    <s v="Karnataka"/>
    <s v="Mysuru"/>
    <s v="Groceries"/>
    <n v="15"/>
    <x v="2"/>
    <n v="27"/>
    <n v="4269.32"/>
    <n v="64039.8"/>
  </r>
  <r>
    <d v="2023-09-23T00:00:00"/>
    <s v="West"/>
    <s v="Maharashtra"/>
    <s v="Mumbai"/>
    <s v="Electronics"/>
    <n v="6"/>
    <x v="3"/>
    <n v="44"/>
    <n v="686.38"/>
    <n v="4118.28"/>
  </r>
  <r>
    <d v="2023-07-01T00:00:00"/>
    <s v="North"/>
    <s v="Delhi"/>
    <s v="Dwarka"/>
    <s v="Furniture"/>
    <n v="14"/>
    <x v="4"/>
    <n v="50"/>
    <n v="2429.23"/>
    <n v="34009.22"/>
  </r>
  <r>
    <d v="2023-02-03T00:00:00"/>
    <s v="West"/>
    <s v="Gujarat"/>
    <s v="Surat"/>
    <s v="Groceries"/>
    <n v="5"/>
    <x v="5"/>
    <n v="29"/>
    <n v="3770.46"/>
    <n v="18852.3"/>
  </r>
  <r>
    <d v="2023-12-18T00:00:00"/>
    <s v="West"/>
    <s v="Gujarat"/>
    <s v="Surat"/>
    <s v="Stationery"/>
    <n v="5"/>
    <x v="6"/>
    <n v="53"/>
    <n v="2162.08"/>
    <n v="10810.4"/>
  </r>
  <r>
    <d v="2023-07-21T00:00:00"/>
    <s v="North"/>
    <s v="Delhi"/>
    <s v="Dwarka"/>
    <s v="Groceries"/>
    <n v="6"/>
    <x v="7"/>
    <n v="29"/>
    <n v="1366.98"/>
    <n v="8201.8799999999992"/>
  </r>
  <r>
    <d v="2023-09-17T00:00:00"/>
    <s v="North"/>
    <s v="Delhi"/>
    <s v="New Delhi"/>
    <s v="Clothing"/>
    <n v="7"/>
    <x v="8"/>
    <n v="28"/>
    <n v="3063.53"/>
    <n v="21444.71"/>
  </r>
  <r>
    <d v="2023-03-25T00:00:00"/>
    <s v="South"/>
    <s v="Tamil Nadu"/>
    <s v="Coimbatore"/>
    <s v="Groceries"/>
    <n v="17"/>
    <x v="9"/>
    <n v="47"/>
    <n v="578.88"/>
    <n v="9840.9599999999991"/>
  </r>
  <r>
    <d v="2023-06-30T00:00:00"/>
    <s v="North"/>
    <s v="Delhi"/>
    <s v="Dwarka"/>
    <s v="Electronics"/>
    <n v="12"/>
    <x v="10"/>
    <n v="36"/>
    <n v="3981.34"/>
    <n v="47776.08"/>
  </r>
  <r>
    <d v="2023-02-22T00:00:00"/>
    <s v="South"/>
    <s v="Karnataka"/>
    <s v="Mysuru"/>
    <s v="Clothing"/>
    <n v="20"/>
    <x v="11"/>
    <n v="47"/>
    <n v="2750.28"/>
    <n v="55005.599999999999"/>
  </r>
  <r>
    <d v="2023-09-07T00:00:00"/>
    <s v="West"/>
    <s v="Maharashtra"/>
    <s v="Mumbai"/>
    <s v="Clothing"/>
    <n v="13"/>
    <x v="0"/>
    <n v="38"/>
    <n v="2809.29"/>
    <n v="36520.769999999997"/>
  </r>
  <r>
    <d v="2023-01-21T00:00:00"/>
    <s v="South"/>
    <s v="Tamil Nadu"/>
    <s v="Madurai"/>
    <s v="Stationery"/>
    <n v="14"/>
    <x v="1"/>
    <n v="40"/>
    <n v="1487.12"/>
    <n v="20819.68"/>
  </r>
  <r>
    <d v="2023-12-25T00:00:00"/>
    <s v="South"/>
    <s v="Tamil Nadu"/>
    <s v="Chennai"/>
    <s v="Electronics"/>
    <n v="18"/>
    <x v="2"/>
    <n v="23"/>
    <n v="1279.4100000000001"/>
    <n v="23029.38"/>
  </r>
  <r>
    <d v="2023-01-25T00:00:00"/>
    <s v="West"/>
    <s v="Maharashtra"/>
    <s v="Pune"/>
    <s v="Furniture"/>
    <n v="2"/>
    <x v="3"/>
    <n v="51"/>
    <n v="4439.5"/>
    <n v="8879"/>
  </r>
  <r>
    <d v="2023-04-07T00:00:00"/>
    <s v="West"/>
    <s v="Maharashtra"/>
    <s v="Mumbai"/>
    <s v="Stationery"/>
    <n v="13"/>
    <x v="4"/>
    <n v="53"/>
    <n v="4850.17"/>
    <n v="63052.21"/>
  </r>
  <r>
    <d v="2023-05-24T00:00:00"/>
    <s v="West"/>
    <s v="Maharashtra"/>
    <s v="Nagpur"/>
    <s v="Furniture"/>
    <n v="4"/>
    <x v="5"/>
    <n v="43"/>
    <n v="2792.23"/>
    <n v="11168.92"/>
  </r>
  <r>
    <d v="2023-08-02T00:00:00"/>
    <s v="West"/>
    <s v="Gujarat"/>
    <s v="Ahmedabad"/>
    <s v="Stationery"/>
    <n v="17"/>
    <x v="6"/>
    <n v="42"/>
    <n v="4953.04"/>
    <n v="84201.68"/>
  </r>
  <r>
    <d v="2023-09-29T00:00:00"/>
    <s v="South"/>
    <s v="Karnataka"/>
    <s v="Mysuru"/>
    <s v="Stationery"/>
    <n v="14"/>
    <x v="7"/>
    <n v="18"/>
    <n v="4192.8599999999997"/>
    <n v="58700.04"/>
  </r>
  <r>
    <d v="2023-07-27T00:00:00"/>
    <s v="South"/>
    <s v="Karnataka"/>
    <s v="Bengaluru"/>
    <s v="Furniture"/>
    <n v="19"/>
    <x v="8"/>
    <n v="23"/>
    <n v="2848.96"/>
    <n v="54130.239999999998"/>
  </r>
  <r>
    <d v="2023-09-30T00:00:00"/>
    <s v="West"/>
    <s v="Maharashtra"/>
    <s v="Mumbai"/>
    <s v="Stationery"/>
    <n v="12"/>
    <x v="9"/>
    <n v="33"/>
    <n v="1352.89"/>
    <n v="16234.68"/>
  </r>
  <r>
    <d v="2023-06-24T00:00:00"/>
    <s v="South"/>
    <s v="Tamil Nadu"/>
    <s v="Coimbatore"/>
    <s v="Furniture"/>
    <n v="14"/>
    <x v="10"/>
    <n v="41"/>
    <n v="264.60000000000002"/>
    <n v="3704.4"/>
  </r>
  <r>
    <d v="2023-07-08T00:00:00"/>
    <s v="South"/>
    <s v="Karnataka"/>
    <s v="Mysuru"/>
    <s v="Stationery"/>
    <n v="17"/>
    <x v="11"/>
    <n v="43"/>
    <n v="2316.09"/>
    <n v="39373.53"/>
  </r>
  <r>
    <d v="2023-07-16T00:00:00"/>
    <s v="West"/>
    <s v="Maharashtra"/>
    <s v="Pune"/>
    <s v="Stationery"/>
    <n v="8"/>
    <x v="0"/>
    <n v="44"/>
    <n v="1371.28"/>
    <n v="10970.24"/>
  </r>
  <r>
    <d v="2023-02-01T00:00:00"/>
    <s v="North"/>
    <s v="Delhi"/>
    <s v="New Delhi"/>
    <s v="Clothing"/>
    <n v="10"/>
    <x v="1"/>
    <n v="53"/>
    <n v="4298.32"/>
    <n v="42983.199999999997"/>
  </r>
  <r>
    <d v="2023-03-04T00:00:00"/>
    <s v="South"/>
    <s v="Karnataka"/>
    <s v="Bengaluru"/>
    <s v="Clothing"/>
    <n v="19"/>
    <x v="2"/>
    <n v="44"/>
    <n v="636.20000000000005"/>
    <n v="12087.8"/>
  </r>
  <r>
    <d v="2023-06-15T00:00:00"/>
    <s v="North"/>
    <s v="Delhi"/>
    <s v="New Delhi"/>
    <s v="Furniture"/>
    <n v="15"/>
    <x v="3"/>
    <n v="16"/>
    <n v="3218.59"/>
    <n v="48278.85"/>
  </r>
  <r>
    <d v="2023-09-11T00:00:00"/>
    <s v="West"/>
    <s v="Maharashtra"/>
    <s v="Pune"/>
    <s v="Groceries"/>
    <n v="9"/>
    <x v="4"/>
    <n v="24"/>
    <n v="2660.79"/>
    <n v="23947.11"/>
  </r>
  <r>
    <d v="2023-08-30T00:00:00"/>
    <s v="North"/>
    <s v="Delhi"/>
    <s v="New Delhi"/>
    <s v="Groceries"/>
    <n v="5"/>
    <x v="5"/>
    <n v="30"/>
    <n v="334.29"/>
    <n v="1671.45"/>
  </r>
  <r>
    <d v="2023-04-16T00:00:00"/>
    <s v="South"/>
    <s v="Tamil Nadu"/>
    <s v="Madurai"/>
    <s v="Furniture"/>
    <n v="10"/>
    <x v="6"/>
    <n v="29"/>
    <n v="2861.62"/>
    <n v="28616.2"/>
  </r>
  <r>
    <d v="2023-04-22T00:00:00"/>
    <s v="South"/>
    <s v="Tamil Nadu"/>
    <s v="Coimbatore"/>
    <s v="Electronics"/>
    <n v="4"/>
    <x v="7"/>
    <n v="24"/>
    <n v="4782.74"/>
    <n v="19130.96"/>
  </r>
  <r>
    <d v="2023-06-20T00:00:00"/>
    <s v="South"/>
    <s v="Tamil Nadu"/>
    <s v="Coimbatore"/>
    <s v="Clothing"/>
    <n v="19"/>
    <x v="8"/>
    <n v="20"/>
    <n v="2304.92"/>
    <n v="43793.48"/>
  </r>
  <r>
    <d v="2023-07-07T00:00:00"/>
    <s v="South"/>
    <s v="Tamil Nadu"/>
    <s v="Coimbatore"/>
    <s v="Electronics"/>
    <n v="1"/>
    <x v="9"/>
    <n v="34"/>
    <n v="1355.14"/>
    <n v="1355.14"/>
  </r>
  <r>
    <d v="2023-02-20T00:00:00"/>
    <s v="West"/>
    <s v="Maharashtra"/>
    <s v="Pune"/>
    <s v="Clothing"/>
    <n v="19"/>
    <x v="10"/>
    <n v="50"/>
    <n v="3683.04"/>
    <n v="69977.759999999995"/>
  </r>
  <r>
    <d v="2023-07-26T00:00:00"/>
    <s v="South"/>
    <s v="Tamil Nadu"/>
    <s v="Coimbatore"/>
    <s v="Clothing"/>
    <n v="5"/>
    <x v="11"/>
    <n v="38"/>
    <n v="4281.1499999999996"/>
    <n v="21405.75"/>
  </r>
  <r>
    <d v="2023-08-18T00:00:00"/>
    <s v="South"/>
    <s v="Tamil Nadu"/>
    <s v="Madurai"/>
    <s v="Stationery"/>
    <n v="3"/>
    <x v="0"/>
    <n v="48"/>
    <n v="1577.9"/>
    <n v="4733.7"/>
  </r>
  <r>
    <d v="2023-03-11T00:00:00"/>
    <s v="South"/>
    <s v="Tamil Nadu"/>
    <s v="Madurai"/>
    <s v="Clothing"/>
    <n v="19"/>
    <x v="1"/>
    <n v="53"/>
    <n v="2814.94"/>
    <n v="53483.86"/>
  </r>
  <r>
    <d v="2023-12-20T00:00:00"/>
    <s v="South"/>
    <s v="Karnataka"/>
    <s v="Mysuru"/>
    <s v="Groceries"/>
    <n v="13"/>
    <x v="2"/>
    <n v="30"/>
    <n v="512.69000000000005"/>
    <n v="6664.97"/>
  </r>
  <r>
    <d v="2023-04-08T00:00:00"/>
    <s v="North"/>
    <s v="Delhi"/>
    <s v="Dwarka"/>
    <s v="Groceries"/>
    <n v="6"/>
    <x v="3"/>
    <n v="48"/>
    <n v="4939.09"/>
    <n v="29634.54"/>
  </r>
  <r>
    <d v="2023-03-18T00:00:00"/>
    <s v="North"/>
    <s v="Delhi"/>
    <s v="New Delhi"/>
    <s v="Clothing"/>
    <n v="6"/>
    <x v="4"/>
    <n v="26"/>
    <n v="4984.92"/>
    <n v="29909.52"/>
  </r>
  <r>
    <d v="2023-09-29T00:00:00"/>
    <s v="West"/>
    <s v="Maharashtra"/>
    <s v="Pune"/>
    <s v="Stationery"/>
    <n v="9"/>
    <x v="5"/>
    <n v="17"/>
    <n v="1001.37"/>
    <n v="9012.33"/>
  </r>
  <r>
    <d v="2023-03-31T00:00:00"/>
    <s v="South"/>
    <s v="Tamil Nadu"/>
    <s v="Chennai"/>
    <s v="Clothing"/>
    <n v="17"/>
    <x v="6"/>
    <n v="44"/>
    <n v="4515.21"/>
    <n v="76758.570000000007"/>
  </r>
  <r>
    <d v="2023-11-13T00:00:00"/>
    <s v="North"/>
    <s v="Delhi"/>
    <s v="Karol Bagh"/>
    <s v="Furniture"/>
    <n v="19"/>
    <x v="7"/>
    <n v="27"/>
    <n v="2532.7800000000002"/>
    <n v="48122.82"/>
  </r>
  <r>
    <d v="2023-11-30T00:00:00"/>
    <s v="South"/>
    <s v="Tamil Nadu"/>
    <s v="Madurai"/>
    <s v="Furniture"/>
    <n v="17"/>
    <x v="8"/>
    <n v="16"/>
    <n v="4890.5"/>
    <n v="83138.5"/>
  </r>
  <r>
    <d v="2023-08-23T00:00:00"/>
    <s v="South"/>
    <s v="Tamil Nadu"/>
    <s v="Madurai"/>
    <s v="Groceries"/>
    <n v="3"/>
    <x v="9"/>
    <n v="35"/>
    <n v="1076.57"/>
    <n v="3229.71"/>
  </r>
  <r>
    <d v="2023-10-05T00:00:00"/>
    <s v="South"/>
    <s v="Karnataka"/>
    <s v="Bengaluru"/>
    <s v="Groceries"/>
    <n v="10"/>
    <x v="10"/>
    <n v="28"/>
    <n v="3540.6"/>
    <n v="35406"/>
  </r>
  <r>
    <d v="2023-03-14T00:00:00"/>
    <s v="West"/>
    <s v="Gujarat"/>
    <s v="Surat"/>
    <s v="Electronics"/>
    <n v="13"/>
    <x v="11"/>
    <n v="54"/>
    <n v="2163.4"/>
    <n v="28124.2"/>
  </r>
  <r>
    <d v="2023-07-15T00:00:00"/>
    <s v="West"/>
    <s v="Maharashtra"/>
    <s v="Mumbai"/>
    <s v="Clothing"/>
    <n v="20"/>
    <x v="0"/>
    <n v="38"/>
    <n v="1977"/>
    <n v="39540"/>
  </r>
  <r>
    <d v="2023-04-16T00:00:00"/>
    <s v="North"/>
    <s v="Delhi"/>
    <s v="Dwarka"/>
    <s v="Clothing"/>
    <n v="2"/>
    <x v="1"/>
    <n v="31"/>
    <n v="528.62"/>
    <n v="1057.24"/>
  </r>
  <r>
    <d v="2023-03-15T00:00:00"/>
    <s v="North"/>
    <s v="Delhi"/>
    <s v="Karol Bagh"/>
    <s v="Stationery"/>
    <n v="19"/>
    <x v="2"/>
    <n v="20"/>
    <n v="1093.8900000000001"/>
    <n v="20783.91"/>
  </r>
  <r>
    <d v="2023-08-07T00:00:00"/>
    <s v="South"/>
    <s v="Tamil Nadu"/>
    <s v="Madurai"/>
    <s v="Stationery"/>
    <n v="15"/>
    <x v="3"/>
    <n v="25"/>
    <n v="3897.39"/>
    <n v="58460.85"/>
  </r>
  <r>
    <d v="2023-09-12T00:00:00"/>
    <s v="West"/>
    <s v="Gujarat"/>
    <s v="Ahmedabad"/>
    <s v="Furniture"/>
    <n v="17"/>
    <x v="4"/>
    <n v="54"/>
    <n v="3791.82"/>
    <n v="64460.94"/>
  </r>
  <r>
    <d v="2023-03-26T00:00:00"/>
    <s v="West"/>
    <s v="Gujarat"/>
    <s v="Ahmedabad"/>
    <s v="Furniture"/>
    <n v="18"/>
    <x v="5"/>
    <n v="54"/>
    <n v="1137.05"/>
    <n v="20466.900000000001"/>
  </r>
  <r>
    <d v="2023-03-01T00:00:00"/>
    <s v="South"/>
    <s v="Tamil Nadu"/>
    <s v="Coimbatore"/>
    <s v="Stationery"/>
    <n v="5"/>
    <x v="6"/>
    <n v="17"/>
    <n v="1192.82"/>
    <n v="5964.1"/>
  </r>
  <r>
    <d v="2023-05-02T00:00:00"/>
    <s v="South"/>
    <s v="Karnataka"/>
    <s v="Mysuru"/>
    <s v="Electronics"/>
    <n v="12"/>
    <x v="7"/>
    <n v="46"/>
    <n v="3358.78"/>
    <n v="40305.360000000001"/>
  </r>
  <r>
    <d v="2023-02-22T00:00:00"/>
    <s v="North"/>
    <s v="Delhi"/>
    <s v="Karol Bagh"/>
    <s v="Stationery"/>
    <n v="1"/>
    <x v="8"/>
    <n v="55"/>
    <n v="4511.88"/>
    <n v="4511.88"/>
  </r>
  <r>
    <d v="2023-04-14T00:00:00"/>
    <s v="West"/>
    <s v="Maharashtra"/>
    <s v="Nagpur"/>
    <s v="Furniture"/>
    <n v="10"/>
    <x v="9"/>
    <n v="37"/>
    <n v="3882.87"/>
    <n v="38828.699999999997"/>
  </r>
  <r>
    <d v="2023-12-05T00:00:00"/>
    <s v="West"/>
    <s v="Maharashtra"/>
    <s v="Nagpur"/>
    <s v="Clothing"/>
    <n v="4"/>
    <x v="10"/>
    <n v="51"/>
    <n v="4020.65"/>
    <n v="16082.6"/>
  </r>
  <r>
    <d v="2023-05-25T00:00:00"/>
    <s v="South"/>
    <s v="Tamil Nadu"/>
    <s v="Madurai"/>
    <s v="Groceries"/>
    <n v="4"/>
    <x v="11"/>
    <n v="46"/>
    <n v="430.91"/>
    <n v="1723.64"/>
  </r>
  <r>
    <d v="2023-01-09T00:00:00"/>
    <s v="West"/>
    <s v="Gujarat"/>
    <s v="Ahmedabad"/>
    <s v="Stationery"/>
    <n v="7"/>
    <x v="0"/>
    <n v="45"/>
    <n v="4508.28"/>
    <n v="31557.96"/>
  </r>
  <r>
    <d v="2023-04-28T00:00:00"/>
    <s v="North"/>
    <s v="Delhi"/>
    <s v="Dwarka"/>
    <s v="Groceries"/>
    <n v="5"/>
    <x v="1"/>
    <n v="24"/>
    <n v="438.69"/>
    <n v="2193.4499999999998"/>
  </r>
  <r>
    <d v="2023-08-13T00:00:00"/>
    <s v="South"/>
    <s v="Karnataka"/>
    <s v="Mysuru"/>
    <s v="Clothing"/>
    <n v="10"/>
    <x v="2"/>
    <n v="50"/>
    <n v="3439.35"/>
    <n v="34393.5"/>
  </r>
  <r>
    <d v="2023-11-03T00:00:00"/>
    <s v="West"/>
    <s v="Maharashtra"/>
    <s v="Mumbai"/>
    <s v="Stationery"/>
    <n v="16"/>
    <x v="3"/>
    <n v="41"/>
    <n v="2563.69"/>
    <n v="41019.040000000001"/>
  </r>
  <r>
    <d v="2023-06-06T00:00:00"/>
    <s v="South"/>
    <s v="Karnataka"/>
    <s v="Mysuru"/>
    <s v="Furniture"/>
    <n v="5"/>
    <x v="4"/>
    <n v="24"/>
    <n v="975.39"/>
    <n v="4876.95"/>
  </r>
  <r>
    <d v="2023-09-10T00:00:00"/>
    <s v="West"/>
    <s v="Maharashtra"/>
    <s v="Nagpur"/>
    <s v="Clothing"/>
    <n v="7"/>
    <x v="5"/>
    <n v="39"/>
    <n v="2384.5100000000002"/>
    <n v="16691.57"/>
  </r>
  <r>
    <d v="2023-10-20T00:00:00"/>
    <s v="West"/>
    <s v="Gujarat"/>
    <s v="Surat"/>
    <s v="Furniture"/>
    <n v="20"/>
    <x v="6"/>
    <n v="30"/>
    <n v="3470.23"/>
    <n v="69404.600000000006"/>
  </r>
  <r>
    <d v="2023-04-22T00:00:00"/>
    <s v="South"/>
    <s v="Karnataka"/>
    <s v="Bengaluru"/>
    <s v="Clothing"/>
    <n v="1"/>
    <x v="7"/>
    <n v="20"/>
    <n v="3964.08"/>
    <n v="3964.08"/>
  </r>
  <r>
    <d v="2023-10-04T00:00:00"/>
    <s v="North"/>
    <s v="Delhi"/>
    <s v="Dwarka"/>
    <s v="Groceries"/>
    <n v="7"/>
    <x v="8"/>
    <n v="33"/>
    <n v="2227.0700000000002"/>
    <n v="15589.49"/>
  </r>
  <r>
    <d v="2023-03-07T00:00:00"/>
    <s v="South"/>
    <s v="Tamil Nadu"/>
    <s v="Madurai"/>
    <s v="Clothing"/>
    <n v="5"/>
    <x v="9"/>
    <n v="48"/>
    <n v="1460.84"/>
    <n v="7304.2"/>
  </r>
  <r>
    <d v="2023-01-05T00:00:00"/>
    <s v="South"/>
    <s v="Karnataka"/>
    <s v="Bengaluru"/>
    <s v="Furniture"/>
    <n v="13"/>
    <x v="10"/>
    <n v="54"/>
    <n v="914.82"/>
    <n v="11892.66"/>
  </r>
  <r>
    <d v="2023-12-14T00:00:00"/>
    <s v="South"/>
    <s v="Karnataka"/>
    <s v="Hubli"/>
    <s v="Clothing"/>
    <n v="8"/>
    <x v="11"/>
    <n v="19"/>
    <n v="1794.45"/>
    <n v="14355.6"/>
  </r>
  <r>
    <d v="2023-02-12T00:00:00"/>
    <s v="North"/>
    <s v="Delhi"/>
    <s v="Karol Bagh"/>
    <s v="Groceries"/>
    <n v="9"/>
    <x v="0"/>
    <n v="21"/>
    <n v="593.01"/>
    <n v="5337.09"/>
  </r>
  <r>
    <d v="2023-01-05T00:00:00"/>
    <s v="West"/>
    <s v="Gujarat"/>
    <s v="Vadodara"/>
    <s v="Groceries"/>
    <n v="2"/>
    <x v="1"/>
    <n v="52"/>
    <n v="2704.98"/>
    <n v="5409.96"/>
  </r>
  <r>
    <d v="2023-09-15T00:00:00"/>
    <s v="North"/>
    <s v="Delhi"/>
    <s v="Karol Bagh"/>
    <s v="Groceries"/>
    <n v="1"/>
    <x v="2"/>
    <n v="52"/>
    <n v="1981.82"/>
    <n v="1981.82"/>
  </r>
  <r>
    <d v="2023-09-05T00:00:00"/>
    <s v="South"/>
    <s v="Tamil Nadu"/>
    <s v="Coimbatore"/>
    <s v="Electronics"/>
    <n v="20"/>
    <x v="3"/>
    <n v="44"/>
    <n v="774.07"/>
    <n v="15481.4"/>
  </r>
  <r>
    <d v="2023-09-28T00:00:00"/>
    <s v="South"/>
    <s v="Tamil Nadu"/>
    <s v="Madurai"/>
    <s v="Clothing"/>
    <n v="11"/>
    <x v="4"/>
    <n v="24"/>
    <n v="146.47"/>
    <n v="1611.17"/>
  </r>
  <r>
    <d v="2023-07-29T00:00:00"/>
    <s v="West"/>
    <s v="Maharashtra"/>
    <s v="Nagpur"/>
    <s v="Clothing"/>
    <n v="12"/>
    <x v="5"/>
    <n v="49"/>
    <n v="283.86"/>
    <n v="3406.32"/>
  </r>
  <r>
    <d v="2023-05-20T00:00:00"/>
    <s v="West"/>
    <s v="Maharashtra"/>
    <s v="Mumbai"/>
    <s v="Electronics"/>
    <n v="8"/>
    <x v="6"/>
    <n v="46"/>
    <n v="4576.97"/>
    <n v="36615.760000000002"/>
  </r>
  <r>
    <d v="2023-05-30T00:00:00"/>
    <s v="West"/>
    <s v="Maharashtra"/>
    <s v="Pune"/>
    <s v="Furniture"/>
    <n v="4"/>
    <x v="7"/>
    <n v="32"/>
    <n v="4368.46"/>
    <n v="17473.84"/>
  </r>
  <r>
    <d v="2023-03-26T00:00:00"/>
    <s v="South"/>
    <s v="Karnataka"/>
    <s v="Hubli"/>
    <s v="Groceries"/>
    <n v="17"/>
    <x v="8"/>
    <n v="55"/>
    <n v="4825.24"/>
    <n v="82029.08"/>
  </r>
  <r>
    <d v="2023-04-09T00:00:00"/>
    <s v="West"/>
    <s v="Gujarat"/>
    <s v="Surat"/>
    <s v="Electronics"/>
    <n v="18"/>
    <x v="9"/>
    <n v="46"/>
    <n v="3982.89"/>
    <n v="71692.02"/>
  </r>
  <r>
    <d v="2023-01-28T00:00:00"/>
    <s v="North"/>
    <s v="Delhi"/>
    <s v="Karol Bagh"/>
    <s v="Clothing"/>
    <n v="4"/>
    <x v="10"/>
    <n v="23"/>
    <n v="2169.61"/>
    <n v="8678.44"/>
  </r>
  <r>
    <d v="2023-12-14T00:00:00"/>
    <s v="North"/>
    <s v="Delhi"/>
    <s v="Dwarka"/>
    <s v="Electronics"/>
    <n v="18"/>
    <x v="11"/>
    <n v="48"/>
    <n v="1601.74"/>
    <n v="28831.32"/>
  </r>
  <r>
    <d v="2023-01-16T00:00:00"/>
    <s v="North"/>
    <s v="Delhi"/>
    <s v="Karol Bagh"/>
    <s v="Stationery"/>
    <n v="8"/>
    <x v="0"/>
    <n v="30"/>
    <n v="4334.41"/>
    <n v="34675.279999999999"/>
  </r>
  <r>
    <d v="2023-09-24T00:00:00"/>
    <s v="South"/>
    <s v="Tamil Nadu"/>
    <s v="Madurai"/>
    <s v="Electronics"/>
    <n v="17"/>
    <x v="1"/>
    <n v="32"/>
    <n v="3933.92"/>
    <n v="66876.639999999999"/>
  </r>
  <r>
    <d v="2023-04-03T00:00:00"/>
    <s v="South"/>
    <s v="Karnataka"/>
    <s v="Hubli"/>
    <s v="Groceries"/>
    <n v="6"/>
    <x v="2"/>
    <n v="40"/>
    <n v="3466.7"/>
    <n v="20800.2"/>
  </r>
  <r>
    <d v="2023-03-15T00:00:00"/>
    <s v="West"/>
    <s v="Gujarat"/>
    <s v="Ahmedabad"/>
    <s v="Electronics"/>
    <n v="3"/>
    <x v="3"/>
    <n v="54"/>
    <n v="4083.59"/>
    <n v="12250.77"/>
  </r>
  <r>
    <d v="2023-05-25T00:00:00"/>
    <s v="South"/>
    <s v="Tamil Nadu"/>
    <s v="Madurai"/>
    <s v="Stationery"/>
    <n v="14"/>
    <x v="4"/>
    <n v="54"/>
    <n v="1972.22"/>
    <n v="27611.08"/>
  </r>
  <r>
    <d v="2023-12-21T00:00:00"/>
    <s v="South"/>
    <s v="Karnataka"/>
    <s v="Bengaluru"/>
    <s v="Furniture"/>
    <n v="4"/>
    <x v="5"/>
    <n v="45"/>
    <n v="722.05"/>
    <n v="2888.2"/>
  </r>
  <r>
    <d v="2023-02-15T00:00:00"/>
    <s v="North"/>
    <s v="Delhi"/>
    <s v="Karol Bagh"/>
    <s v="Furniture"/>
    <n v="7"/>
    <x v="6"/>
    <n v="47"/>
    <n v="4803.62"/>
    <n v="33625.339999999997"/>
  </r>
  <r>
    <d v="2023-08-18T00:00:00"/>
    <s v="South"/>
    <s v="Tamil Nadu"/>
    <s v="Chennai"/>
    <s v="Groceries"/>
    <n v="1"/>
    <x v="7"/>
    <n v="53"/>
    <n v="1094.8800000000001"/>
    <n v="1094.8800000000001"/>
  </r>
  <r>
    <d v="2023-03-03T00:00:00"/>
    <s v="South"/>
    <s v="Tamil Nadu"/>
    <s v="Chennai"/>
    <s v="Clothing"/>
    <n v="16"/>
    <x v="8"/>
    <n v="33"/>
    <n v="2640.08"/>
    <n v="42241.279999999999"/>
  </r>
  <r>
    <d v="2023-09-20T00:00:00"/>
    <s v="South"/>
    <s v="Karnataka"/>
    <s v="Mysuru"/>
    <s v="Groceries"/>
    <n v="15"/>
    <x v="9"/>
    <n v="21"/>
    <n v="1259.1600000000001"/>
    <n v="18887.400000000001"/>
  </r>
  <r>
    <d v="2023-10-15T00:00:00"/>
    <s v="South"/>
    <s v="Tamil Nadu"/>
    <s v="Coimbatore"/>
    <s v="Groceries"/>
    <n v="20"/>
    <x v="10"/>
    <n v="38"/>
    <n v="2487.65"/>
    <n v="49753"/>
  </r>
  <r>
    <d v="2023-01-30T00:00:00"/>
    <s v="West"/>
    <s v="Gujarat"/>
    <s v="Surat"/>
    <s v="Clothing"/>
    <n v="3"/>
    <x v="11"/>
    <n v="39"/>
    <n v="4678.38"/>
    <n v="14035.14"/>
  </r>
  <r>
    <d v="2023-06-18T00:00:00"/>
    <s v="South"/>
    <s v="Tamil Nadu"/>
    <s v="Madurai"/>
    <s v="Electronics"/>
    <n v="8"/>
    <x v="0"/>
    <n v="25"/>
    <n v="308.68"/>
    <n v="2469.44"/>
  </r>
  <r>
    <d v="2023-07-06T00:00:00"/>
    <s v="West"/>
    <s v="Gujarat"/>
    <s v="Ahmedabad"/>
    <s v="Furniture"/>
    <n v="19"/>
    <x v="1"/>
    <n v="28"/>
    <n v="4348.7299999999996"/>
    <n v="82625.87"/>
  </r>
  <r>
    <d v="2023-11-14T00:00:00"/>
    <s v="West"/>
    <s v="Gujarat"/>
    <s v="Vadodara"/>
    <s v="Clothing"/>
    <n v="8"/>
    <x v="2"/>
    <n v="42"/>
    <n v="758.58"/>
    <n v="6068.64"/>
  </r>
  <r>
    <d v="2023-06-07T00:00:00"/>
    <s v="South"/>
    <s v="Tamil Nadu"/>
    <s v="Chennai"/>
    <s v="Clothing"/>
    <n v="13"/>
    <x v="3"/>
    <n v="36"/>
    <n v="857.86"/>
    <n v="11152.18"/>
  </r>
  <r>
    <d v="2023-01-18T00:00:00"/>
    <s v="West"/>
    <s v="Gujarat"/>
    <s v="Vadodara"/>
    <s v="Furniture"/>
    <n v="16"/>
    <x v="4"/>
    <n v="25"/>
    <n v="4614.01"/>
    <n v="73824.160000000003"/>
  </r>
  <r>
    <d v="2023-04-03T00:00:00"/>
    <s v="South"/>
    <s v="Karnataka"/>
    <s v="Hubli"/>
    <s v="Furniture"/>
    <n v="14"/>
    <x v="5"/>
    <n v="35"/>
    <n v="1658.39"/>
    <n v="23217.46"/>
  </r>
  <r>
    <d v="2023-11-16T00:00:00"/>
    <s v="West"/>
    <s v="Maharashtra"/>
    <s v="Nagpur"/>
    <s v="Stationery"/>
    <n v="12"/>
    <x v="6"/>
    <n v="48"/>
    <n v="3028.88"/>
    <n v="36346.559999999998"/>
  </r>
  <r>
    <d v="2023-11-05T00:00:00"/>
    <s v="North"/>
    <s v="Delhi"/>
    <s v="Karol Bagh"/>
    <s v="Stationery"/>
    <n v="7"/>
    <x v="7"/>
    <n v="22"/>
    <n v="1501.06"/>
    <n v="10507.42"/>
  </r>
  <r>
    <d v="2023-02-23T00:00:00"/>
    <s v="North"/>
    <s v="Delhi"/>
    <s v="New Delhi"/>
    <s v="Furniture"/>
    <n v="5"/>
    <x v="8"/>
    <n v="47"/>
    <n v="3404.87"/>
    <n v="17024.349999999999"/>
  </r>
  <r>
    <d v="2023-02-06T00:00:00"/>
    <s v="South"/>
    <s v="Karnataka"/>
    <s v="Bengaluru"/>
    <s v="Stationery"/>
    <n v="8"/>
    <x v="9"/>
    <n v="46"/>
    <n v="2112.66"/>
    <n v="16901.28"/>
  </r>
  <r>
    <d v="2023-11-01T00:00:00"/>
    <s v="South"/>
    <s v="Tamil Nadu"/>
    <s v="Chennai"/>
    <s v="Clothing"/>
    <n v="1"/>
    <x v="10"/>
    <n v="19"/>
    <n v="1520.97"/>
    <n v="1520.97"/>
  </r>
  <r>
    <d v="2023-11-10T00:00:00"/>
    <s v="West"/>
    <s v="Gujarat"/>
    <s v="Ahmedabad"/>
    <s v="Furniture"/>
    <n v="5"/>
    <x v="11"/>
    <n v="28"/>
    <n v="172.99"/>
    <n v="864.95"/>
  </r>
  <r>
    <d v="2023-10-02T00:00:00"/>
    <s v="South"/>
    <s v="Karnataka"/>
    <s v="Hubli"/>
    <s v="Stationery"/>
    <n v="9"/>
    <x v="0"/>
    <n v="49"/>
    <n v="4781.72"/>
    <n v="43035.48"/>
  </r>
  <r>
    <d v="2023-03-27T00:00:00"/>
    <s v="South"/>
    <s v="Karnataka"/>
    <s v="Bengaluru"/>
    <s v="Clothing"/>
    <n v="6"/>
    <x v="1"/>
    <n v="45"/>
    <n v="4894.41"/>
    <n v="29366.46"/>
  </r>
  <r>
    <d v="2023-03-02T00:00:00"/>
    <s v="West"/>
    <s v="Gujarat"/>
    <s v="Ahmedabad"/>
    <s v="Groceries"/>
    <n v="19"/>
    <x v="2"/>
    <n v="44"/>
    <n v="1199.24"/>
    <n v="22785.56"/>
  </r>
  <r>
    <d v="2023-08-02T00:00:00"/>
    <s v="South"/>
    <s v="Karnataka"/>
    <s v="Bengaluru"/>
    <s v="Groceries"/>
    <n v="16"/>
    <x v="3"/>
    <n v="47"/>
    <n v="317.82"/>
    <n v="5085.12"/>
  </r>
  <r>
    <d v="2024-11-11T00:00:00"/>
    <s v="West"/>
    <s v="Maharashtra"/>
    <s v="Mumbai"/>
    <s v="Stationery"/>
    <n v="3"/>
    <x v="0"/>
    <n v="43"/>
    <n v="4210.7700000000004"/>
    <n v="12632.3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d v="2022-01-01T00:00:00"/>
    <s v="Customer_7"/>
    <s v="Product_10"/>
    <s v="Sports"/>
    <s v="West"/>
    <n v="3"/>
    <n v="338"/>
    <n v="1014"/>
    <n v="0.22"/>
    <n v="222.93"/>
  </r>
  <r>
    <n v="1002"/>
    <d v="2022-01-02T00:00:00"/>
    <s v="Customer_20"/>
    <s v="Product_3"/>
    <s v="Food"/>
    <s v="East"/>
    <n v="5"/>
    <n v="423"/>
    <n v="2115"/>
    <n v="0.02"/>
    <n v="469.8"/>
  </r>
  <r>
    <n v="1003"/>
    <d v="2022-01-03T00:00:00"/>
    <s v="Customer_15"/>
    <s v="Product_3"/>
    <s v="Sports"/>
    <s v="South"/>
    <n v="6"/>
    <n v="114"/>
    <n v="684"/>
    <n v="0.04"/>
    <n v="196.83"/>
  </r>
  <r>
    <n v="1004"/>
    <d v="2022-01-04T00:00:00"/>
    <s v="Customer_11"/>
    <s v="Product_4"/>
    <s v="Furniture"/>
    <s v="South"/>
    <n v="9"/>
    <n v="195"/>
    <n v="1755"/>
    <n v="0.04"/>
    <n v="417.8"/>
  </r>
  <r>
    <n v="1005"/>
    <d v="2022-01-05T00:00:00"/>
    <s v="Customer_8"/>
    <s v="Product_7"/>
    <s v="Furniture"/>
    <s v="West"/>
    <n v="5"/>
    <n v="273"/>
    <n v="1365"/>
    <n v="0.21"/>
    <n v="211.48"/>
  </r>
  <r>
    <n v="1006"/>
    <d v="2022-01-06T00:00:00"/>
    <s v="Customer_7"/>
    <s v="Product_4"/>
    <s v="Sports"/>
    <s v="South"/>
    <n v="1"/>
    <n v="288"/>
    <n v="288"/>
    <n v="0.25"/>
    <n v="82.63"/>
  </r>
  <r>
    <n v="1007"/>
    <d v="2022-01-07T00:00:00"/>
    <s v="Customer_19"/>
    <s v="Product_9"/>
    <s v="Clothing"/>
    <s v="East"/>
    <n v="4"/>
    <n v="226"/>
    <n v="904"/>
    <n v="0.22"/>
    <n v="169.26"/>
  </r>
  <r>
    <n v="1008"/>
    <d v="2022-01-08T00:00:00"/>
    <s v="Customer_11"/>
    <s v="Product_1"/>
    <s v="Furniture"/>
    <s v="West"/>
    <n v="5"/>
    <n v="316"/>
    <n v="1580"/>
    <n v="0.01"/>
    <n v="373.9"/>
  </r>
  <r>
    <n v="1009"/>
    <d v="2022-01-09T00:00:00"/>
    <s v="Customer_11"/>
    <s v="Product_8"/>
    <s v="Electronics"/>
    <s v="South"/>
    <n v="5"/>
    <n v="390"/>
    <n v="1950"/>
    <n v="0.26"/>
    <n v="340.91"/>
  </r>
  <r>
    <n v="1010"/>
    <d v="2022-01-10T00:00:00"/>
    <s v="Customer_4"/>
    <s v="Product_7"/>
    <s v="Food"/>
    <s v="West"/>
    <n v="7"/>
    <n v="331"/>
    <n v="2317"/>
    <n v="0.11"/>
    <n v="359.32"/>
  </r>
  <r>
    <n v="1011"/>
    <d v="2022-01-11T00:00:00"/>
    <s v="Customer_8"/>
    <s v="Product_2"/>
    <s v="Sports"/>
    <s v="East"/>
    <n v="4"/>
    <n v="112"/>
    <n v="448"/>
    <n v="0.12"/>
    <n v="88.13"/>
  </r>
  <r>
    <n v="1012"/>
    <d v="2022-01-12T00:00:00"/>
    <s v="Customer_3"/>
    <s v="Product_8"/>
    <s v="Food"/>
    <s v="East"/>
    <n v="1"/>
    <n v="266"/>
    <n v="266"/>
    <n v="0.03"/>
    <n v="71.040000000000006"/>
  </r>
  <r>
    <n v="1013"/>
    <d v="2022-01-13T00:00:00"/>
    <s v="Customer_2"/>
    <s v="Product_1"/>
    <s v="Sports"/>
    <s v="North"/>
    <n v="5"/>
    <n v="391"/>
    <n v="1955"/>
    <n v="0.22"/>
    <n v="374.65"/>
  </r>
  <r>
    <n v="1014"/>
    <d v="2022-01-14T00:00:00"/>
    <s v="Customer_12"/>
    <s v="Product_9"/>
    <s v="Food"/>
    <s v="East"/>
    <n v="7"/>
    <n v="364"/>
    <n v="2548"/>
    <n v="0.05"/>
    <n v="466.32"/>
  </r>
  <r>
    <n v="1015"/>
    <d v="2022-01-15T00:00:00"/>
    <s v="Customer_6"/>
    <s v="Product_9"/>
    <s v="Furniture"/>
    <s v="North"/>
    <n v="6"/>
    <n v="332"/>
    <n v="1992"/>
    <n v="0.17"/>
    <n v="362.35"/>
  </r>
  <r>
    <n v="1016"/>
    <d v="2022-01-16T00:00:00"/>
    <s v="Customer_2"/>
    <s v="Product_2"/>
    <s v="Electronics"/>
    <s v="East"/>
    <n v="5"/>
    <n v="226"/>
    <n v="1130"/>
    <n v="0.25"/>
    <n v="256.82"/>
  </r>
  <r>
    <n v="1017"/>
    <d v="2022-01-17T00:00:00"/>
    <s v="Customer_1"/>
    <s v="Product_7"/>
    <s v="Electronics"/>
    <s v="South"/>
    <n v="4"/>
    <n v="466"/>
    <n v="1864"/>
    <n v="0.03"/>
    <n v="552.36"/>
  </r>
  <r>
    <n v="1018"/>
    <d v="2022-01-18T00:00:00"/>
    <s v="Customer_12"/>
    <s v="Product_10"/>
    <s v="Furniture"/>
    <s v="West"/>
    <n v="2"/>
    <n v="147"/>
    <n v="294"/>
    <n v="0.16"/>
    <n v="64.34"/>
  </r>
  <r>
    <n v="1019"/>
    <d v="2022-01-19T00:00:00"/>
    <s v="Customer_12"/>
    <s v="Product_3"/>
    <s v="Sports"/>
    <s v="North"/>
    <n v="4"/>
    <n v="154"/>
    <n v="616"/>
    <n v="7.0000000000000007E-2"/>
    <n v="143.9"/>
  </r>
  <r>
    <n v="1020"/>
    <d v="2022-01-20T00:00:00"/>
    <s v="Customer_17"/>
    <s v="Product_7"/>
    <s v="Food"/>
    <s v="South"/>
    <n v="3"/>
    <n v="148"/>
    <n v="444"/>
    <n v="0.1"/>
    <n v="123.92"/>
  </r>
  <r>
    <n v="1021"/>
    <d v="2022-01-21T00:00:00"/>
    <s v="Customer_10"/>
    <s v="Product_10"/>
    <s v="Electronics"/>
    <s v="North"/>
    <n v="1"/>
    <n v="434"/>
    <n v="434"/>
    <n v="0.14000000000000001"/>
    <n v="99.93"/>
  </r>
  <r>
    <n v="1022"/>
    <d v="2022-01-22T00:00:00"/>
    <s v="Customer_16"/>
    <s v="Product_9"/>
    <s v="Clothing"/>
    <s v="North"/>
    <n v="8"/>
    <n v="454"/>
    <n v="3632"/>
    <n v="0.11"/>
    <n v="645.29999999999995"/>
  </r>
  <r>
    <n v="1023"/>
    <d v="2022-01-23T00:00:00"/>
    <s v="Customer_15"/>
    <s v="Product_4"/>
    <s v="Furniture"/>
    <s v="East"/>
    <n v="5"/>
    <n v="360"/>
    <n v="1800"/>
    <n v="0.19"/>
    <n v="350.89"/>
  </r>
  <r>
    <n v="1024"/>
    <d v="2022-01-24T00:00:00"/>
    <s v="Customer_15"/>
    <s v="Product_1"/>
    <s v="Sports"/>
    <s v="North"/>
    <n v="4"/>
    <n v="55"/>
    <n v="220"/>
    <n v="0.14000000000000001"/>
    <n v="43.23"/>
  </r>
  <r>
    <n v="1025"/>
    <d v="2022-01-25T00:00:00"/>
    <s v="Customer_19"/>
    <s v="Product_2"/>
    <s v="Sports"/>
    <s v="North"/>
    <n v="8"/>
    <n v="246"/>
    <n v="1968"/>
    <n v="0.18"/>
    <n v="412.49"/>
  </r>
  <r>
    <n v="1026"/>
    <d v="2022-01-26T00:00:00"/>
    <s v="Customer_12"/>
    <s v="Product_1"/>
    <s v="Furniture"/>
    <s v="West"/>
    <n v="7"/>
    <n v="400"/>
    <n v="2800"/>
    <n v="0.22"/>
    <n v="599.25"/>
  </r>
  <r>
    <n v="1027"/>
    <d v="2022-01-27T00:00:00"/>
    <s v="Customer_20"/>
    <s v="Product_5"/>
    <s v="Furniture"/>
    <s v="South"/>
    <n v="2"/>
    <n v="182"/>
    <n v="364"/>
    <n v="0.17"/>
    <n v="98.27"/>
  </r>
  <r>
    <n v="1028"/>
    <d v="2022-01-28T00:00:00"/>
    <s v="Customer_3"/>
    <s v="Product_5"/>
    <s v="Clothing"/>
    <s v="North"/>
    <n v="1"/>
    <n v="407"/>
    <n v="407"/>
    <n v="0.18"/>
    <n v="82.38"/>
  </r>
  <r>
    <n v="1029"/>
    <d v="2022-01-29T00:00:00"/>
    <s v="Customer_5"/>
    <s v="Product_7"/>
    <s v="Sports"/>
    <s v="South"/>
    <n v="4"/>
    <n v="308"/>
    <n v="1232"/>
    <n v="0.17"/>
    <n v="271.33"/>
  </r>
  <r>
    <n v="1030"/>
    <d v="2022-01-30T00:00:00"/>
    <s v="Customer_19"/>
    <s v="Product_9"/>
    <s v="Food"/>
    <s v="East"/>
    <n v="8"/>
    <n v="486"/>
    <n v="3888"/>
    <n v="0.11"/>
    <n v="947.69"/>
  </r>
  <r>
    <n v="1031"/>
    <d v="2022-01-31T00:00:00"/>
    <s v="Customer_7"/>
    <s v="Product_9"/>
    <s v="Food"/>
    <s v="North"/>
    <n v="2"/>
    <n v="72"/>
    <n v="144"/>
    <n v="0.1"/>
    <n v="29.76"/>
  </r>
  <r>
    <n v="1032"/>
    <d v="2022-02-01T00:00:00"/>
    <s v="Customer_9"/>
    <s v="Product_3"/>
    <s v="Clothing"/>
    <s v="West"/>
    <n v="3"/>
    <n v="102"/>
    <n v="306"/>
    <n v="0.27"/>
    <n v="84.3"/>
  </r>
  <r>
    <n v="1033"/>
    <d v="2022-02-02T00:00:00"/>
    <s v="Customer_7"/>
    <s v="Product_3"/>
    <s v="Electronics"/>
    <s v="East"/>
    <n v="1"/>
    <n v="214"/>
    <n v="214"/>
    <n v="0.18"/>
    <n v="50.96"/>
  </r>
  <r>
    <n v="1034"/>
    <d v="2022-02-03T00:00:00"/>
    <s v="Customer_18"/>
    <s v="Product_3"/>
    <s v="Food"/>
    <s v="West"/>
    <n v="1"/>
    <n v="251"/>
    <n v="251"/>
    <n v="7.0000000000000007E-2"/>
    <n v="48.72"/>
  </r>
  <r>
    <n v="1035"/>
    <d v="2022-02-04T00:00:00"/>
    <s v="Customer_4"/>
    <s v="Product_4"/>
    <s v="Food"/>
    <s v="South"/>
    <n v="3"/>
    <n v="132"/>
    <n v="396"/>
    <n v="0.15"/>
    <n v="101.82"/>
  </r>
  <r>
    <n v="1036"/>
    <d v="2022-02-05T00:00:00"/>
    <s v="Customer_14"/>
    <s v="Product_8"/>
    <s v="Electronics"/>
    <s v="North"/>
    <n v="5"/>
    <n v="194"/>
    <n v="970"/>
    <n v="0.1"/>
    <n v="222.27"/>
  </r>
  <r>
    <n v="1037"/>
    <d v="2022-02-06T00:00:00"/>
    <s v="Customer_18"/>
    <s v="Product_6"/>
    <s v="Electronics"/>
    <s v="North"/>
    <n v="3"/>
    <n v="134"/>
    <n v="402"/>
    <n v="0.28000000000000003"/>
    <n v="92.53"/>
  </r>
  <r>
    <n v="1038"/>
    <d v="2022-02-07T00:00:00"/>
    <s v="Customer_9"/>
    <s v="Product_8"/>
    <s v="Electronics"/>
    <s v="West"/>
    <n v="1"/>
    <n v="127"/>
    <n v="127"/>
    <n v="0"/>
    <n v="28.21"/>
  </r>
  <r>
    <n v="1039"/>
    <d v="2022-02-08T00:00:00"/>
    <s v="Customer_2"/>
    <s v="Product_1"/>
    <s v="Electronics"/>
    <s v="North"/>
    <n v="1"/>
    <n v="415"/>
    <n v="415"/>
    <n v="7.0000000000000007E-2"/>
    <n v="93.19"/>
  </r>
  <r>
    <n v="1040"/>
    <d v="2022-02-09T00:00:00"/>
    <s v="Customer_20"/>
    <s v="Product_8"/>
    <s v="Clothing"/>
    <s v="West"/>
    <n v="8"/>
    <n v="50"/>
    <n v="400"/>
    <n v="0.11"/>
    <n v="105.92"/>
  </r>
  <r>
    <n v="1041"/>
    <d v="2022-02-10T00:00:00"/>
    <s v="Customer_15"/>
    <s v="Product_4"/>
    <s v="Sports"/>
    <s v="North"/>
    <n v="2"/>
    <n v="100"/>
    <n v="200"/>
    <n v="0.15"/>
    <n v="33.090000000000003"/>
  </r>
  <r>
    <n v="1042"/>
    <d v="2022-02-11T00:00:00"/>
    <s v="Customer_7"/>
    <s v="Product_1"/>
    <s v="Sports"/>
    <s v="East"/>
    <n v="3"/>
    <n v="222"/>
    <n v="666"/>
    <n v="0.26"/>
    <n v="133.30000000000001"/>
  </r>
  <r>
    <n v="1043"/>
    <d v="2022-02-12T00:00:00"/>
    <s v="Customer_12"/>
    <s v="Product_8"/>
    <s v="Furniture"/>
    <s v="South"/>
    <n v="2"/>
    <n v="254"/>
    <n v="508"/>
    <n v="0.03"/>
    <n v="81.95"/>
  </r>
  <r>
    <n v="1044"/>
    <d v="2022-02-13T00:00:00"/>
    <s v="Customer_8"/>
    <s v="Product_4"/>
    <s v="Electronics"/>
    <s v="North"/>
    <n v="3"/>
    <n v="309"/>
    <n v="927"/>
    <n v="0.24"/>
    <n v="243.79"/>
  </r>
  <r>
    <n v="1045"/>
    <d v="2022-02-14T00:00:00"/>
    <s v="Customer_15"/>
    <s v="Product_6"/>
    <s v="Electronics"/>
    <s v="West"/>
    <n v="7"/>
    <n v="495"/>
    <n v="3465"/>
    <n v="0.02"/>
    <n v="661.28"/>
  </r>
  <r>
    <n v="1046"/>
    <d v="2022-02-15T00:00:00"/>
    <s v="Customer_3"/>
    <s v="Product_8"/>
    <s v="Clothing"/>
    <s v="West"/>
    <n v="1"/>
    <n v="498"/>
    <n v="498"/>
    <n v="0.25"/>
    <n v="141.74"/>
  </r>
  <r>
    <n v="1047"/>
    <d v="2022-02-16T00:00:00"/>
    <s v="Customer_14"/>
    <s v="Product_4"/>
    <s v="Electronics"/>
    <s v="North"/>
    <n v="8"/>
    <n v="418"/>
    <n v="3344"/>
    <n v="0.02"/>
    <n v="765.73"/>
  </r>
  <r>
    <n v="1048"/>
    <d v="2022-02-17T00:00:00"/>
    <s v="Customer_17"/>
    <s v="Product_3"/>
    <s v="Sports"/>
    <s v="South"/>
    <n v="2"/>
    <n v="337"/>
    <n v="674"/>
    <n v="0.01"/>
    <n v="182.06"/>
  </r>
  <r>
    <n v="1049"/>
    <d v="2022-02-18T00:00:00"/>
    <s v="Customer_4"/>
    <s v="Product_9"/>
    <s v="Food"/>
    <s v="West"/>
    <n v="3"/>
    <n v="83"/>
    <n v="249"/>
    <n v="0.21"/>
    <n v="73.91"/>
  </r>
  <r>
    <n v="1050"/>
    <d v="2022-02-19T00:00:00"/>
    <s v="Customer_18"/>
    <s v="Product_3"/>
    <s v="Food"/>
    <s v="North"/>
    <n v="9"/>
    <n v="397"/>
    <n v="3573"/>
    <n v="0.3"/>
    <n v="986.03"/>
  </r>
  <r>
    <n v="1051"/>
    <d v="2022-02-20T00:00:00"/>
    <s v="Customer_8"/>
    <s v="Product_9"/>
    <s v="Clothing"/>
    <s v="South"/>
    <n v="7"/>
    <n v="144"/>
    <n v="1008"/>
    <n v="0.27"/>
    <n v="282.29000000000002"/>
  </r>
  <r>
    <n v="1052"/>
    <d v="2022-02-21T00:00:00"/>
    <s v="Customer_4"/>
    <s v="Product_2"/>
    <s v="Clothing"/>
    <s v="West"/>
    <n v="4"/>
    <n v="121"/>
    <n v="484"/>
    <n v="0.17"/>
    <n v="102.22"/>
  </r>
  <r>
    <n v="1053"/>
    <d v="2022-02-22T00:00:00"/>
    <s v="Customer_2"/>
    <s v="Product_2"/>
    <s v="Electronics"/>
    <s v="West"/>
    <n v="5"/>
    <n v="88"/>
    <n v="440"/>
    <n v="0.28000000000000003"/>
    <n v="102.41"/>
  </r>
  <r>
    <n v="1054"/>
    <d v="2022-02-23T00:00:00"/>
    <s v="Customer_6"/>
    <s v="Product_2"/>
    <s v="Food"/>
    <s v="East"/>
    <n v="2"/>
    <n v="203"/>
    <n v="406"/>
    <n v="0"/>
    <n v="76.36"/>
  </r>
  <r>
    <n v="1055"/>
    <d v="2022-02-24T00:00:00"/>
    <s v="Customer_10"/>
    <s v="Product_6"/>
    <s v="Food"/>
    <s v="East"/>
    <n v="8"/>
    <n v="299"/>
    <n v="2392"/>
    <n v="0.28999999999999998"/>
    <n v="429.17"/>
  </r>
  <r>
    <n v="1056"/>
    <d v="2022-02-25T00:00:00"/>
    <s v="Customer_4"/>
    <s v="Product_3"/>
    <s v="Clothing"/>
    <s v="South"/>
    <n v="4"/>
    <n v="211"/>
    <n v="844"/>
    <n v="0.15"/>
    <n v="190.6"/>
  </r>
  <r>
    <n v="1057"/>
    <d v="2022-02-26T00:00:00"/>
    <s v="Customer_18"/>
    <s v="Product_9"/>
    <s v="Electronics"/>
    <s v="North"/>
    <n v="9"/>
    <n v="487"/>
    <n v="4383"/>
    <n v="0.22"/>
    <n v="1048.6600000000001"/>
  </r>
  <r>
    <n v="1058"/>
    <d v="2022-02-27T00:00:00"/>
    <s v="Customer_12"/>
    <s v="Product_4"/>
    <s v="Food"/>
    <s v="West"/>
    <n v="5"/>
    <n v="167"/>
    <n v="835"/>
    <n v="0.25"/>
    <n v="167.74"/>
  </r>
  <r>
    <n v="1059"/>
    <d v="2022-02-28T00:00:00"/>
    <s v="Customer_2"/>
    <s v="Product_1"/>
    <s v="Clothing"/>
    <s v="North"/>
    <n v="9"/>
    <n v="308"/>
    <n v="2772"/>
    <n v="0.22"/>
    <n v="652.57000000000005"/>
  </r>
  <r>
    <n v="1060"/>
    <d v="2022-03-01T00:00:00"/>
    <s v="Customer_10"/>
    <s v="Product_4"/>
    <s v="Electronics"/>
    <s v="East"/>
    <n v="4"/>
    <n v="428"/>
    <n v="1712"/>
    <n v="0.16"/>
    <n v="484.7"/>
  </r>
  <r>
    <n v="1061"/>
    <d v="2022-03-02T00:00:00"/>
    <s v="Customer_4"/>
    <s v="Product_1"/>
    <s v="Electronics"/>
    <s v="East"/>
    <n v="5"/>
    <n v="355"/>
    <n v="1775"/>
    <n v="0.14000000000000001"/>
    <n v="414.48"/>
  </r>
  <r>
    <n v="1062"/>
    <d v="2022-03-03T00:00:00"/>
    <s v="Customer_14"/>
    <s v="Product_5"/>
    <s v="Electronics"/>
    <s v="North"/>
    <n v="9"/>
    <n v="317"/>
    <n v="2853"/>
    <n v="0.25"/>
    <n v="736.42"/>
  </r>
  <r>
    <n v="1063"/>
    <d v="2022-03-04T00:00:00"/>
    <s v="Customer_16"/>
    <s v="Product_4"/>
    <s v="Sports"/>
    <s v="East"/>
    <n v="8"/>
    <n v="498"/>
    <n v="3984"/>
    <n v="0.06"/>
    <n v="1078.8599999999999"/>
  </r>
  <r>
    <n v="1064"/>
    <d v="2022-03-05T00:00:00"/>
    <s v="Customer_15"/>
    <s v="Product_8"/>
    <s v="Furniture"/>
    <s v="North"/>
    <n v="3"/>
    <n v="103"/>
    <n v="309"/>
    <n v="0.28999999999999998"/>
    <n v="92.18"/>
  </r>
  <r>
    <n v="1065"/>
    <d v="2022-03-06T00:00:00"/>
    <s v="Customer_8"/>
    <s v="Product_8"/>
    <s v="Furniture"/>
    <s v="South"/>
    <n v="1"/>
    <n v="285"/>
    <n v="285"/>
    <n v="0.21"/>
    <n v="68.540000000000006"/>
  </r>
  <r>
    <n v="1066"/>
    <d v="2022-03-07T00:00:00"/>
    <s v="Customer_14"/>
    <s v="Product_7"/>
    <s v="Furniture"/>
    <s v="North"/>
    <n v="3"/>
    <n v="438"/>
    <n v="1314"/>
    <n v="0.06"/>
    <n v="356.13"/>
  </r>
  <r>
    <n v="1067"/>
    <d v="2022-03-08T00:00:00"/>
    <s v="Customer_8"/>
    <s v="Product_3"/>
    <s v="Clothing"/>
    <s v="West"/>
    <n v="4"/>
    <n v="271"/>
    <n v="1084"/>
    <n v="0.22"/>
    <n v="319.13"/>
  </r>
  <r>
    <n v="1068"/>
    <d v="2022-03-09T00:00:00"/>
    <s v="Customer_16"/>
    <s v="Product_1"/>
    <s v="Sports"/>
    <s v="East"/>
    <n v="2"/>
    <n v="300"/>
    <n v="600"/>
    <n v="0.16"/>
    <n v="175"/>
  </r>
  <r>
    <n v="1069"/>
    <d v="2022-03-10T00:00:00"/>
    <s v="Customer_13"/>
    <s v="Product_1"/>
    <s v="Furniture"/>
    <s v="East"/>
    <n v="1"/>
    <n v="362"/>
    <n v="362"/>
    <n v="0.21"/>
    <n v="61.96"/>
  </r>
  <r>
    <n v="1070"/>
    <d v="2022-03-11T00:00:00"/>
    <s v="Customer_18"/>
    <s v="Product_3"/>
    <s v="Clothing"/>
    <s v="East"/>
    <n v="7"/>
    <n v="450"/>
    <n v="3150"/>
    <n v="0.23"/>
    <n v="664.52"/>
  </r>
  <r>
    <n v="1071"/>
    <d v="2022-03-12T00:00:00"/>
    <s v="Customer_15"/>
    <s v="Product_6"/>
    <s v="Food"/>
    <s v="North"/>
    <n v="8"/>
    <n v="161"/>
    <n v="1288"/>
    <n v="0.03"/>
    <n v="255.79"/>
  </r>
  <r>
    <n v="1072"/>
    <d v="2022-03-13T00:00:00"/>
    <s v="Customer_13"/>
    <s v="Product_7"/>
    <s v="Clothing"/>
    <s v="West"/>
    <n v="7"/>
    <n v="304"/>
    <n v="2128"/>
    <n v="0.15"/>
    <n v="346.95"/>
  </r>
  <r>
    <n v="1073"/>
    <d v="2022-03-14T00:00:00"/>
    <s v="Customer_9"/>
    <s v="Product_6"/>
    <s v="Electronics"/>
    <s v="North"/>
    <n v="5"/>
    <n v="352"/>
    <n v="1760"/>
    <n v="0.28000000000000003"/>
    <n v="431.18"/>
  </r>
  <r>
    <n v="1074"/>
    <d v="2022-03-15T00:00:00"/>
    <s v="Customer_15"/>
    <s v="Product_6"/>
    <s v="Furniture"/>
    <s v="East"/>
    <n v="1"/>
    <n v="456"/>
    <n v="456"/>
    <n v="0.1"/>
    <n v="118.74"/>
  </r>
  <r>
    <n v="1075"/>
    <d v="2022-03-16T00:00:00"/>
    <s v="Customer_13"/>
    <s v="Product_6"/>
    <s v="Electronics"/>
    <s v="South"/>
    <n v="7"/>
    <n v="256"/>
    <n v="1792"/>
    <n v="0.18"/>
    <n v="496.78"/>
  </r>
  <r>
    <n v="1076"/>
    <d v="2022-03-17T00:00:00"/>
    <s v="Customer_1"/>
    <s v="Product_3"/>
    <s v="Food"/>
    <s v="South"/>
    <n v="7"/>
    <n v="278"/>
    <n v="1946"/>
    <n v="0.11"/>
    <n v="327.74"/>
  </r>
  <r>
    <n v="1077"/>
    <d v="2022-03-18T00:00:00"/>
    <s v="Customer_7"/>
    <s v="Product_6"/>
    <s v="Furniture"/>
    <s v="South"/>
    <n v="9"/>
    <n v="390"/>
    <n v="3510"/>
    <n v="0.14000000000000001"/>
    <n v="987.95"/>
  </r>
  <r>
    <n v="1078"/>
    <d v="2022-03-19T00:00:00"/>
    <s v="Customer_9"/>
    <s v="Product_8"/>
    <s v="Furniture"/>
    <s v="West"/>
    <n v="3"/>
    <n v="447"/>
    <n v="1341"/>
    <n v="0.16"/>
    <n v="330.47"/>
  </r>
  <r>
    <n v="1079"/>
    <d v="2022-03-20T00:00:00"/>
    <s v="Customer_1"/>
    <s v="Product_2"/>
    <s v="Electronics"/>
    <s v="West"/>
    <n v="9"/>
    <n v="115"/>
    <n v="1035"/>
    <n v="0.16"/>
    <n v="264.54000000000002"/>
  </r>
  <r>
    <n v="1080"/>
    <d v="2022-03-21T00:00:00"/>
    <s v="Customer_12"/>
    <s v="Product_5"/>
    <s v="Food"/>
    <s v="West"/>
    <n v="1"/>
    <n v="124"/>
    <n v="124"/>
    <n v="0.06"/>
    <n v="35.54"/>
  </r>
  <r>
    <n v="1081"/>
    <d v="2022-03-22T00:00:00"/>
    <s v="Customer_8"/>
    <s v="Product_1"/>
    <s v="Sports"/>
    <s v="South"/>
    <n v="1"/>
    <n v="484"/>
    <n v="484"/>
    <n v="0.21"/>
    <n v="117.96"/>
  </r>
  <r>
    <n v="1082"/>
    <d v="2022-03-23T00:00:00"/>
    <s v="Customer_11"/>
    <s v="Product_1"/>
    <s v="Electronics"/>
    <s v="East"/>
    <n v="4"/>
    <n v="152"/>
    <n v="608"/>
    <n v="0.03"/>
    <n v="121.83"/>
  </r>
  <r>
    <n v="1083"/>
    <d v="2022-03-24T00:00:00"/>
    <s v="Customer_19"/>
    <s v="Product_5"/>
    <s v="Food"/>
    <s v="West"/>
    <n v="9"/>
    <n v="471"/>
    <n v="4239"/>
    <n v="0.04"/>
    <n v="1160.49"/>
  </r>
  <r>
    <n v="1084"/>
    <d v="2022-03-25T00:00:00"/>
    <s v="Customer_17"/>
    <s v="Product_3"/>
    <s v="Electronics"/>
    <s v="North"/>
    <n v="6"/>
    <n v="241"/>
    <n v="1446"/>
    <n v="0"/>
    <n v="295.64999999999998"/>
  </r>
  <r>
    <n v="1085"/>
    <d v="2022-03-26T00:00:00"/>
    <s v="Customer_8"/>
    <s v="Product_4"/>
    <s v="Furniture"/>
    <s v="North"/>
    <n v="3"/>
    <n v="301"/>
    <n v="903"/>
    <n v="0.04"/>
    <n v="140.09"/>
  </r>
  <r>
    <n v="1086"/>
    <d v="2022-03-27T00:00:00"/>
    <s v="Customer_3"/>
    <s v="Product_3"/>
    <s v="Electronics"/>
    <s v="West"/>
    <n v="1"/>
    <n v="275"/>
    <n v="275"/>
    <n v="0.14000000000000001"/>
    <n v="75.510000000000005"/>
  </r>
  <r>
    <n v="1087"/>
    <d v="2022-03-28T00:00:00"/>
    <s v="Customer_3"/>
    <s v="Product_1"/>
    <s v="Clothing"/>
    <s v="East"/>
    <n v="4"/>
    <n v="343"/>
    <n v="1372"/>
    <n v="0.18"/>
    <n v="276.83999999999997"/>
  </r>
  <r>
    <n v="1088"/>
    <d v="2022-03-29T00:00:00"/>
    <s v="Customer_1"/>
    <s v="Product_1"/>
    <s v="Clothing"/>
    <s v="East"/>
    <n v="9"/>
    <n v="355"/>
    <n v="3195"/>
    <n v="0.24"/>
    <n v="850.11"/>
  </r>
  <r>
    <n v="1089"/>
    <d v="2022-03-30T00:00:00"/>
    <s v="Customer_5"/>
    <s v="Product_5"/>
    <s v="Clothing"/>
    <s v="West"/>
    <n v="3"/>
    <n v="147"/>
    <n v="441"/>
    <n v="0.03"/>
    <n v="90.15"/>
  </r>
  <r>
    <n v="1090"/>
    <d v="2022-03-31T00:00:00"/>
    <s v="Customer_10"/>
    <s v="Product_6"/>
    <s v="Electronics"/>
    <s v="West"/>
    <n v="9"/>
    <n v="387"/>
    <n v="3483"/>
    <n v="0.26"/>
    <n v="972.31"/>
  </r>
  <r>
    <n v="1091"/>
    <d v="2022-04-01T00:00:00"/>
    <s v="Customer_7"/>
    <s v="Product_3"/>
    <s v="Sports"/>
    <s v="West"/>
    <n v="7"/>
    <n v="335"/>
    <n v="2345"/>
    <n v="0.22"/>
    <n v="428.96"/>
  </r>
  <r>
    <n v="1092"/>
    <d v="2022-04-02T00:00:00"/>
    <s v="Customer_9"/>
    <s v="Product_9"/>
    <s v="Clothing"/>
    <s v="East"/>
    <n v="4"/>
    <n v="384"/>
    <n v="1536"/>
    <n v="0.12"/>
    <n v="454.94"/>
  </r>
  <r>
    <n v="1093"/>
    <d v="2022-04-03T00:00:00"/>
    <s v="Customer_7"/>
    <s v="Product_5"/>
    <s v="Sports"/>
    <s v="North"/>
    <n v="3"/>
    <n v="396"/>
    <n v="1188"/>
    <n v="0.28000000000000003"/>
    <n v="317.14999999999998"/>
  </r>
  <r>
    <n v="1094"/>
    <d v="2022-04-04T00:00:00"/>
    <s v="Customer_9"/>
    <s v="Product_8"/>
    <s v="Sports"/>
    <s v="North"/>
    <n v="5"/>
    <n v="484"/>
    <n v="2420"/>
    <n v="0.3"/>
    <n v="404.47"/>
  </r>
  <r>
    <n v="1095"/>
    <d v="2022-04-05T00:00:00"/>
    <s v="Customer_8"/>
    <s v="Product_1"/>
    <s v="Clothing"/>
    <s v="South"/>
    <n v="5"/>
    <n v="496"/>
    <n v="2480"/>
    <n v="0.06"/>
    <n v="582.47"/>
  </r>
  <r>
    <n v="1096"/>
    <d v="2022-04-06T00:00:00"/>
    <s v="Customer_12"/>
    <s v="Product_5"/>
    <s v="Food"/>
    <s v="West"/>
    <n v="3"/>
    <n v="357"/>
    <n v="1071"/>
    <n v="0.11"/>
    <n v="318.95"/>
  </r>
  <r>
    <n v="1097"/>
    <d v="2022-04-07T00:00:00"/>
    <s v="Customer_2"/>
    <s v="Product_3"/>
    <s v="Clothing"/>
    <s v="South"/>
    <n v="9"/>
    <n v="298"/>
    <n v="2682"/>
    <n v="0.28000000000000003"/>
    <n v="591.80999999999995"/>
  </r>
  <r>
    <n v="1098"/>
    <d v="2022-04-08T00:00:00"/>
    <s v="Customer_1"/>
    <s v="Product_1"/>
    <s v="Electronics"/>
    <s v="West"/>
    <n v="4"/>
    <n v="215"/>
    <n v="860"/>
    <n v="0.22"/>
    <n v="152.49"/>
  </r>
  <r>
    <n v="1099"/>
    <d v="2022-04-09T00:00:00"/>
    <s v="Customer_16"/>
    <s v="Product_4"/>
    <s v="Food"/>
    <s v="South"/>
    <n v="5"/>
    <n v="384"/>
    <n v="1920"/>
    <n v="0.01"/>
    <n v="427.62"/>
  </r>
  <r>
    <n v="1100"/>
    <d v="2022-04-10T00:00:00"/>
    <s v="Customer_5"/>
    <s v="Product_5"/>
    <s v="Furniture"/>
    <s v="West"/>
    <n v="4"/>
    <n v="79"/>
    <n v="316"/>
    <n v="0.23"/>
    <n v="71.69"/>
  </r>
  <r>
    <n v="1101"/>
    <d v="2022-04-11T00:00:00"/>
    <s v="Customer_3"/>
    <s v="Product_7"/>
    <s v="Sports"/>
    <s v="West"/>
    <n v="5"/>
    <n v="296"/>
    <n v="1480"/>
    <n v="0.25"/>
    <n v="386.65"/>
  </r>
  <r>
    <n v="1102"/>
    <d v="2022-04-12T00:00:00"/>
    <s v="Customer_12"/>
    <s v="Product_1"/>
    <s v="Food"/>
    <s v="East"/>
    <n v="7"/>
    <n v="155"/>
    <n v="1085"/>
    <n v="0.23"/>
    <n v="276.49"/>
  </r>
  <r>
    <n v="1103"/>
    <d v="2022-04-13T00:00:00"/>
    <s v="Customer_8"/>
    <s v="Product_3"/>
    <s v="Food"/>
    <s v="North"/>
    <n v="9"/>
    <n v="100"/>
    <n v="900"/>
    <n v="0.24"/>
    <n v="189.34"/>
  </r>
  <r>
    <n v="1104"/>
    <d v="2022-04-14T00:00:00"/>
    <s v="Customer_3"/>
    <s v="Product_2"/>
    <s v="Furniture"/>
    <s v="South"/>
    <n v="7"/>
    <n v="130"/>
    <n v="910"/>
    <n v="0.25"/>
    <n v="166.26"/>
  </r>
  <r>
    <n v="1105"/>
    <d v="2022-04-15T00:00:00"/>
    <s v="Customer_1"/>
    <s v="Product_9"/>
    <s v="Furniture"/>
    <s v="West"/>
    <n v="5"/>
    <n v="182"/>
    <n v="910"/>
    <n v="0.06"/>
    <n v="224.55"/>
  </r>
  <r>
    <n v="1106"/>
    <d v="2022-04-16T00:00:00"/>
    <s v="Customer_3"/>
    <s v="Product_10"/>
    <s v="Food"/>
    <s v="East"/>
    <n v="7"/>
    <n v="334"/>
    <n v="2338"/>
    <n v="7.0000000000000007E-2"/>
    <n v="498.59"/>
  </r>
  <r>
    <n v="1107"/>
    <d v="2022-04-17T00:00:00"/>
    <s v="Customer_5"/>
    <s v="Product_6"/>
    <s v="Clothing"/>
    <s v="East"/>
    <n v="5"/>
    <n v="437"/>
    <n v="2185"/>
    <n v="0.19"/>
    <n v="371.1"/>
  </r>
  <r>
    <n v="1108"/>
    <d v="2022-04-18T00:00:00"/>
    <s v="Customer_15"/>
    <s v="Product_10"/>
    <s v="Food"/>
    <s v="South"/>
    <n v="3"/>
    <n v="187"/>
    <n v="561"/>
    <n v="0.27"/>
    <n v="159.93"/>
  </r>
  <r>
    <n v="1109"/>
    <d v="2022-04-19T00:00:00"/>
    <s v="Customer_14"/>
    <s v="Product_3"/>
    <s v="Clothing"/>
    <s v="North"/>
    <n v="7"/>
    <n v="233"/>
    <n v="1631"/>
    <n v="0.09"/>
    <n v="413.76"/>
  </r>
  <r>
    <n v="1110"/>
    <d v="2022-04-20T00:00:00"/>
    <s v="Customer_3"/>
    <s v="Product_8"/>
    <s v="Furniture"/>
    <s v="South"/>
    <n v="2"/>
    <n v="450"/>
    <n v="900"/>
    <n v="0.18"/>
    <n v="227.23"/>
  </r>
  <r>
    <n v="1111"/>
    <d v="2022-04-21T00:00:00"/>
    <s v="Customer_1"/>
    <s v="Product_8"/>
    <s v="Clothing"/>
    <s v="South"/>
    <n v="9"/>
    <n v="379"/>
    <n v="3411"/>
    <n v="0.2"/>
    <n v="932.53"/>
  </r>
  <r>
    <n v="1112"/>
    <d v="2022-04-22T00:00:00"/>
    <s v="Customer_5"/>
    <s v="Product_2"/>
    <s v="Clothing"/>
    <s v="East"/>
    <n v="1"/>
    <n v="322"/>
    <n v="322"/>
    <n v="0.14000000000000001"/>
    <n v="73.88"/>
  </r>
  <r>
    <n v="1113"/>
    <d v="2022-04-23T00:00:00"/>
    <s v="Customer_14"/>
    <s v="Product_6"/>
    <s v="Furniture"/>
    <s v="North"/>
    <n v="6"/>
    <n v="389"/>
    <n v="2334"/>
    <n v="0.21"/>
    <n v="635.45000000000005"/>
  </r>
  <r>
    <n v="1114"/>
    <d v="2022-04-24T00:00:00"/>
    <s v="Customer_7"/>
    <s v="Product_7"/>
    <s v="Furniture"/>
    <s v="North"/>
    <n v="7"/>
    <n v="118"/>
    <n v="826"/>
    <n v="0.27"/>
    <n v="185.61"/>
  </r>
  <r>
    <n v="1115"/>
    <d v="2022-04-25T00:00:00"/>
    <s v="Customer_9"/>
    <s v="Product_2"/>
    <s v="Electronics"/>
    <s v="South"/>
    <n v="8"/>
    <n v="83"/>
    <n v="664"/>
    <n v="0.19"/>
    <n v="106.29"/>
  </r>
  <r>
    <n v="1116"/>
    <d v="2022-04-26T00:00:00"/>
    <s v="Customer_15"/>
    <s v="Product_10"/>
    <s v="Sports"/>
    <s v="East"/>
    <n v="9"/>
    <n v="311"/>
    <n v="2799"/>
    <n v="0.16"/>
    <n v="589.99"/>
  </r>
  <r>
    <n v="1117"/>
    <d v="2022-04-27T00:00:00"/>
    <s v="Customer_15"/>
    <s v="Product_2"/>
    <s v="Clothing"/>
    <s v="East"/>
    <n v="2"/>
    <n v="102"/>
    <n v="204"/>
    <n v="0.13"/>
    <n v="45.82"/>
  </r>
  <r>
    <n v="1118"/>
    <d v="2022-04-28T00:00:00"/>
    <s v="Customer_10"/>
    <s v="Product_10"/>
    <s v="Furniture"/>
    <s v="West"/>
    <n v="2"/>
    <n v="499"/>
    <n v="998"/>
    <n v="0.17"/>
    <n v="257.51"/>
  </r>
  <r>
    <n v="1119"/>
    <d v="2022-04-29T00:00:00"/>
    <s v="Customer_13"/>
    <s v="Product_1"/>
    <s v="Electronics"/>
    <s v="West"/>
    <n v="5"/>
    <n v="254"/>
    <n v="1270"/>
    <n v="0.11"/>
    <n v="210.8"/>
  </r>
  <r>
    <n v="1120"/>
    <d v="2022-04-30T00:00:00"/>
    <s v="Customer_19"/>
    <s v="Product_8"/>
    <s v="Sports"/>
    <s v="East"/>
    <n v="5"/>
    <n v="175"/>
    <n v="875"/>
    <n v="0.12"/>
    <n v="149.63"/>
  </r>
  <r>
    <n v="1121"/>
    <d v="2022-05-01T00:00:00"/>
    <s v="Customer_7"/>
    <s v="Product_1"/>
    <s v="Sports"/>
    <s v="East"/>
    <n v="6"/>
    <n v="284"/>
    <n v="1704"/>
    <n v="0.16"/>
    <n v="323"/>
  </r>
  <r>
    <n v="1122"/>
    <d v="2022-05-02T00:00:00"/>
    <s v="Customer_17"/>
    <s v="Product_9"/>
    <s v="Clothing"/>
    <s v="South"/>
    <n v="3"/>
    <n v="92"/>
    <n v="276"/>
    <n v="0.02"/>
    <n v="52.43"/>
  </r>
  <r>
    <n v="1123"/>
    <d v="2022-05-03T00:00:00"/>
    <s v="Customer_20"/>
    <s v="Product_6"/>
    <s v="Electronics"/>
    <s v="North"/>
    <n v="8"/>
    <n v="289"/>
    <n v="2312"/>
    <n v="7.0000000000000007E-2"/>
    <n v="600.72"/>
  </r>
  <r>
    <n v="1124"/>
    <d v="2022-05-04T00:00:00"/>
    <s v="Customer_4"/>
    <s v="Product_7"/>
    <s v="Food"/>
    <s v="South"/>
    <n v="1"/>
    <n v="420"/>
    <n v="420"/>
    <n v="0.16"/>
    <n v="78.8"/>
  </r>
  <r>
    <n v="1125"/>
    <d v="2022-05-05T00:00:00"/>
    <s v="Customer_5"/>
    <s v="Product_10"/>
    <s v="Clothing"/>
    <s v="South"/>
    <n v="6"/>
    <n v="160"/>
    <n v="960"/>
    <n v="0.13"/>
    <n v="235.17"/>
  </r>
  <r>
    <n v="1126"/>
    <d v="2022-05-06T00:00:00"/>
    <s v="Customer_7"/>
    <s v="Product_7"/>
    <s v="Sports"/>
    <s v="East"/>
    <n v="4"/>
    <n v="298"/>
    <n v="1192"/>
    <n v="0.1"/>
    <n v="267.18"/>
  </r>
  <r>
    <n v="1127"/>
    <d v="2022-05-07T00:00:00"/>
    <s v="Customer_13"/>
    <s v="Product_10"/>
    <s v="Sports"/>
    <s v="South"/>
    <n v="1"/>
    <n v="200"/>
    <n v="200"/>
    <n v="0.22"/>
    <n v="47.2"/>
  </r>
  <r>
    <n v="1128"/>
    <d v="2022-05-08T00:00:00"/>
    <s v="Customer_15"/>
    <s v="Product_3"/>
    <s v="Sports"/>
    <s v="North"/>
    <n v="7"/>
    <n v="232"/>
    <n v="1624"/>
    <n v="0.21"/>
    <n v="447.76"/>
  </r>
  <r>
    <n v="1129"/>
    <d v="2022-05-09T00:00:00"/>
    <s v="Customer_11"/>
    <s v="Product_2"/>
    <s v="Furniture"/>
    <s v="West"/>
    <n v="9"/>
    <n v="385"/>
    <n v="3465"/>
    <n v="0.05"/>
    <n v="729.93"/>
  </r>
  <r>
    <n v="1130"/>
    <d v="2022-05-10T00:00:00"/>
    <s v="Customer_4"/>
    <s v="Product_9"/>
    <s v="Food"/>
    <s v="South"/>
    <n v="4"/>
    <n v="144"/>
    <n v="576"/>
    <n v="0.26"/>
    <n v="153.01"/>
  </r>
  <r>
    <n v="1131"/>
    <d v="2022-05-11T00:00:00"/>
    <s v="Customer_13"/>
    <s v="Product_8"/>
    <s v="Electronics"/>
    <s v="South"/>
    <n v="4"/>
    <n v="423"/>
    <n v="1692"/>
    <n v="0.15"/>
    <n v="360.91"/>
  </r>
  <r>
    <n v="1132"/>
    <d v="2022-05-12T00:00:00"/>
    <s v="Customer_7"/>
    <s v="Product_10"/>
    <s v="Food"/>
    <s v="South"/>
    <n v="6"/>
    <n v="449"/>
    <n v="2694"/>
    <n v="0.22"/>
    <n v="547.1"/>
  </r>
  <r>
    <n v="1133"/>
    <d v="2022-05-13T00:00:00"/>
    <s v="Customer_19"/>
    <s v="Product_7"/>
    <s v="Sports"/>
    <s v="East"/>
    <n v="3"/>
    <n v="57"/>
    <n v="171"/>
    <n v="0.17"/>
    <n v="50.24"/>
  </r>
  <r>
    <n v="1134"/>
    <d v="2022-05-14T00:00:00"/>
    <s v="Customer_2"/>
    <s v="Product_9"/>
    <s v="Clothing"/>
    <s v="East"/>
    <n v="6"/>
    <n v="437"/>
    <n v="2622"/>
    <n v="0.3"/>
    <n v="465.81"/>
  </r>
  <r>
    <n v="1135"/>
    <d v="2022-05-15T00:00:00"/>
    <s v="Customer_10"/>
    <s v="Product_4"/>
    <s v="Food"/>
    <s v="West"/>
    <n v="7"/>
    <n v="409"/>
    <n v="2863"/>
    <n v="0.23"/>
    <n v="468.25"/>
  </r>
  <r>
    <n v="1136"/>
    <d v="2022-05-16T00:00:00"/>
    <s v="Customer_13"/>
    <s v="Product_4"/>
    <s v="Clothing"/>
    <s v="East"/>
    <n v="3"/>
    <n v="437"/>
    <n v="1311"/>
    <n v="0.21"/>
    <n v="348.26"/>
  </r>
  <r>
    <n v="1137"/>
    <d v="2022-05-17T00:00:00"/>
    <s v="Customer_6"/>
    <s v="Product_1"/>
    <s v="Sports"/>
    <s v="East"/>
    <n v="7"/>
    <n v="233"/>
    <n v="1631"/>
    <n v="0.23"/>
    <n v="261.35000000000002"/>
  </r>
  <r>
    <n v="1138"/>
    <d v="2022-05-18T00:00:00"/>
    <s v="Customer_12"/>
    <s v="Product_8"/>
    <s v="Electronics"/>
    <s v="North"/>
    <n v="3"/>
    <n v="330"/>
    <n v="990"/>
    <n v="0.04"/>
    <n v="272.81"/>
  </r>
  <r>
    <n v="1139"/>
    <d v="2022-05-19T00:00:00"/>
    <s v="Customer_12"/>
    <s v="Product_3"/>
    <s v="Furniture"/>
    <s v="East"/>
    <n v="2"/>
    <n v="244"/>
    <n v="488"/>
    <n v="0.06"/>
    <n v="105.2"/>
  </r>
  <r>
    <n v="1140"/>
    <d v="2022-05-20T00:00:00"/>
    <s v="Customer_20"/>
    <s v="Product_7"/>
    <s v="Food"/>
    <s v="West"/>
    <n v="4"/>
    <n v="401"/>
    <n v="1604"/>
    <n v="0.21"/>
    <n v="460.87"/>
  </r>
  <r>
    <n v="1141"/>
    <d v="2022-05-21T00:00:00"/>
    <s v="Customer_11"/>
    <s v="Product_2"/>
    <s v="Furniture"/>
    <s v="East"/>
    <n v="8"/>
    <n v="244"/>
    <n v="1952"/>
    <n v="0.15"/>
    <n v="504.06"/>
  </r>
  <r>
    <n v="1142"/>
    <d v="2022-05-22T00:00:00"/>
    <s v="Customer_7"/>
    <s v="Product_2"/>
    <s v="Food"/>
    <s v="North"/>
    <n v="9"/>
    <n v="204"/>
    <n v="1836"/>
    <n v="0.23"/>
    <n v="443.51"/>
  </r>
  <r>
    <n v="1143"/>
    <d v="2022-05-23T00:00:00"/>
    <s v="Customer_1"/>
    <s v="Product_7"/>
    <s v="Sports"/>
    <s v="South"/>
    <n v="7"/>
    <n v="142"/>
    <n v="994"/>
    <n v="0.03"/>
    <n v="290.64"/>
  </r>
  <r>
    <n v="1144"/>
    <d v="2022-05-24T00:00:00"/>
    <s v="Customer_1"/>
    <s v="Product_6"/>
    <s v="Sports"/>
    <s v="West"/>
    <n v="1"/>
    <n v="209"/>
    <n v="209"/>
    <n v="0.16"/>
    <n v="43.78"/>
  </r>
  <r>
    <n v="1145"/>
    <d v="2022-05-25T00:00:00"/>
    <s v="Customer_20"/>
    <s v="Product_3"/>
    <s v="Electronics"/>
    <s v="East"/>
    <n v="3"/>
    <n v="483"/>
    <n v="1449"/>
    <n v="0.11"/>
    <n v="424.72"/>
  </r>
  <r>
    <n v="1146"/>
    <d v="2022-05-26T00:00:00"/>
    <s v="Customer_13"/>
    <s v="Product_9"/>
    <s v="Clothing"/>
    <s v="East"/>
    <n v="9"/>
    <n v="110"/>
    <n v="990"/>
    <n v="0.14000000000000001"/>
    <n v="168.55"/>
  </r>
  <r>
    <n v="1147"/>
    <d v="2022-05-27T00:00:00"/>
    <s v="Customer_9"/>
    <s v="Product_10"/>
    <s v="Electronics"/>
    <s v="South"/>
    <n v="1"/>
    <n v="171"/>
    <n v="171"/>
    <n v="0.18"/>
    <n v="38.06"/>
  </r>
  <r>
    <n v="1148"/>
    <d v="2022-05-28T00:00:00"/>
    <s v="Customer_3"/>
    <s v="Product_6"/>
    <s v="Furniture"/>
    <s v="South"/>
    <n v="9"/>
    <n v="100"/>
    <n v="900"/>
    <n v="0.15"/>
    <n v="171.44"/>
  </r>
  <r>
    <n v="1149"/>
    <d v="2022-05-29T00:00:00"/>
    <s v="Customer_7"/>
    <s v="Product_10"/>
    <s v="Electronics"/>
    <s v="West"/>
    <n v="8"/>
    <n v="452"/>
    <n v="3616"/>
    <n v="0.16"/>
    <n v="835.21"/>
  </r>
  <r>
    <n v="1150"/>
    <d v="2022-05-30T00:00:00"/>
    <s v="Customer_6"/>
    <s v="Product_10"/>
    <s v="Sports"/>
    <s v="North"/>
    <n v="1"/>
    <n v="326"/>
    <n v="326"/>
    <n v="0.15"/>
    <n v="56.82"/>
  </r>
  <r>
    <n v="1151"/>
    <d v="2022-05-31T00:00:00"/>
    <s v="Customer_8"/>
    <s v="Product_6"/>
    <s v="Clothing"/>
    <s v="South"/>
    <n v="6"/>
    <n v="54"/>
    <n v="324"/>
    <n v="0.12"/>
    <n v="89.5"/>
  </r>
  <r>
    <n v="1152"/>
    <d v="2022-06-01T00:00:00"/>
    <s v="Customer_9"/>
    <s v="Product_1"/>
    <s v="Food"/>
    <s v="West"/>
    <n v="5"/>
    <n v="141"/>
    <n v="705"/>
    <n v="0.23"/>
    <n v="195.26"/>
  </r>
  <r>
    <n v="1153"/>
    <d v="2022-06-02T00:00:00"/>
    <s v="Customer_5"/>
    <s v="Product_4"/>
    <s v="Sports"/>
    <s v="North"/>
    <n v="6"/>
    <n v="219"/>
    <n v="1314"/>
    <n v="0"/>
    <n v="385.38"/>
  </r>
  <r>
    <n v="1154"/>
    <d v="2022-06-03T00:00:00"/>
    <s v="Customer_1"/>
    <s v="Product_10"/>
    <s v="Sports"/>
    <s v="West"/>
    <n v="5"/>
    <n v="366"/>
    <n v="1830"/>
    <n v="0.18"/>
    <n v="316.95999999999998"/>
  </r>
  <r>
    <n v="1155"/>
    <d v="2022-06-04T00:00:00"/>
    <s v="Customer_19"/>
    <s v="Product_6"/>
    <s v="Food"/>
    <s v="North"/>
    <n v="6"/>
    <n v="71"/>
    <n v="426"/>
    <n v="0.17"/>
    <n v="103.73"/>
  </r>
  <r>
    <n v="1156"/>
    <d v="2022-06-05T00:00:00"/>
    <s v="Customer_10"/>
    <s v="Product_6"/>
    <s v="Clothing"/>
    <s v="East"/>
    <n v="5"/>
    <n v="454"/>
    <n v="2270"/>
    <n v="0.21"/>
    <n v="501.98"/>
  </r>
  <r>
    <n v="1157"/>
    <d v="2022-06-06T00:00:00"/>
    <s v="Customer_12"/>
    <s v="Product_5"/>
    <s v="Sports"/>
    <s v="West"/>
    <n v="5"/>
    <n v="375"/>
    <n v="1875"/>
    <n v="0.18"/>
    <n v="378.11"/>
  </r>
  <r>
    <n v="1158"/>
    <d v="2022-06-07T00:00:00"/>
    <s v="Customer_15"/>
    <s v="Product_1"/>
    <s v="Electronics"/>
    <s v="South"/>
    <n v="4"/>
    <n v="50"/>
    <n v="200"/>
    <n v="0.25"/>
    <n v="40.549999999999997"/>
  </r>
  <r>
    <n v="1159"/>
    <d v="2022-06-08T00:00:00"/>
    <s v="Customer_9"/>
    <s v="Product_8"/>
    <s v="Furniture"/>
    <s v="North"/>
    <n v="3"/>
    <n v="182"/>
    <n v="546"/>
    <n v="0.28999999999999998"/>
    <n v="115.71"/>
  </r>
  <r>
    <n v="1160"/>
    <d v="2022-06-09T00:00:00"/>
    <s v="Customer_20"/>
    <s v="Product_5"/>
    <s v="Electronics"/>
    <s v="South"/>
    <n v="3"/>
    <n v="282"/>
    <n v="846"/>
    <n v="0.1"/>
    <n v="216.36"/>
  </r>
  <r>
    <n v="1161"/>
    <d v="2022-06-10T00:00:00"/>
    <s v="Customer_17"/>
    <s v="Product_5"/>
    <s v="Sports"/>
    <s v="West"/>
    <n v="4"/>
    <n v="61"/>
    <n v="244"/>
    <n v="7.0000000000000007E-2"/>
    <n v="58.5"/>
  </r>
  <r>
    <n v="1162"/>
    <d v="2022-06-11T00:00:00"/>
    <s v="Customer_17"/>
    <s v="Product_7"/>
    <s v="Furniture"/>
    <s v="North"/>
    <n v="9"/>
    <n v="395"/>
    <n v="3555"/>
    <n v="0.13"/>
    <n v="778.38"/>
  </r>
  <r>
    <n v="1163"/>
    <d v="2022-06-12T00:00:00"/>
    <s v="Customer_20"/>
    <s v="Product_4"/>
    <s v="Electronics"/>
    <s v="South"/>
    <n v="2"/>
    <n v="95"/>
    <n v="190"/>
    <n v="0.09"/>
    <n v="30.66"/>
  </r>
  <r>
    <n v="1164"/>
    <d v="2022-06-13T00:00:00"/>
    <s v="Customer_12"/>
    <s v="Product_6"/>
    <s v="Sports"/>
    <s v="West"/>
    <n v="9"/>
    <n v="83"/>
    <n v="747"/>
    <n v="0.18"/>
    <n v="120.76"/>
  </r>
  <r>
    <n v="1165"/>
    <d v="2022-06-14T00:00:00"/>
    <s v="Customer_7"/>
    <s v="Product_4"/>
    <s v="Sports"/>
    <s v="East"/>
    <n v="1"/>
    <n v="482"/>
    <n v="482"/>
    <n v="0.27"/>
    <n v="72.47"/>
  </r>
  <r>
    <n v="1166"/>
    <d v="2022-06-15T00:00:00"/>
    <s v="Customer_2"/>
    <s v="Product_3"/>
    <s v="Electronics"/>
    <s v="North"/>
    <n v="1"/>
    <n v="127"/>
    <n v="127"/>
    <n v="0.04"/>
    <n v="37.479999999999997"/>
  </r>
  <r>
    <n v="1167"/>
    <d v="2022-06-16T00:00:00"/>
    <s v="Customer_3"/>
    <s v="Product_7"/>
    <s v="Electronics"/>
    <s v="South"/>
    <n v="5"/>
    <n v="267"/>
    <n v="1335"/>
    <n v="0.03"/>
    <n v="201.3"/>
  </r>
  <r>
    <n v="1168"/>
    <d v="2022-06-17T00:00:00"/>
    <s v="Customer_17"/>
    <s v="Product_8"/>
    <s v="Clothing"/>
    <s v="East"/>
    <n v="6"/>
    <n v="350"/>
    <n v="2100"/>
    <n v="0.08"/>
    <n v="347.47"/>
  </r>
  <r>
    <n v="1169"/>
    <d v="2022-06-18T00:00:00"/>
    <s v="Customer_5"/>
    <s v="Product_4"/>
    <s v="Clothing"/>
    <s v="North"/>
    <n v="6"/>
    <n v="460"/>
    <n v="2760"/>
    <n v="0.22"/>
    <n v="544.24"/>
  </r>
  <r>
    <n v="1170"/>
    <d v="2022-06-19T00:00:00"/>
    <s v="Customer_17"/>
    <s v="Product_2"/>
    <s v="Sports"/>
    <s v="South"/>
    <n v="3"/>
    <n v="122"/>
    <n v="366"/>
    <n v="0.18"/>
    <n v="99.23"/>
  </r>
  <r>
    <n v="1171"/>
    <d v="2022-06-20T00:00:00"/>
    <s v="Customer_17"/>
    <s v="Product_10"/>
    <s v="Clothing"/>
    <s v="North"/>
    <n v="7"/>
    <n v="331"/>
    <n v="2317"/>
    <n v="0.03"/>
    <n v="681.93"/>
  </r>
  <r>
    <n v="1172"/>
    <d v="2022-06-21T00:00:00"/>
    <s v="Customer_17"/>
    <s v="Product_3"/>
    <s v="Electronics"/>
    <s v="East"/>
    <n v="9"/>
    <n v="298"/>
    <n v="2682"/>
    <n v="0.28000000000000003"/>
    <n v="720.12"/>
  </r>
  <r>
    <n v="1173"/>
    <d v="2022-06-22T00:00:00"/>
    <s v="Customer_2"/>
    <s v="Product_1"/>
    <s v="Furniture"/>
    <s v="East"/>
    <n v="8"/>
    <n v="96"/>
    <n v="768"/>
    <n v="0.24"/>
    <n v="194.75"/>
  </r>
  <r>
    <n v="1174"/>
    <d v="2022-06-23T00:00:00"/>
    <s v="Customer_2"/>
    <s v="Product_8"/>
    <s v="Electronics"/>
    <s v="West"/>
    <n v="6"/>
    <n v="170"/>
    <n v="1020"/>
    <n v="0.01"/>
    <n v="232.76"/>
  </r>
  <r>
    <n v="1175"/>
    <d v="2022-06-24T00:00:00"/>
    <s v="Customer_5"/>
    <s v="Product_3"/>
    <s v="Clothing"/>
    <s v="East"/>
    <n v="8"/>
    <n v="263"/>
    <n v="2104"/>
    <n v="0.2"/>
    <n v="342.96"/>
  </r>
  <r>
    <n v="1176"/>
    <d v="2022-06-25T00:00:00"/>
    <s v="Customer_1"/>
    <s v="Product_10"/>
    <s v="Electronics"/>
    <s v="South"/>
    <n v="5"/>
    <n v="288"/>
    <n v="1440"/>
    <n v="0.23"/>
    <n v="422.96"/>
  </r>
  <r>
    <n v="1177"/>
    <d v="2022-06-26T00:00:00"/>
    <s v="Customer_1"/>
    <s v="Product_7"/>
    <s v="Sports"/>
    <s v="South"/>
    <n v="8"/>
    <n v="105"/>
    <n v="840"/>
    <n v="0.11"/>
    <n v="221.56"/>
  </r>
  <r>
    <n v="1178"/>
    <d v="2022-06-27T00:00:00"/>
    <s v="Customer_19"/>
    <s v="Product_10"/>
    <s v="Sports"/>
    <s v="West"/>
    <n v="4"/>
    <n v="399"/>
    <n v="1596"/>
    <n v="0.02"/>
    <n v="392.36"/>
  </r>
  <r>
    <n v="1179"/>
    <d v="2022-06-28T00:00:00"/>
    <s v="Customer_2"/>
    <s v="Product_5"/>
    <s v="Clothing"/>
    <s v="North"/>
    <n v="8"/>
    <n v="156"/>
    <n v="1248"/>
    <n v="0.02"/>
    <n v="329.29"/>
  </r>
  <r>
    <n v="1180"/>
    <d v="2022-06-29T00:00:00"/>
    <s v="Customer_12"/>
    <s v="Product_10"/>
    <s v="Electronics"/>
    <s v="East"/>
    <n v="2"/>
    <n v="368"/>
    <n v="736"/>
    <n v="0.03"/>
    <n v="190.34"/>
  </r>
  <r>
    <n v="1181"/>
    <d v="2022-06-30T00:00:00"/>
    <s v="Customer_6"/>
    <s v="Product_5"/>
    <s v="Food"/>
    <s v="North"/>
    <n v="5"/>
    <n v="97"/>
    <n v="485"/>
    <n v="0.25"/>
    <n v="119.11"/>
  </r>
  <r>
    <n v="1182"/>
    <d v="2022-07-01T00:00:00"/>
    <s v="Customer_4"/>
    <s v="Product_7"/>
    <s v="Sports"/>
    <s v="West"/>
    <n v="9"/>
    <n v="110"/>
    <n v="990"/>
    <n v="0.27"/>
    <n v="294.12"/>
  </r>
  <r>
    <n v="1183"/>
    <d v="2022-07-02T00:00:00"/>
    <s v="Customer_11"/>
    <s v="Product_9"/>
    <s v="Electronics"/>
    <s v="West"/>
    <n v="4"/>
    <n v="386"/>
    <n v="1544"/>
    <n v="0.04"/>
    <n v="440.82"/>
  </r>
  <r>
    <n v="1184"/>
    <d v="2022-07-03T00:00:00"/>
    <s v="Customer_17"/>
    <s v="Product_5"/>
    <s v="Electronics"/>
    <s v="West"/>
    <n v="6"/>
    <n v="75"/>
    <n v="450"/>
    <n v="7.0000000000000007E-2"/>
    <n v="111.15"/>
  </r>
  <r>
    <n v="1185"/>
    <d v="2022-07-04T00:00:00"/>
    <s v="Customer_6"/>
    <s v="Product_1"/>
    <s v="Food"/>
    <s v="North"/>
    <n v="1"/>
    <n v="341"/>
    <n v="341"/>
    <n v="0.05"/>
    <n v="86.61"/>
  </r>
  <r>
    <n v="1186"/>
    <d v="2022-07-05T00:00:00"/>
    <s v="Customer_5"/>
    <s v="Product_10"/>
    <s v="Sports"/>
    <s v="West"/>
    <n v="9"/>
    <n v="306"/>
    <n v="2754"/>
    <n v="0.06"/>
    <n v="434.41"/>
  </r>
  <r>
    <n v="1187"/>
    <d v="2022-07-06T00:00:00"/>
    <s v="Customer_20"/>
    <s v="Product_10"/>
    <s v="Furniture"/>
    <s v="East"/>
    <n v="1"/>
    <n v="57"/>
    <n v="57"/>
    <n v="0.25"/>
    <n v="14.28"/>
  </r>
  <r>
    <n v="1188"/>
    <d v="2022-07-07T00:00:00"/>
    <s v="Customer_2"/>
    <s v="Product_1"/>
    <s v="Furniture"/>
    <s v="South"/>
    <n v="5"/>
    <n v="162"/>
    <n v="810"/>
    <n v="0.1"/>
    <n v="126.87"/>
  </r>
  <r>
    <n v="1189"/>
    <d v="2022-07-08T00:00:00"/>
    <s v="Customer_6"/>
    <s v="Product_2"/>
    <s v="Electronics"/>
    <s v="West"/>
    <n v="4"/>
    <n v="404"/>
    <n v="1616"/>
    <n v="0.09"/>
    <n v="385"/>
  </r>
  <r>
    <n v="1190"/>
    <d v="2022-07-09T00:00:00"/>
    <s v="Customer_11"/>
    <s v="Product_6"/>
    <s v="Clothing"/>
    <s v="South"/>
    <n v="3"/>
    <n v="302"/>
    <n v="906"/>
    <n v="7.0000000000000007E-2"/>
    <n v="271.70999999999998"/>
  </r>
  <r>
    <n v="1191"/>
    <d v="2022-07-10T00:00:00"/>
    <s v="Customer_16"/>
    <s v="Product_9"/>
    <s v="Electronics"/>
    <s v="South"/>
    <n v="6"/>
    <n v="229"/>
    <n v="1374"/>
    <n v="0.18"/>
    <n v="320.64999999999998"/>
  </r>
  <r>
    <n v="1192"/>
    <d v="2022-07-11T00:00:00"/>
    <s v="Customer_16"/>
    <s v="Product_8"/>
    <s v="Electronics"/>
    <s v="North"/>
    <n v="2"/>
    <n v="256"/>
    <n v="512"/>
    <n v="0.11"/>
    <n v="113.14"/>
  </r>
  <r>
    <n v="1193"/>
    <d v="2022-07-12T00:00:00"/>
    <s v="Customer_1"/>
    <s v="Product_5"/>
    <s v="Food"/>
    <s v="North"/>
    <n v="3"/>
    <n v="352"/>
    <n v="1056"/>
    <n v="0.22"/>
    <n v="207.96"/>
  </r>
  <r>
    <n v="1194"/>
    <d v="2022-07-13T00:00:00"/>
    <s v="Customer_9"/>
    <s v="Product_1"/>
    <s v="Sports"/>
    <s v="North"/>
    <n v="5"/>
    <n v="176"/>
    <n v="880"/>
    <n v="0.06"/>
    <n v="147.91"/>
  </r>
  <r>
    <n v="1195"/>
    <d v="2022-07-14T00:00:00"/>
    <s v="Customer_6"/>
    <s v="Product_7"/>
    <s v="Furniture"/>
    <s v="North"/>
    <n v="9"/>
    <n v="105"/>
    <n v="945"/>
    <n v="0.24"/>
    <n v="245.37"/>
  </r>
  <r>
    <n v="1196"/>
    <d v="2022-07-15T00:00:00"/>
    <s v="Customer_16"/>
    <s v="Product_5"/>
    <s v="Electronics"/>
    <s v="North"/>
    <n v="2"/>
    <n v="263"/>
    <n v="526"/>
    <n v="0.18"/>
    <n v="94.1"/>
  </r>
  <r>
    <n v="1197"/>
    <d v="2022-07-16T00:00:00"/>
    <s v="Customer_3"/>
    <s v="Product_6"/>
    <s v="Sports"/>
    <s v="West"/>
    <n v="8"/>
    <n v="63"/>
    <n v="504"/>
    <n v="0.03"/>
    <n v="84.32"/>
  </r>
  <r>
    <n v="1198"/>
    <d v="2022-07-17T00:00:00"/>
    <s v="Customer_20"/>
    <s v="Product_7"/>
    <s v="Electronics"/>
    <s v="North"/>
    <n v="2"/>
    <n v="77"/>
    <n v="154"/>
    <n v="0.12"/>
    <n v="32.840000000000003"/>
  </r>
  <r>
    <n v="1199"/>
    <d v="2022-07-18T00:00:00"/>
    <s v="Customer_4"/>
    <s v="Product_3"/>
    <s v="Sports"/>
    <s v="West"/>
    <n v="5"/>
    <n v="127"/>
    <n v="635"/>
    <n v="0.26"/>
    <n v="171.01"/>
  </r>
  <r>
    <n v="1200"/>
    <d v="2022-07-19T00:00:00"/>
    <s v="Customer_19"/>
    <s v="Product_10"/>
    <s v="Sports"/>
    <s v="West"/>
    <n v="7"/>
    <n v="265"/>
    <n v="1855"/>
    <n v="0.28000000000000003"/>
    <n v="48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190427-4DDC-45E7-9BF6-868EA41EDDD3}" name="PivotTable1" cacheId="3"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G181" firstHeaderRow="1" firstDataRow="2" firstDataCol="1"/>
  <pivotFields count="10">
    <pivotField axis="axisRow" numFmtId="14" showAll="0">
      <items count="345">
        <item x="301"/>
        <item x="170"/>
        <item x="136"/>
        <item x="280"/>
        <item x="226"/>
        <item x="68"/>
        <item x="227"/>
        <item x="70"/>
        <item x="63"/>
        <item x="274"/>
        <item x="289"/>
        <item x="86"/>
        <item x="247"/>
        <item x="38"/>
        <item x="150"/>
        <item x="106"/>
        <item x="342"/>
        <item x="179"/>
        <item x="79"/>
        <item x="311"/>
        <item x="299"/>
        <item x="2"/>
        <item x="140"/>
        <item x="292"/>
        <item x="102"/>
        <item x="93"/>
        <item x="339"/>
        <item x="181"/>
        <item x="249"/>
        <item x="300"/>
        <item x="214"/>
        <item x="316"/>
        <item x="193"/>
        <item x="185"/>
        <item x="8"/>
        <item x="326"/>
        <item x="222"/>
        <item x="57"/>
        <item x="165"/>
        <item x="294"/>
        <item x="234"/>
        <item x="263"/>
        <item x="41"/>
        <item x="188"/>
        <item x="18"/>
        <item x="11"/>
        <item x="81"/>
        <item x="160"/>
        <item x="144"/>
        <item x="25"/>
        <item x="52"/>
        <item x="123"/>
        <item x="288"/>
        <item x="127"/>
        <item x="204"/>
        <item x="275"/>
        <item x="159"/>
        <item x="27"/>
        <item x="184"/>
        <item x="330"/>
        <item x="213"/>
        <item x="256"/>
        <item x="231"/>
        <item x="122"/>
        <item x="157"/>
        <item x="210"/>
        <item x="15"/>
        <item x="5"/>
        <item x="158"/>
        <item x="19"/>
        <item x="117"/>
        <item x="183"/>
        <item x="208"/>
        <item x="56"/>
        <item x="220"/>
        <item x="124"/>
        <item x="282"/>
        <item x="295"/>
        <item x="129"/>
        <item x="94"/>
        <item x="105"/>
        <item x="62"/>
        <item x="139"/>
        <item x="145"/>
        <item x="303"/>
        <item x="175"/>
        <item x="206"/>
        <item x="37"/>
        <item x="200"/>
        <item x="245"/>
        <item x="290"/>
        <item x="42"/>
        <item x="217"/>
        <item x="237"/>
        <item x="228"/>
        <item x="296"/>
        <item x="80"/>
        <item x="65"/>
        <item x="258"/>
        <item x="97"/>
        <item x="305"/>
        <item x="167"/>
        <item x="331"/>
        <item x="115"/>
        <item x="255"/>
        <item x="221"/>
        <item x="194"/>
        <item x="161"/>
        <item x="259"/>
        <item x="198"/>
        <item x="233"/>
        <item x="285"/>
        <item x="76"/>
        <item x="273"/>
        <item x="244"/>
        <item x="257"/>
        <item x="92"/>
        <item x="173"/>
        <item x="61"/>
        <item x="297"/>
        <item x="192"/>
        <item x="218"/>
        <item x="83"/>
        <item x="276"/>
        <item x="166"/>
        <item x="284"/>
        <item x="313"/>
        <item x="10"/>
        <item x="168"/>
        <item x="236"/>
        <item x="172"/>
        <item x="59"/>
        <item x="286"/>
        <item x="253"/>
        <item x="12"/>
        <item x="307"/>
        <item x="319"/>
        <item x="96"/>
        <item x="50"/>
        <item x="13"/>
        <item x="211"/>
        <item x="306"/>
        <item x="272"/>
        <item x="279"/>
        <item x="327"/>
        <item x="238"/>
        <item x="131"/>
        <item x="87"/>
        <item x="113"/>
        <item x="169"/>
        <item x="325"/>
        <item x="119"/>
        <item x="341"/>
        <item x="225"/>
        <item x="58"/>
        <item x="310"/>
        <item x="29"/>
        <item x="224"/>
        <item x="314"/>
        <item x="98"/>
        <item x="265"/>
        <item x="20"/>
        <item x="107"/>
        <item x="212"/>
        <item x="287"/>
        <item x="321"/>
        <item x="302"/>
        <item x="1"/>
        <item x="69"/>
        <item x="215"/>
        <item x="240"/>
        <item x="60"/>
        <item x="118"/>
        <item x="323"/>
        <item x="147"/>
        <item x="32"/>
        <item x="71"/>
        <item x="162"/>
        <item x="268"/>
        <item x="298"/>
        <item x="112"/>
        <item x="187"/>
        <item x="149"/>
        <item x="207"/>
        <item x="261"/>
        <item x="199"/>
        <item x="308"/>
        <item x="333"/>
        <item x="103"/>
        <item x="21"/>
        <item x="322"/>
        <item x="248"/>
        <item x="154"/>
        <item x="271"/>
        <item x="85"/>
        <item x="47"/>
        <item x="34"/>
        <item x="232"/>
        <item x="43"/>
        <item x="312"/>
        <item x="338"/>
        <item x="77"/>
        <item x="291"/>
        <item x="186"/>
        <item x="320"/>
        <item x="235"/>
        <item x="109"/>
        <item x="54"/>
        <item x="229"/>
        <item x="334"/>
        <item x="24"/>
        <item x="260"/>
        <item x="84"/>
        <item x="26"/>
        <item x="335"/>
        <item x="177"/>
        <item x="99"/>
        <item x="74"/>
        <item x="49"/>
        <item x="164"/>
        <item x="239"/>
        <item x="146"/>
        <item x="163"/>
        <item x="142"/>
        <item x="283"/>
        <item x="219"/>
        <item x="230"/>
        <item x="46"/>
        <item x="108"/>
        <item x="267"/>
        <item x="31"/>
        <item x="329"/>
        <item x="176"/>
        <item x="270"/>
        <item x="171"/>
        <item x="196"/>
        <item x="78"/>
        <item x="332"/>
        <item x="48"/>
        <item x="254"/>
        <item x="336"/>
        <item x="133"/>
        <item x="318"/>
        <item x="293"/>
        <item x="30"/>
        <item x="88"/>
        <item x="201"/>
        <item x="126"/>
        <item x="64"/>
        <item x="100"/>
        <item x="39"/>
        <item x="209"/>
        <item x="252"/>
        <item x="141"/>
        <item x="281"/>
        <item x="89"/>
        <item x="337"/>
        <item x="250"/>
        <item x="66"/>
        <item x="110"/>
        <item x="216"/>
        <item x="134"/>
        <item x="132"/>
        <item x="315"/>
        <item x="223"/>
        <item x="91"/>
        <item x="277"/>
        <item x="72"/>
        <item x="137"/>
        <item x="44"/>
        <item x="191"/>
        <item x="28"/>
        <item x="7"/>
        <item x="104"/>
        <item x="197"/>
        <item x="203"/>
        <item x="242"/>
        <item x="33"/>
        <item x="205"/>
        <item x="309"/>
        <item x="130"/>
        <item x="82"/>
        <item x="14"/>
        <item x="16"/>
        <item x="266"/>
        <item x="189"/>
        <item x="45"/>
        <item x="36"/>
        <item x="114"/>
        <item x="180"/>
        <item x="195"/>
        <item x="324"/>
        <item x="241"/>
        <item x="9"/>
        <item x="53"/>
        <item x="73"/>
        <item x="343"/>
        <item x="0"/>
        <item x="328"/>
        <item x="148"/>
        <item x="90"/>
        <item x="143"/>
        <item x="120"/>
        <item x="55"/>
        <item x="251"/>
        <item x="51"/>
        <item x="6"/>
        <item x="111"/>
        <item x="152"/>
        <item x="202"/>
        <item x="182"/>
        <item x="125"/>
        <item x="264"/>
        <item x="35"/>
        <item x="116"/>
        <item x="3"/>
        <item x="17"/>
        <item x="262"/>
        <item x="40"/>
        <item x="174"/>
        <item x="75"/>
        <item x="22"/>
        <item x="101"/>
        <item x="153"/>
        <item x="151"/>
        <item x="178"/>
        <item x="190"/>
        <item x="95"/>
        <item x="121"/>
        <item x="243"/>
        <item x="67"/>
        <item x="155"/>
        <item x="304"/>
        <item x="340"/>
        <item x="278"/>
        <item x="135"/>
        <item x="156"/>
        <item x="138"/>
        <item x="128"/>
        <item x="269"/>
        <item x="317"/>
        <item x="4"/>
        <item x="23"/>
        <item x="246"/>
        <item t="default"/>
      </items>
    </pivotField>
    <pivotField showAll="0"/>
    <pivotField showAll="0"/>
    <pivotField showAll="0"/>
    <pivotField axis="axisCol" showAll="0">
      <items count="6">
        <item x="1"/>
        <item x="4"/>
        <item x="3"/>
        <item x="2"/>
        <item x="0"/>
        <item t="default"/>
      </items>
    </pivotField>
    <pivotField showAll="0"/>
    <pivotField showAll="0"/>
    <pivotField showAll="0">
      <items count="7">
        <item h="1" x="0"/>
        <item h="1" x="1"/>
        <item h="1" x="2"/>
        <item x="3"/>
        <item h="1" x="4"/>
        <item h="1" x="5"/>
        <item t="default"/>
      </items>
    </pivotField>
    <pivotField showAll="0"/>
    <pivotField dataField="1" showAll="0"/>
  </pivotFields>
  <rowFields count="1">
    <field x="0"/>
  </rowFields>
  <rowItems count="177">
    <i>
      <x v="1"/>
    </i>
    <i>
      <x v="2"/>
    </i>
    <i>
      <x v="4"/>
    </i>
    <i>
      <x v="5"/>
    </i>
    <i>
      <x v="7"/>
    </i>
    <i>
      <x v="8"/>
    </i>
    <i>
      <x v="9"/>
    </i>
    <i>
      <x v="11"/>
    </i>
    <i>
      <x v="14"/>
    </i>
    <i>
      <x v="15"/>
    </i>
    <i>
      <x v="17"/>
    </i>
    <i>
      <x v="18"/>
    </i>
    <i>
      <x v="19"/>
    </i>
    <i>
      <x v="22"/>
    </i>
    <i>
      <x v="25"/>
    </i>
    <i>
      <x v="27"/>
    </i>
    <i>
      <x v="28"/>
    </i>
    <i>
      <x v="29"/>
    </i>
    <i>
      <x v="33"/>
    </i>
    <i>
      <x v="38"/>
    </i>
    <i>
      <x v="40"/>
    </i>
    <i>
      <x v="41"/>
    </i>
    <i>
      <x v="45"/>
    </i>
    <i>
      <x v="46"/>
    </i>
    <i>
      <x v="50"/>
    </i>
    <i>
      <x v="56"/>
    </i>
    <i>
      <x v="57"/>
    </i>
    <i>
      <x v="58"/>
    </i>
    <i>
      <x v="60"/>
    </i>
    <i>
      <x v="62"/>
    </i>
    <i>
      <x v="64"/>
    </i>
    <i>
      <x v="65"/>
    </i>
    <i>
      <x v="67"/>
    </i>
    <i>
      <x v="70"/>
    </i>
    <i>
      <x v="73"/>
    </i>
    <i>
      <x v="74"/>
    </i>
    <i>
      <x v="82"/>
    </i>
    <i>
      <x v="83"/>
    </i>
    <i>
      <x v="85"/>
    </i>
    <i>
      <x v="86"/>
    </i>
    <i>
      <x v="88"/>
    </i>
    <i>
      <x v="89"/>
    </i>
    <i>
      <x v="91"/>
    </i>
    <i>
      <x v="93"/>
    </i>
    <i>
      <x v="95"/>
    </i>
    <i>
      <x v="96"/>
    </i>
    <i>
      <x v="98"/>
    </i>
    <i>
      <x v="100"/>
    </i>
    <i>
      <x v="101"/>
    </i>
    <i>
      <x v="103"/>
    </i>
    <i>
      <x v="108"/>
    </i>
    <i>
      <x v="109"/>
    </i>
    <i>
      <x v="110"/>
    </i>
    <i>
      <x v="111"/>
    </i>
    <i>
      <x v="113"/>
    </i>
    <i>
      <x v="119"/>
    </i>
    <i>
      <x v="121"/>
    </i>
    <i>
      <x v="122"/>
    </i>
    <i>
      <x v="125"/>
    </i>
    <i>
      <x v="130"/>
    </i>
    <i>
      <x v="133"/>
    </i>
    <i>
      <x v="134"/>
    </i>
    <i>
      <x v="135"/>
    </i>
    <i>
      <x v="138"/>
    </i>
    <i>
      <x v="139"/>
    </i>
    <i>
      <x v="140"/>
    </i>
    <i>
      <x v="141"/>
    </i>
    <i>
      <x v="143"/>
    </i>
    <i>
      <x v="145"/>
    </i>
    <i>
      <x v="147"/>
    </i>
    <i>
      <x v="148"/>
    </i>
    <i>
      <x v="149"/>
    </i>
    <i>
      <x v="150"/>
    </i>
    <i>
      <x v="152"/>
    </i>
    <i>
      <x v="156"/>
    </i>
    <i>
      <x v="158"/>
    </i>
    <i>
      <x v="159"/>
    </i>
    <i>
      <x v="161"/>
    </i>
    <i>
      <x v="162"/>
    </i>
    <i>
      <x v="163"/>
    </i>
    <i>
      <x v="166"/>
    </i>
    <i>
      <x v="167"/>
    </i>
    <i>
      <x v="169"/>
    </i>
    <i>
      <x v="171"/>
    </i>
    <i>
      <x v="173"/>
    </i>
    <i>
      <x v="174"/>
    </i>
    <i>
      <x v="176"/>
    </i>
    <i>
      <x v="178"/>
    </i>
    <i>
      <x v="179"/>
    </i>
    <i>
      <x v="180"/>
    </i>
    <i>
      <x v="182"/>
    </i>
    <i>
      <x v="183"/>
    </i>
    <i>
      <x v="185"/>
    </i>
    <i>
      <x v="186"/>
    </i>
    <i>
      <x v="187"/>
    </i>
    <i>
      <x v="188"/>
    </i>
    <i>
      <x v="189"/>
    </i>
    <i>
      <x v="191"/>
    </i>
    <i>
      <x v="192"/>
    </i>
    <i>
      <x v="195"/>
    </i>
    <i>
      <x v="197"/>
    </i>
    <i>
      <x v="199"/>
    </i>
    <i>
      <x v="204"/>
    </i>
    <i>
      <x v="205"/>
    </i>
    <i>
      <x v="206"/>
    </i>
    <i>
      <x v="208"/>
    </i>
    <i>
      <x v="210"/>
    </i>
    <i>
      <x v="213"/>
    </i>
    <i>
      <x v="215"/>
    </i>
    <i>
      <x v="217"/>
    </i>
    <i>
      <x v="219"/>
    </i>
    <i>
      <x v="220"/>
    </i>
    <i>
      <x v="222"/>
    </i>
    <i>
      <x v="223"/>
    </i>
    <i>
      <x v="224"/>
    </i>
    <i>
      <x v="228"/>
    </i>
    <i>
      <x v="229"/>
    </i>
    <i>
      <x v="233"/>
    </i>
    <i>
      <x v="235"/>
    </i>
    <i>
      <x v="237"/>
    </i>
    <i>
      <x v="238"/>
    </i>
    <i>
      <x v="239"/>
    </i>
    <i>
      <x v="240"/>
    </i>
    <i>
      <x v="241"/>
    </i>
    <i>
      <x v="242"/>
    </i>
    <i>
      <x v="243"/>
    </i>
    <i>
      <x v="244"/>
    </i>
    <i>
      <x v="245"/>
    </i>
    <i>
      <x v="246"/>
    </i>
    <i>
      <x v="248"/>
    </i>
    <i>
      <x v="251"/>
    </i>
    <i>
      <x v="252"/>
    </i>
    <i>
      <x v="253"/>
    </i>
    <i>
      <x v="257"/>
    </i>
    <i>
      <x v="258"/>
    </i>
    <i>
      <x v="259"/>
    </i>
    <i>
      <x v="265"/>
    </i>
    <i>
      <x v="266"/>
    </i>
    <i>
      <x v="268"/>
    </i>
    <i>
      <x v="269"/>
    </i>
    <i>
      <x v="270"/>
    </i>
    <i>
      <x v="272"/>
    </i>
    <i>
      <x v="273"/>
    </i>
    <i>
      <x v="277"/>
    </i>
    <i>
      <x v="278"/>
    </i>
    <i>
      <x v="281"/>
    </i>
    <i>
      <x v="283"/>
    </i>
    <i>
      <x v="284"/>
    </i>
    <i>
      <x v="286"/>
    </i>
    <i>
      <x v="288"/>
    </i>
    <i>
      <x v="290"/>
    </i>
    <i>
      <x v="294"/>
    </i>
    <i>
      <x v="297"/>
    </i>
    <i>
      <x v="298"/>
    </i>
    <i>
      <x v="300"/>
    </i>
    <i>
      <x v="301"/>
    </i>
    <i>
      <x v="303"/>
    </i>
    <i>
      <x v="305"/>
    </i>
    <i>
      <x v="309"/>
    </i>
    <i>
      <x v="312"/>
    </i>
    <i>
      <x v="314"/>
    </i>
    <i>
      <x v="315"/>
    </i>
    <i>
      <x v="316"/>
    </i>
    <i>
      <x v="317"/>
    </i>
    <i>
      <x v="318"/>
    </i>
    <i>
      <x v="321"/>
    </i>
    <i>
      <x v="322"/>
    </i>
    <i>
      <x v="324"/>
    </i>
    <i>
      <x v="327"/>
    </i>
    <i>
      <x v="330"/>
    </i>
    <i>
      <x v="333"/>
    </i>
    <i>
      <x v="334"/>
    </i>
    <i>
      <x v="336"/>
    </i>
    <i>
      <x v="338"/>
    </i>
    <i>
      <x v="341"/>
    </i>
    <i>
      <x v="343"/>
    </i>
    <i t="grand">
      <x/>
    </i>
  </rowItems>
  <colFields count="1">
    <field x="4"/>
  </colFields>
  <colItems count="6">
    <i>
      <x/>
    </i>
    <i>
      <x v="1"/>
    </i>
    <i>
      <x v="2"/>
    </i>
    <i>
      <x v="3"/>
    </i>
    <i>
      <x v="4"/>
    </i>
    <i t="grand">
      <x/>
    </i>
  </colItems>
  <dataFields count="1">
    <dataField name="Sum of Sales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A40680-E076-4BE1-9CDB-71F9D7F2F8A6}"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5:L23" firstHeaderRow="1" firstDataRow="3" firstDataCol="1"/>
  <pivotFields count="10">
    <pivotField compact="0" numFmtId="14" outline="0" showAll="0"/>
    <pivotField axis="axisCol" compact="0" outline="0" showAll="0">
      <items count="4">
        <item x="2"/>
        <item x="1"/>
        <item x="0"/>
        <item t="default"/>
      </items>
    </pivotField>
    <pivotField compact="0" outline="0" showAll="0"/>
    <pivotField compact="0" outline="0" showAll="0"/>
    <pivotField axis="axisRow" compact="0" outline="0" showAll="0">
      <items count="6">
        <item x="1"/>
        <item x="4"/>
        <item x="3"/>
        <item x="2"/>
        <item x="0"/>
        <item t="default"/>
      </items>
    </pivotField>
    <pivotField compact="0" outline="0" showAll="0"/>
    <pivotField compact="0" outline="0" showAll="0"/>
    <pivotField compact="0" outline="0" showAll="0">
      <items count="7">
        <item h="1" x="0"/>
        <item h="1" x="1"/>
        <item h="1" x="2"/>
        <item x="3"/>
        <item h="1" x="4"/>
        <item h="1" x="5"/>
        <item t="default"/>
      </items>
    </pivotField>
    <pivotField compact="0" outline="0" showAll="0"/>
    <pivotField dataField="1" compact="0" outline="0" showAll="0"/>
  </pivotFields>
  <rowFields count="1">
    <field x="4"/>
  </rowFields>
  <rowItems count="6">
    <i>
      <x/>
    </i>
    <i>
      <x v="1"/>
    </i>
    <i>
      <x v="2"/>
    </i>
    <i>
      <x v="3"/>
    </i>
    <i>
      <x v="4"/>
    </i>
    <i t="grand">
      <x/>
    </i>
  </rowItems>
  <colFields count="2">
    <field x="1"/>
    <field x="-2"/>
  </colFields>
  <colItems count="8">
    <i>
      <x/>
      <x/>
    </i>
    <i r="1" i="1">
      <x v="1"/>
    </i>
    <i>
      <x v="1"/>
      <x/>
    </i>
    <i r="1" i="1">
      <x v="1"/>
    </i>
    <i>
      <x v="2"/>
      <x/>
    </i>
    <i r="1" i="1">
      <x v="1"/>
    </i>
    <i t="grand">
      <x/>
    </i>
    <i t="grand" i="1">
      <x/>
    </i>
  </colItems>
  <dataFields count="2">
    <dataField name="% Sale By Products" fld="9" showDataAs="percentOfCol" baseField="0" baseItem="0" numFmtId="10"/>
    <dataField name="Rank" fld="9" baseField="4" baseItem="0">
      <extLst>
        <ext xmlns:x14="http://schemas.microsoft.com/office/spreadsheetml/2009/9/main" uri="{E15A36E0-9728-4e99-A89B-3F7291B0FE68}">
          <x14:dataField pivotShowAs="rankDescending"/>
        </ext>
      </extLst>
    </dataField>
  </dataFields>
  <formats count="15">
    <format dxfId="73">
      <pivotArea type="all" dataOnly="0" outline="0" fieldPosition="0"/>
    </format>
    <format dxfId="72">
      <pivotArea outline="0" collapsedLevelsAreSubtotals="1" fieldPosition="0"/>
    </format>
    <format dxfId="71">
      <pivotArea type="origin" dataOnly="0" labelOnly="1" outline="0" fieldPosition="0"/>
    </format>
    <format dxfId="70">
      <pivotArea field="1" type="button" dataOnly="0" labelOnly="1" outline="0" axis="axisCol" fieldPosition="0"/>
    </format>
    <format dxfId="69">
      <pivotArea field="-2" type="button" dataOnly="0" labelOnly="1" outline="0" axis="axisCol" fieldPosition="1"/>
    </format>
    <format dxfId="68">
      <pivotArea type="topRight" dataOnly="0" labelOnly="1" outline="0" fieldPosition="0"/>
    </format>
    <format dxfId="67">
      <pivotArea field="4" type="button" dataOnly="0" labelOnly="1" outline="0" axis="axisRow" fieldPosition="0"/>
    </format>
    <format dxfId="66">
      <pivotArea dataOnly="0" labelOnly="1" fieldPosition="0">
        <references count="1">
          <reference field="4" count="0"/>
        </references>
      </pivotArea>
    </format>
    <format dxfId="65">
      <pivotArea dataOnly="0" labelOnly="1" grandRow="1" outline="0" fieldPosition="0"/>
    </format>
    <format dxfId="64">
      <pivotArea dataOnly="0" labelOnly="1" fieldPosition="0">
        <references count="1">
          <reference field="1" count="0"/>
        </references>
      </pivotArea>
    </format>
    <format dxfId="63">
      <pivotArea field="1" dataOnly="0" labelOnly="1" grandCol="1" outline="0" axis="axisCol" fieldPosition="0">
        <references count="1">
          <reference field="4294967294" count="1" selected="0">
            <x v="0"/>
          </reference>
        </references>
      </pivotArea>
    </format>
    <format dxfId="62">
      <pivotArea field="1" dataOnly="0" labelOnly="1" grandCol="1" outline="0" axis="axisCol" fieldPosition="0">
        <references count="1">
          <reference field="4294967294" count="1" selected="0">
            <x v="1"/>
          </reference>
        </references>
      </pivotArea>
    </format>
    <format dxfId="61">
      <pivotArea dataOnly="0" labelOnly="1" outline="0" fieldPosition="0">
        <references count="2">
          <reference field="4294967294" count="2">
            <x v="0"/>
            <x v="1"/>
          </reference>
          <reference field="1" count="1" selected="0">
            <x v="0"/>
          </reference>
        </references>
      </pivotArea>
    </format>
    <format dxfId="60">
      <pivotArea dataOnly="0" labelOnly="1" outline="0" fieldPosition="0">
        <references count="2">
          <reference field="4294967294" count="2">
            <x v="0"/>
            <x v="1"/>
          </reference>
          <reference field="1" count="1" selected="0">
            <x v="1"/>
          </reference>
        </references>
      </pivotArea>
    </format>
    <format dxfId="59">
      <pivotArea dataOnly="0" labelOnly="1" outline="0" fieldPosition="0">
        <references count="2">
          <reference field="4294967294" count="2">
            <x v="0"/>
            <x v="1"/>
          </reference>
          <reference field="1" count="1" selected="0">
            <x v="2"/>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8C982-98DD-48E0-954B-F2DBF2395438}"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E70" firstHeaderRow="1" firstDataRow="2" firstDataCol="1"/>
  <pivotFields count="10">
    <pivotField numFmtId="14" showAll="0" defaultSubtotal="0"/>
    <pivotField axis="axisCol" showAll="0" defaultSubtotal="0">
      <items count="3">
        <item x="2"/>
        <item x="1"/>
        <item x="0"/>
      </items>
    </pivotField>
    <pivotField showAll="0" defaultSubtotal="0"/>
    <pivotField showAll="0" defaultSubtotal="0"/>
    <pivotField axis="axisRow" showAll="0" defaultSubtotal="0">
      <items count="5">
        <item x="1"/>
        <item x="4"/>
        <item x="3"/>
        <item x="2"/>
        <item x="0"/>
      </items>
    </pivotField>
    <pivotField dataField="1" showAll="0" defaultSubtotal="0"/>
    <pivotField axis="axisRow" showAll="0" defaultSubtotal="0">
      <items count="12">
        <item x="7"/>
        <item x="11"/>
        <item x="6"/>
        <item x="1"/>
        <item x="4"/>
        <item x="10"/>
        <item x="5"/>
        <item x="8"/>
        <item x="0"/>
        <item x="3"/>
        <item x="9"/>
        <item x="2"/>
      </items>
    </pivotField>
    <pivotField showAll="0" defaultSubtotal="0"/>
    <pivotField showAll="0" defaultSubtotal="0"/>
    <pivotField showAll="0" defaultSubtotal="0"/>
  </pivotFields>
  <rowFields count="2">
    <field x="4"/>
    <field x="6"/>
  </rowFields>
  <rowItems count="6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t="grand">
      <x/>
    </i>
  </rowItems>
  <colFields count="1">
    <field x="1"/>
  </colFields>
  <colItems count="4">
    <i>
      <x/>
    </i>
    <i>
      <x v="1"/>
    </i>
    <i>
      <x v="2"/>
    </i>
    <i t="grand">
      <x/>
    </i>
  </colItems>
  <dataFields count="1">
    <dataField name="Sum of Quantity" fld="5" baseField="0" baseItem="0"/>
  </dataFields>
  <formats count="1">
    <format dxfId="5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544E60-05B9-4CDC-94E4-EF912610426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2" firstHeaderRow="1" firstDataRow="1" firstDataCol="1"/>
  <pivotFields count="10">
    <pivotField numFmtId="14" showAll="0"/>
    <pivotField showAll="0"/>
    <pivotField showAll="0"/>
    <pivotField showAll="0"/>
    <pivotField dataField="1" showAll="0"/>
    <pivotField showAll="0"/>
    <pivotField showAll="0"/>
    <pivotField axis="axisRow" showAll="0">
      <items count="7">
        <item h="1" x="0"/>
        <item h="1" x="1"/>
        <item h="1" x="2"/>
        <item x="3"/>
        <item h="1" x="4"/>
        <item h="1" x="5"/>
        <item t="default"/>
      </items>
    </pivotField>
    <pivotField showAll="0"/>
    <pivotField showAll="0"/>
  </pivotFields>
  <rowFields count="1">
    <field x="7"/>
  </rowFields>
  <rowItems count="2">
    <i>
      <x v="3"/>
    </i>
    <i t="grand">
      <x/>
    </i>
  </rowItems>
  <colItems count="1">
    <i/>
  </colItems>
  <dataFields count="1">
    <dataField name="Count of Produc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D2F2F9-2FF9-4947-B4DD-5B56F18239C1}"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numFmtId="14" showAll="0"/>
    <pivotField showAll="0"/>
    <pivotField showAll="0"/>
    <pivotField showAll="0"/>
    <pivotField showAll="0"/>
    <pivotField showAll="0"/>
    <pivotField showAll="0"/>
    <pivotField showAll="0">
      <items count="7">
        <item h="1" x="0"/>
        <item h="1" x="1"/>
        <item h="1" x="2"/>
        <item x="3"/>
        <item h="1" x="4"/>
        <item h="1" x="5"/>
        <item t="default"/>
      </items>
    </pivotField>
    <pivotField showAll="0"/>
    <pivotField axis="axisRow" dataField="1" showAll="0">
      <items count="13">
        <item x="0"/>
        <item x="1"/>
        <item x="2"/>
        <item x="3"/>
        <item x="4"/>
        <item x="5"/>
        <item x="6"/>
        <item x="7"/>
        <item x="8"/>
        <item x="9"/>
        <item x="10"/>
        <item x="11"/>
        <item t="default"/>
      </items>
    </pivotField>
  </pivotFields>
  <rowFields count="1">
    <field x="9"/>
  </rowFields>
  <rowItems count="11">
    <i>
      <x v="1"/>
    </i>
    <i>
      <x v="2"/>
    </i>
    <i>
      <x v="3"/>
    </i>
    <i>
      <x v="4"/>
    </i>
    <i>
      <x v="5"/>
    </i>
    <i>
      <x v="6"/>
    </i>
    <i>
      <x v="7"/>
    </i>
    <i>
      <x v="8"/>
    </i>
    <i>
      <x v="9"/>
    </i>
    <i>
      <x v="10"/>
    </i>
    <i t="grand">
      <x/>
    </i>
  </rowItems>
  <colItems count="1">
    <i/>
  </colItems>
  <dataFields count="1">
    <dataField name="Count of Sales Amoun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F52980-22C7-4E32-9089-8FDDA4FA0488}"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10">
    <pivotField numFmtId="14" showAll="0"/>
    <pivotField showAll="0"/>
    <pivotField showAll="0"/>
    <pivotField showAll="0">
      <items count="16">
        <item h="1" x="8"/>
        <item h="1" x="12"/>
        <item h="1" x="2"/>
        <item x="6"/>
        <item h="1" x="14"/>
        <item h="1" x="7"/>
        <item h="1" x="13"/>
        <item h="1" x="3"/>
        <item h="1" x="0"/>
        <item h="1" x="1"/>
        <item h="1" x="5"/>
        <item h="1" x="4"/>
        <item h="1" x="10"/>
        <item h="1" x="11"/>
        <item h="1" x="9"/>
        <item t="default"/>
      </items>
    </pivotField>
    <pivotField showAll="0">
      <items count="6">
        <item x="1"/>
        <item x="4"/>
        <item x="3"/>
        <item x="2"/>
        <item x="0"/>
        <item t="default"/>
      </items>
    </pivotField>
    <pivotField showAll="0"/>
    <pivotField axis="axisRow" showAll="0">
      <items count="13">
        <item x="7"/>
        <item x="11"/>
        <item x="6"/>
        <item x="1"/>
        <item x="4"/>
        <item x="10"/>
        <item x="5"/>
        <item x="8"/>
        <item x="0"/>
        <item x="3"/>
        <item x="9"/>
        <item x="2"/>
        <item t="default"/>
      </items>
    </pivotField>
    <pivotField showAll="0">
      <items count="7">
        <item h="1" x="0"/>
        <item h="1" x="1"/>
        <item h="1" x="2"/>
        <item x="3"/>
        <item h="1" x="4"/>
        <item h="1" x="5"/>
        <item t="default"/>
      </items>
    </pivotField>
    <pivotField showAll="0"/>
    <pivotField dataField="1" showAll="0"/>
  </pivotFields>
  <rowFields count="1">
    <field x="6"/>
  </rowFields>
  <rowItems count="10">
    <i>
      <x/>
    </i>
    <i>
      <x v="1"/>
    </i>
    <i>
      <x v="4"/>
    </i>
    <i>
      <x v="5"/>
    </i>
    <i>
      <x v="6"/>
    </i>
    <i>
      <x v="7"/>
    </i>
    <i>
      <x v="9"/>
    </i>
    <i>
      <x v="10"/>
    </i>
    <i>
      <x v="11"/>
    </i>
    <i t="grand">
      <x/>
    </i>
  </rowItems>
  <colItems count="1">
    <i/>
  </colItems>
  <dataFields count="1">
    <dataField name="Sum of Sales Amount" fld="9" baseField="6" baseItem="3"/>
  </dataFields>
  <formats count="6">
    <format dxfId="51">
      <pivotArea type="all" dataOnly="0" outline="0" fieldPosition="0"/>
    </format>
    <format dxfId="50">
      <pivotArea outline="0" collapsedLevelsAreSubtotals="1" fieldPosition="0"/>
    </format>
    <format dxfId="49">
      <pivotArea field="6" type="button" dataOnly="0" labelOnly="1" outline="0" axis="axisRow" fieldPosition="0"/>
    </format>
    <format dxfId="48">
      <pivotArea dataOnly="0" labelOnly="1" fieldPosition="0">
        <references count="1">
          <reference field="6" count="0"/>
        </references>
      </pivotArea>
    </format>
    <format dxfId="47">
      <pivotArea dataOnly="0" labelOnly="1" grandRow="1" outline="0" fieldPosition="0"/>
    </format>
    <format dxfId="4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677A06-D22D-44B2-9B50-CE4121C0050C}"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5" firstHeaderRow="1" firstDataRow="1" firstDataCol="1"/>
  <pivotFields count="10">
    <pivotField numFmtId="14" showAll="0"/>
    <pivotField showAll="0"/>
    <pivotField showAll="0"/>
    <pivotField showAll="0">
      <items count="16">
        <item h="1" x="8"/>
        <item h="1" x="12"/>
        <item h="1" x="2"/>
        <item x="6"/>
        <item h="1" x="14"/>
        <item h="1" x="7"/>
        <item h="1" x="13"/>
        <item h="1" x="3"/>
        <item h="1" x="0"/>
        <item h="1" x="1"/>
        <item h="1" x="5"/>
        <item h="1" x="4"/>
        <item h="1" x="10"/>
        <item h="1" x="11"/>
        <item h="1" x="9"/>
        <item t="default"/>
      </items>
    </pivotField>
    <pivotField axis="axisRow" showAll="0">
      <items count="6">
        <item x="1"/>
        <item x="4"/>
        <item x="3"/>
        <item x="2"/>
        <item x="0"/>
        <item t="default"/>
      </items>
    </pivotField>
    <pivotField showAll="0"/>
    <pivotField showAll="0"/>
    <pivotField showAll="0">
      <items count="7">
        <item h="1" x="0"/>
        <item h="1" x="1"/>
        <item h="1" x="2"/>
        <item x="3"/>
        <item h="1" x="4"/>
        <item h="1" x="5"/>
        <item t="default"/>
      </items>
    </pivotField>
    <pivotField showAll="0"/>
    <pivotField dataField="1" showAll="0"/>
  </pivotFields>
  <rowFields count="1">
    <field x="4"/>
  </rowFields>
  <rowItems count="6">
    <i>
      <x/>
    </i>
    <i>
      <x v="1"/>
    </i>
    <i>
      <x v="2"/>
    </i>
    <i>
      <x v="3"/>
    </i>
    <i>
      <x v="4"/>
    </i>
    <i t="grand">
      <x/>
    </i>
  </rowItems>
  <colItems count="1">
    <i/>
  </colItems>
  <dataFields count="1">
    <dataField name="Sum of Sales Amount" fld="9" baseField="6" baseItem="3"/>
  </dataFields>
  <formats count="6">
    <format dxfId="57">
      <pivotArea type="all" dataOnly="0" outline="0" fieldPosition="0"/>
    </format>
    <format dxfId="56">
      <pivotArea outline="0" collapsedLevelsAreSubtotals="1" fieldPosition="0"/>
    </format>
    <format dxfId="55">
      <pivotArea field="4" type="button" dataOnly="0" labelOnly="1" outline="0" axis="axisRow" fieldPosition="0"/>
    </format>
    <format dxfId="54">
      <pivotArea dataOnly="0" labelOnly="1" fieldPosition="0">
        <references count="1">
          <reference field="4" count="0"/>
        </references>
      </pivotArea>
    </format>
    <format dxfId="53">
      <pivotArea dataOnly="0" labelOnly="1" grandRow="1" outline="0" fieldPosition="0"/>
    </format>
    <format dxfId="5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3"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A3B3C8-6619-45FE-BAA2-73356DDE0F0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16:B29" firstHeaderRow="1" firstDataRow="1" firstDataCol="1"/>
  <pivotFields count="10">
    <pivotField numFmtId="14" showAll="0"/>
    <pivotField showAll="0"/>
    <pivotField showAll="0">
      <items count="6">
        <item x="3"/>
        <item x="4"/>
        <item x="1"/>
        <item x="0"/>
        <item x="2"/>
        <item t="default"/>
      </items>
    </pivotField>
    <pivotField multipleItemSelectionAllowed="1" showAll="0">
      <items count="16">
        <item x="8"/>
        <item x="12"/>
        <item x="2"/>
        <item x="6"/>
        <item x="14"/>
        <item x="7"/>
        <item x="13"/>
        <item x="3"/>
        <item x="0"/>
        <item x="1"/>
        <item x="5"/>
        <item x="4"/>
        <item x="10"/>
        <item x="11"/>
        <item x="9"/>
        <item t="default"/>
      </items>
    </pivotField>
    <pivotField showAll="0"/>
    <pivotField showAll="0"/>
    <pivotField axis="axisRow" showAll="0">
      <items count="13">
        <item x="7"/>
        <item x="11"/>
        <item x="6"/>
        <item x="1"/>
        <item x="4"/>
        <item x="10"/>
        <item x="5"/>
        <item x="8"/>
        <item x="0"/>
        <item x="3"/>
        <item x="9"/>
        <item x="2"/>
        <item t="default"/>
      </items>
    </pivotField>
    <pivotField showAll="0">
      <items count="7">
        <item h="1" x="0"/>
        <item h="1" x="1"/>
        <item h="1" x="2"/>
        <item x="3"/>
        <item h="1" x="4"/>
        <item h="1" x="5"/>
        <item t="default"/>
      </items>
    </pivotField>
    <pivotField showAll="0"/>
    <pivotField dataField="1" showAll="0"/>
  </pivotFields>
  <rowFields count="1">
    <field x="6"/>
  </rowFields>
  <rowItems count="13">
    <i>
      <x/>
    </i>
    <i>
      <x v="1"/>
    </i>
    <i>
      <x v="2"/>
    </i>
    <i>
      <x v="3"/>
    </i>
    <i>
      <x v="4"/>
    </i>
    <i>
      <x v="5"/>
    </i>
    <i>
      <x v="6"/>
    </i>
    <i>
      <x v="7"/>
    </i>
    <i>
      <x v="8"/>
    </i>
    <i>
      <x v="9"/>
    </i>
    <i>
      <x v="10"/>
    </i>
    <i>
      <x v="11"/>
    </i>
    <i t="grand">
      <x/>
    </i>
  </rowItems>
  <colItems count="1">
    <i/>
  </colItems>
  <dataFields count="1">
    <dataField name="Count of Sales Amount" fld="9" subtotal="count" baseField="6" baseItem="0"/>
  </dataFields>
  <formats count="12">
    <format dxfId="33">
      <pivotArea type="all" dataOnly="0" outline="0" fieldPosition="0"/>
    </format>
    <format dxfId="32">
      <pivotArea outline="0" collapsedLevelsAreSubtotals="1" fieldPosition="0"/>
    </format>
    <format dxfId="31">
      <pivotArea field="6" type="button" dataOnly="0" labelOnly="1" outline="0" axis="axisRow" fieldPosition="0"/>
    </format>
    <format dxfId="30">
      <pivotArea dataOnly="0" labelOnly="1" fieldPosition="0">
        <references count="1">
          <reference field="6"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6" type="button" dataOnly="0" labelOnly="1" outline="0" axis="axisRow" fieldPosition="0"/>
    </format>
    <format dxfId="24">
      <pivotArea dataOnly="0" labelOnly="1" fieldPosition="0">
        <references count="1">
          <reference field="6" count="0"/>
        </references>
      </pivotArea>
    </format>
    <format dxfId="23">
      <pivotArea dataOnly="0" labelOnly="1" grandRow="1" outline="0" fieldPosition="0"/>
    </format>
    <format dxfId="22">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B22F8C-3994-460E-A87E-1BD894ECF09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3:B9" firstHeaderRow="1" firstDataRow="1" firstDataCol="1"/>
  <pivotFields count="10">
    <pivotField numFmtId="14" showAll="0"/>
    <pivotField showAll="0"/>
    <pivotField showAll="0">
      <items count="6">
        <item x="3"/>
        <item x="4"/>
        <item x="1"/>
        <item x="0"/>
        <item x="2"/>
        <item t="default"/>
      </items>
    </pivotField>
    <pivotField multipleItemSelectionAllowed="1" showAll="0">
      <items count="16">
        <item x="8"/>
        <item x="12"/>
        <item x="2"/>
        <item x="6"/>
        <item x="14"/>
        <item x="7"/>
        <item x="13"/>
        <item x="3"/>
        <item x="0"/>
        <item x="1"/>
        <item x="5"/>
        <item x="4"/>
        <item x="10"/>
        <item x="11"/>
        <item x="9"/>
        <item t="default"/>
      </items>
    </pivotField>
    <pivotField axis="axisRow" showAll="0">
      <items count="6">
        <item x="1"/>
        <item x="4"/>
        <item x="3"/>
        <item x="2"/>
        <item x="0"/>
        <item t="default"/>
      </items>
    </pivotField>
    <pivotField dataField="1" showAll="0"/>
    <pivotField showAll="0"/>
    <pivotField showAll="0">
      <items count="7">
        <item h="1" x="0"/>
        <item h="1" x="1"/>
        <item h="1" x="2"/>
        <item x="3"/>
        <item h="1" x="4"/>
        <item h="1" x="5"/>
        <item t="default"/>
      </items>
    </pivotField>
    <pivotField showAll="0"/>
    <pivotField showAll="0"/>
  </pivotFields>
  <rowFields count="1">
    <field x="4"/>
  </rowFields>
  <rowItems count="6">
    <i>
      <x/>
    </i>
    <i>
      <x v="1"/>
    </i>
    <i>
      <x v="2"/>
    </i>
    <i>
      <x v="3"/>
    </i>
    <i>
      <x v="4"/>
    </i>
    <i t="grand">
      <x/>
    </i>
  </rowItems>
  <colItems count="1">
    <i/>
  </colItems>
  <dataFields count="1">
    <dataField name="Sum of Quantity" fld="5" baseField="6" baseItem="0"/>
  </dataFields>
  <formats count="12">
    <format dxfId="45">
      <pivotArea type="all" dataOnly="0" outline="0" fieldPosition="0"/>
    </format>
    <format dxfId="44">
      <pivotArea outline="0" collapsedLevelsAreSubtotals="1" fieldPosition="0"/>
    </format>
    <format dxfId="43">
      <pivotArea field="4" type="button" dataOnly="0" labelOnly="1" outline="0" axis="axisRow" fieldPosition="0"/>
    </format>
    <format dxfId="42">
      <pivotArea dataOnly="0" labelOnly="1" fieldPosition="0">
        <references count="1">
          <reference field="4"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4" type="button" dataOnly="0" labelOnly="1" outline="0" axis="axisRow" fieldPosition="0"/>
    </format>
    <format dxfId="36">
      <pivotArea dataOnly="0" labelOnly="1" fieldPosition="0">
        <references count="1">
          <reference field="4" count="0"/>
        </references>
      </pivotArea>
    </format>
    <format dxfId="35">
      <pivotArea dataOnly="0" labelOnly="1" grandRow="1" outline="0" fieldPosition="0"/>
    </format>
    <format dxfId="3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DBF9EC-506C-4E60-B0AA-FC885807D5CE}"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fieldListSortAscending="1">
  <location ref="A3:C19" firstHeaderRow="1" firstDataRow="1" firstDataCol="2"/>
  <pivotFields count="10">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1"/>
        <item x="4"/>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4"/>
    <field x="1"/>
  </rowFields>
  <rowItems count="16">
    <i>
      <x/>
      <x/>
    </i>
    <i r="1">
      <x v="1"/>
    </i>
    <i r="1">
      <x v="2"/>
    </i>
    <i>
      <x v="1"/>
      <x/>
    </i>
    <i r="1">
      <x v="1"/>
    </i>
    <i r="1">
      <x v="2"/>
    </i>
    <i>
      <x v="2"/>
      <x/>
    </i>
    <i r="1">
      <x v="1"/>
    </i>
    <i r="1">
      <x v="2"/>
    </i>
    <i>
      <x v="3"/>
      <x/>
    </i>
    <i r="1">
      <x v="1"/>
    </i>
    <i r="1">
      <x v="2"/>
    </i>
    <i>
      <x v="4"/>
      <x/>
    </i>
    <i r="1">
      <x v="1"/>
    </i>
    <i r="1">
      <x v="2"/>
    </i>
    <i t="grand">
      <x/>
    </i>
  </rowItems>
  <colItems count="1">
    <i/>
  </colItems>
  <dataFields count="1">
    <dataField name="Sum of Sales Amount" fld="9"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3B0D15-C9BD-4A82-A0E4-1AED2940AB87}"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fieldListSortAscending="1">
  <location ref="A32:C48" firstHeaderRow="1" firstDataRow="1" firstDataCol="2"/>
  <pivotFields count="10">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4"/>
        <item x="1"/>
        <item x="0"/>
        <item x="2"/>
      </items>
      <extLst>
        <ext xmlns:x14="http://schemas.microsoft.com/office/spreadsheetml/2009/9/main" uri="{2946ED86-A175-432a-8AC1-64E0C546D7DE}">
          <x14:pivotField fillDownLabels="1"/>
        </ext>
      </extLst>
    </pivotField>
    <pivotField axis="axisRow" compact="0" outline="0" showAll="0" defaultSubtotal="0">
      <items count="15">
        <item x="8"/>
        <item x="12"/>
        <item x="2"/>
        <item x="6"/>
        <item x="14"/>
        <item x="7"/>
        <item x="13"/>
        <item x="3"/>
        <item x="0"/>
        <item x="1"/>
        <item x="5"/>
        <item x="4"/>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2"/>
    <field x="3"/>
  </rowFields>
  <rowItems count="16">
    <i>
      <x/>
      <x v="4"/>
    </i>
    <i r="1">
      <x v="6"/>
    </i>
    <i r="1">
      <x v="11"/>
    </i>
    <i>
      <x v="1"/>
      <x/>
    </i>
    <i r="1">
      <x v="13"/>
    </i>
    <i r="1">
      <x v="14"/>
    </i>
    <i>
      <x v="2"/>
      <x v="1"/>
    </i>
    <i r="1">
      <x v="5"/>
    </i>
    <i r="1">
      <x v="9"/>
    </i>
    <i>
      <x v="3"/>
      <x v="8"/>
    </i>
    <i r="1">
      <x v="10"/>
    </i>
    <i r="1">
      <x v="12"/>
    </i>
    <i>
      <x v="4"/>
      <x v="2"/>
    </i>
    <i r="1">
      <x v="3"/>
    </i>
    <i r="1">
      <x v="7"/>
    </i>
    <i t="grand">
      <x/>
    </i>
  </rowItems>
  <colItems count="1">
    <i/>
  </colItems>
  <dataFields count="1">
    <dataField name="Sum of Sales Amount" fld="9"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8284B9A-4327-4783-8D7D-CB9F30848DA1}"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9" firstHeaderRow="1" firstDataRow="1" firstDataCol="1"/>
  <pivotFields count="1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x="8"/>
        <item x="12"/>
        <item x="2"/>
        <item x="6"/>
        <item x="14"/>
        <item x="7"/>
        <item x="13"/>
        <item x="3"/>
        <item x="0"/>
        <item x="1"/>
        <item x="5"/>
        <item x="4"/>
        <item x="10"/>
        <item x="11"/>
        <item x="9"/>
      </items>
      <extLst>
        <ext xmlns:x14="http://schemas.microsoft.com/office/spreadsheetml/2009/9/main" uri="{2946ED86-A175-432a-8AC1-64E0C546D7DE}">
          <x14:pivotField fillDownLabels="1"/>
        </ext>
      </extLst>
    </pivotField>
    <pivotField compact="0" outline="0" multipleItemSelectionAllowed="1" showAll="0" defaultSubtotal="0">
      <items count="5">
        <item x="1"/>
        <item x="4"/>
        <item x="3"/>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7"/>
        <item x="11"/>
        <item x="6"/>
        <item x="1"/>
        <item x="4"/>
        <item x="10"/>
        <item x="5"/>
        <item x="8"/>
        <item x="0"/>
        <item x="3"/>
        <item x="9"/>
        <item x="2"/>
        <item x="12"/>
        <item x="13"/>
        <item x="14"/>
        <item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Sales Amount" fld="9" baseField="3"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C5A6AF-8758-4F86-B07F-BD135D2BE20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9:D22" firstHeaderRow="0" firstDataRow="1" firstDataCol="1"/>
  <pivotFields count="12">
    <pivotField showAll="0"/>
    <pivotField showAll="0"/>
    <pivotField showAll="0"/>
    <pivotField showAll="0"/>
    <pivotField showAll="0"/>
    <pivotField showAll="0"/>
    <pivotField axis="axisRow" showAll="0">
      <items count="14">
        <item x="7"/>
        <item x="11"/>
        <item x="6"/>
        <item x="1"/>
        <item x="4"/>
        <item x="10"/>
        <item x="5"/>
        <item x="8"/>
        <item x="0"/>
        <item x="3"/>
        <item x="9"/>
        <item x="2"/>
        <item m="1" x="12"/>
        <item t="default"/>
      </items>
    </pivotField>
    <pivotField showAll="0"/>
    <pivotField showAll="0"/>
    <pivotField dataField="1" showAll="0"/>
    <pivotField dragToRow="0" dragToCol="0" dragToPage="0" showAll="0" defaultSubtotal="0"/>
    <pivotField dataField="1" dragToRow="0" dragToCol="0" dragToPage="0" showAll="0" defaultSubtotal="0"/>
  </pivotFields>
  <rowFields count="1">
    <field x="6"/>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9" baseField="0" baseItem="0"/>
    <dataField name="Sum of Incentive2"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F06CC34-D70A-4B8B-B26B-F46C253918F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G13" firstHeaderRow="1" firstDataRow="1" firstDataCol="1"/>
  <pivotFields count="4">
    <pivotField axis="axisRow" showAll="0">
      <items count="4">
        <item x="0"/>
        <item x="1"/>
        <item x="2"/>
        <item t="default"/>
      </items>
    </pivotField>
    <pivotField showAll="0"/>
    <pivotField showAll="0"/>
    <pivotField dataField="1" showAll="0"/>
  </pivotFields>
  <rowFields count="1">
    <field x="0"/>
  </rowFields>
  <rowItems count="4">
    <i>
      <x/>
    </i>
    <i>
      <x v="1"/>
    </i>
    <i>
      <x v="2"/>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03A73F-6AC9-40B8-B8F2-EFA81F7260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O13" firstHeaderRow="1" firstDataRow="2" firstDataCol="1"/>
  <pivotFields count="5">
    <pivotField showAll="0"/>
    <pivotField showAll="0"/>
    <pivotField axis="axisRow" showAll="0">
      <items count="4">
        <item x="1"/>
        <item x="0"/>
        <item f="1" x="2"/>
        <item t="default"/>
      </items>
    </pivotField>
    <pivotField axis="axisCol" showAll="0">
      <items count="7">
        <item x="0"/>
        <item x="1"/>
        <item x="2"/>
        <item x="3"/>
        <item f="1" x="4"/>
        <item f="1" x="5"/>
        <item t="default"/>
      </items>
    </pivotField>
    <pivotField dataField="1" showAll="0"/>
  </pivotFields>
  <rowFields count="1">
    <field x="2"/>
  </rowFields>
  <rowItems count="4">
    <i>
      <x/>
    </i>
    <i>
      <x v="1"/>
    </i>
    <i>
      <x v="2"/>
    </i>
    <i t="grand">
      <x/>
    </i>
  </rowItems>
  <colFields count="1">
    <field x="3"/>
  </colFields>
  <colItems count="7">
    <i>
      <x/>
    </i>
    <i>
      <x v="1"/>
    </i>
    <i>
      <x v="2"/>
    </i>
    <i>
      <x v="3"/>
    </i>
    <i>
      <x v="4"/>
    </i>
    <i>
      <x v="5"/>
    </i>
    <i t="grand">
      <x/>
    </i>
  </colItems>
  <dataFields count="1">
    <dataField name="Count of Amount" fld="4" subtotal="count" baseField="0" baseItem="0"/>
  </dataFields>
  <formats count="2">
    <format dxfId="21">
      <pivotArea grandRow="1" outline="0" collapsedLevelsAreSubtotals="1" fieldPosition="0"/>
    </format>
    <format dxfId="20">
      <pivotArea collapsedLevelsAreSubtotals="1" fieldPosition="0">
        <references count="1">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8355470-A161-4A19-B275-888D6184095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M8" firstHeaderRow="1" firstDataRow="1" firstDataCol="0"/>
  <pivotFields count="11">
    <pivotField showAll="0"/>
    <pivotField numFmtId="14"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Count of Produc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82187E0-89F4-40A7-92CA-60C4A1B59BAA}" sourceName="City">
  <pivotTables>
    <pivotTable tabId="9" name="PivotTable8"/>
    <pivotTable tabId="9" name="PivotTable9"/>
  </pivotTables>
  <data>
    <tabular pivotCacheId="911600672">
      <items count="15">
        <i x="8"/>
        <i x="12"/>
        <i x="2"/>
        <i x="6" s="1"/>
        <i x="14"/>
        <i x="7"/>
        <i x="13"/>
        <i x="3"/>
        <i x="0"/>
        <i x="1"/>
        <i x="5"/>
        <i x="4"/>
        <i x="10"/>
        <i x="11"/>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B240D68-5813-403D-9D46-2D323BAD5660}" sourceName="Product">
  <pivotTables>
    <pivotTable tabId="9" name="PivotTable8"/>
    <pivotTable tabId="9" name="PivotTable9"/>
  </pivotTables>
  <data>
    <tabular pivotCacheId="911600672">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91962368-5D4E-41F5-97D1-176E639297C0}" sourceName="City">
  <pivotTables>
    <pivotTable tabId="11" name="PivotTable2"/>
    <pivotTable tabId="11" name="PivotTable3"/>
  </pivotTables>
  <data>
    <tabular pivotCacheId="911600672">
      <items count="15">
        <i x="8" s="1"/>
        <i x="12" s="1"/>
        <i x="2" s="1"/>
        <i x="6" s="1"/>
        <i x="14" s="1"/>
        <i x="7" s="1"/>
        <i x="13" s="1"/>
        <i x="3" s="1"/>
        <i x="0" s="1"/>
        <i x="1" s="1"/>
        <i x="5" s="1"/>
        <i x="4" s="1"/>
        <i x="10" s="1"/>
        <i x="11"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EC55C8D-E21F-412D-B7EF-73C2510E9E4C}" sourceName="State">
  <pivotTables>
    <pivotTable tabId="11" name="PivotTable2"/>
    <pivotTable tabId="11" name="PivotTable3"/>
  </pivotTables>
  <data>
    <tabular pivotCacheId="911600672">
      <items count="5">
        <i x="3" s="1"/>
        <i x="4"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9B9BE8C-9BE3-4852-915E-2E0F3686547C}" sourceName="AGE">
  <pivotTables>
    <pivotTable tabId="9" name="PivotTable8"/>
    <pivotTable tabId="3" name="PivotTable1"/>
    <pivotTable tabId="8" name="PivotTable6"/>
    <pivotTable tabId="8" name="PivotTable7"/>
    <pivotTable tabId="11" name="PivotTable2"/>
    <pivotTable tabId="11" name="PivotTable3"/>
    <pivotTable tabId="4" name="PivotTable2"/>
    <pivotTable tabId="9" name="PivotTable9"/>
  </pivotTables>
  <data>
    <tabular pivotCacheId="911600672">
      <items count="6">
        <i x="1"/>
        <i x="2"/>
        <i x="3" s="1"/>
        <i x="4"/>
        <i x="0" nd="1"/>
        <i x="5"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D48BB1A-C6BE-430C-A92B-1BF15A46D409}" sourceName="Product">
  <pivotTables>
    <pivotTable tabId="20" name="PivotTable1"/>
  </pivotTables>
  <data>
    <tabular pivotCacheId="1334301260">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8EE3FE6-1698-4CA0-BEFF-B6E616C15016}" cache="Slicer_City" caption="City" showCaption="0" rowHeight="216000"/>
  <slicer name="Product" xr10:uid="{B8C5A2C2-675A-450D-A7B7-AF2B59B39737}" cache="Slicer_Product" caption="Product" columnCount="5" showCaption="0" rowHeight="241300"/>
  <slicer name="AGE" xr10:uid="{DF436C3D-EFC4-4C57-9824-7F1A7EB02CF8}" cache="Slicer_AGE" caption="A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7377B56-C8EB-4936-97F1-0DD336B1F27C}" cache="Slicer_City1" caption="City" rowHeight="241300"/>
  <slicer name="State" xr10:uid="{D78E0BDE-7C3D-424A-827E-79F4150C92AE}" cache="Slicer_State" caption="State" columnCount="5" showCaption="0"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5621057-0F85-47CC-82A6-A7F52EF5F5B8}" cache="Slicer_Product1" caption="Product"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BAE246-1874-45D6-AD36-02A10BC78EE5}" name="Sales" displayName="Sales" ref="A1:C17" totalsRowShown="0" headerRowDxfId="19" headerRowBorderDxfId="18" tableBorderDxfId="17" totalsRowBorderDxfId="16">
  <autoFilter ref="A1:C17" xr:uid="{EFBAE246-1874-45D6-AD36-02A10BC78EE5}"/>
  <tableColumns count="3">
    <tableColumn id="1" xr3:uid="{2E7E21C3-87D4-4820-8C58-23D9A427AB05}" name="Product ID" dataDxfId="15"/>
    <tableColumn id="2" xr3:uid="{EED66044-D603-4FD8-A9DD-53564EE2C2BA}" name="Quantity" dataDxfId="14"/>
    <tableColumn id="3" xr3:uid="{B1294FEC-613C-4BF5-8CAA-2AF02C263373}" name="Date"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757AC9-AFF6-4D4F-ACA0-380CA3979B80}" name="Product_info" displayName="Product_info" ref="H2:J7" totalsRowShown="0" headerRowDxfId="12" headerRowBorderDxfId="11" tableBorderDxfId="10" totalsRowBorderDxfId="9">
  <autoFilter ref="H2:J7" xr:uid="{23757AC9-AFF6-4D4F-ACA0-380CA3979B80}"/>
  <tableColumns count="3">
    <tableColumn id="1" xr3:uid="{8987B0FB-F6C6-4403-97D2-F7373A600296}" name="Product ID" dataDxfId="8"/>
    <tableColumn id="2" xr3:uid="{47C046C3-2C6D-48FA-BA98-8DCE739EDC35}" name="Fruit" dataDxfId="7"/>
    <tableColumn id="3" xr3:uid="{5D69AF5B-4713-4CDF-8C74-617A4B34D502}" name="Price"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91F933-7603-4F08-AD7F-4EA6CE096508}" name="Table4" displayName="Table4" ref="H2:I8" totalsRowShown="0">
  <autoFilter ref="H2:I8" xr:uid="{A391F933-7603-4F08-AD7F-4EA6CE096508}"/>
  <tableColumns count="2">
    <tableColumn id="1" xr3:uid="{1F43E695-24B7-437F-A4E3-8B61F8370B2C}" name="Salary"/>
    <tableColumn id="2" xr3:uid="{4277ED1D-453E-4684-903D-2779EC23F09D}" name="Emp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E12AE-4E1C-411D-9A98-1677E6B20656}">
  <sheetPr codeName="Sheet1"/>
  <dimension ref="A3:G181"/>
  <sheetViews>
    <sheetView workbookViewId="0">
      <selection activeCell="D7" sqref="D7"/>
    </sheetView>
  </sheetViews>
  <sheetFormatPr defaultRowHeight="14.5" x14ac:dyDescent="0.35"/>
  <cols>
    <col min="1" max="1" width="18.7265625" bestFit="1" customWidth="1"/>
    <col min="2" max="2" width="15.26953125" bestFit="1" customWidth="1"/>
    <col min="3" max="7" width="10.81640625" bestFit="1" customWidth="1"/>
  </cols>
  <sheetData>
    <row r="3" spans="1:7" x14ac:dyDescent="0.35">
      <c r="A3" s="2" t="s">
        <v>39</v>
      </c>
      <c r="B3" s="2" t="s">
        <v>38</v>
      </c>
    </row>
    <row r="4" spans="1:7" x14ac:dyDescent="0.35">
      <c r="A4" s="2" t="s">
        <v>36</v>
      </c>
      <c r="B4" t="s">
        <v>15</v>
      </c>
      <c r="C4" t="s">
        <v>27</v>
      </c>
      <c r="D4" t="s">
        <v>24</v>
      </c>
      <c r="E4" t="s">
        <v>18</v>
      </c>
      <c r="F4" t="s">
        <v>11</v>
      </c>
      <c r="G4" t="s">
        <v>37</v>
      </c>
    </row>
    <row r="5" spans="1:7" x14ac:dyDescent="0.35">
      <c r="A5" s="3">
        <v>44928</v>
      </c>
      <c r="B5">
        <v>0</v>
      </c>
      <c r="C5">
        <v>0</v>
      </c>
      <c r="D5">
        <v>0</v>
      </c>
      <c r="E5">
        <v>6038.12</v>
      </c>
      <c r="F5">
        <v>0</v>
      </c>
      <c r="G5">
        <v>6038.12</v>
      </c>
    </row>
    <row r="6" spans="1:7" x14ac:dyDescent="0.35">
      <c r="A6" s="3">
        <v>44929</v>
      </c>
      <c r="B6">
        <v>26789.88</v>
      </c>
      <c r="C6">
        <v>0</v>
      </c>
      <c r="D6">
        <v>0</v>
      </c>
      <c r="E6">
        <v>0</v>
      </c>
      <c r="F6">
        <v>0</v>
      </c>
      <c r="G6">
        <v>26789.88</v>
      </c>
    </row>
    <row r="7" spans="1:7" x14ac:dyDescent="0.35">
      <c r="A7" s="3">
        <v>44931</v>
      </c>
      <c r="B7">
        <v>7722.1</v>
      </c>
      <c r="C7">
        <v>0</v>
      </c>
      <c r="D7">
        <v>0</v>
      </c>
      <c r="E7">
        <v>0</v>
      </c>
      <c r="F7">
        <v>0</v>
      </c>
      <c r="G7">
        <v>7722.1</v>
      </c>
    </row>
    <row r="8" spans="1:7" x14ac:dyDescent="0.35">
      <c r="A8" s="3">
        <v>44932</v>
      </c>
      <c r="B8">
        <v>0</v>
      </c>
      <c r="C8">
        <v>0</v>
      </c>
      <c r="D8">
        <v>0</v>
      </c>
      <c r="E8">
        <v>0</v>
      </c>
      <c r="F8">
        <v>31203.360000000001</v>
      </c>
      <c r="G8">
        <v>31203.360000000001</v>
      </c>
    </row>
    <row r="9" spans="1:7" x14ac:dyDescent="0.35">
      <c r="A9" s="3">
        <v>44934</v>
      </c>
      <c r="B9">
        <v>0</v>
      </c>
      <c r="C9">
        <v>0</v>
      </c>
      <c r="D9">
        <v>0</v>
      </c>
      <c r="E9">
        <v>0</v>
      </c>
      <c r="F9">
        <v>143617.66999999998</v>
      </c>
      <c r="G9">
        <v>143617.66999999998</v>
      </c>
    </row>
    <row r="10" spans="1:7" x14ac:dyDescent="0.35">
      <c r="A10" s="3">
        <v>44935</v>
      </c>
      <c r="B10">
        <v>0</v>
      </c>
      <c r="C10">
        <v>0</v>
      </c>
      <c r="D10">
        <v>0</v>
      </c>
      <c r="E10">
        <v>0</v>
      </c>
      <c r="F10">
        <v>31557.96</v>
      </c>
      <c r="G10">
        <v>31557.96</v>
      </c>
    </row>
    <row r="11" spans="1:7" x14ac:dyDescent="0.35">
      <c r="A11" s="3">
        <v>44936</v>
      </c>
      <c r="B11">
        <v>0</v>
      </c>
      <c r="C11">
        <v>0</v>
      </c>
      <c r="D11">
        <v>0</v>
      </c>
      <c r="E11">
        <v>33174.559999999998</v>
      </c>
      <c r="F11">
        <v>0</v>
      </c>
      <c r="G11">
        <v>33174.559999999998</v>
      </c>
    </row>
    <row r="12" spans="1:7" x14ac:dyDescent="0.35">
      <c r="A12" s="3">
        <v>44939</v>
      </c>
      <c r="B12">
        <v>0</v>
      </c>
      <c r="C12">
        <v>0</v>
      </c>
      <c r="D12">
        <v>0</v>
      </c>
      <c r="E12">
        <v>0</v>
      </c>
      <c r="F12">
        <v>84985.919999999998</v>
      </c>
      <c r="G12">
        <v>84985.919999999998</v>
      </c>
    </row>
    <row r="13" spans="1:7" x14ac:dyDescent="0.35">
      <c r="A13" s="3">
        <v>44942</v>
      </c>
      <c r="B13">
        <v>32616.75</v>
      </c>
      <c r="C13">
        <v>0</v>
      </c>
      <c r="D13">
        <v>154092.48000000001</v>
      </c>
      <c r="E13">
        <v>0</v>
      </c>
      <c r="F13">
        <v>0</v>
      </c>
      <c r="G13">
        <v>186709.23</v>
      </c>
    </row>
    <row r="14" spans="1:7" x14ac:dyDescent="0.35">
      <c r="A14" s="3">
        <v>44943</v>
      </c>
      <c r="B14">
        <v>58813.72</v>
      </c>
      <c r="C14">
        <v>0</v>
      </c>
      <c r="D14">
        <v>0</v>
      </c>
      <c r="E14">
        <v>0</v>
      </c>
      <c r="F14">
        <v>0</v>
      </c>
      <c r="G14">
        <v>58813.72</v>
      </c>
    </row>
    <row r="15" spans="1:7" x14ac:dyDescent="0.35">
      <c r="A15" s="3">
        <v>44945</v>
      </c>
      <c r="B15">
        <v>0</v>
      </c>
      <c r="C15">
        <v>16152.32</v>
      </c>
      <c r="D15">
        <v>0</v>
      </c>
      <c r="E15">
        <v>0</v>
      </c>
      <c r="F15">
        <v>0</v>
      </c>
      <c r="G15">
        <v>16152.32</v>
      </c>
    </row>
    <row r="16" spans="1:7" x14ac:dyDescent="0.35">
      <c r="A16" s="3">
        <v>44946</v>
      </c>
      <c r="B16">
        <v>0</v>
      </c>
      <c r="C16">
        <v>0</v>
      </c>
      <c r="D16">
        <v>21100.66</v>
      </c>
      <c r="E16">
        <v>0</v>
      </c>
      <c r="F16">
        <v>65617.399999999994</v>
      </c>
      <c r="G16">
        <v>86718.06</v>
      </c>
    </row>
    <row r="17" spans="1:7" x14ac:dyDescent="0.35">
      <c r="A17" s="3">
        <v>44947</v>
      </c>
      <c r="B17">
        <v>0</v>
      </c>
      <c r="C17">
        <v>0</v>
      </c>
      <c r="D17">
        <v>0</v>
      </c>
      <c r="E17">
        <v>0</v>
      </c>
      <c r="F17">
        <v>20819.68</v>
      </c>
      <c r="G17">
        <v>20819.68</v>
      </c>
    </row>
    <row r="18" spans="1:7" x14ac:dyDescent="0.35">
      <c r="A18" s="3">
        <v>44950</v>
      </c>
      <c r="B18">
        <v>0</v>
      </c>
      <c r="C18">
        <v>0</v>
      </c>
      <c r="D18">
        <v>0</v>
      </c>
      <c r="E18">
        <v>4469.1000000000004</v>
      </c>
      <c r="F18">
        <v>0</v>
      </c>
      <c r="G18">
        <v>4469.1000000000004</v>
      </c>
    </row>
    <row r="19" spans="1:7" x14ac:dyDescent="0.35">
      <c r="A19" s="3">
        <v>44953</v>
      </c>
      <c r="B19">
        <v>0</v>
      </c>
      <c r="C19">
        <v>0</v>
      </c>
      <c r="D19">
        <v>27858.15</v>
      </c>
      <c r="E19">
        <v>0</v>
      </c>
      <c r="F19">
        <v>0</v>
      </c>
      <c r="G19">
        <v>27858.15</v>
      </c>
    </row>
    <row r="20" spans="1:7" x14ac:dyDescent="0.35">
      <c r="A20" s="3">
        <v>44955</v>
      </c>
      <c r="B20">
        <v>0</v>
      </c>
      <c r="C20">
        <v>24770.19</v>
      </c>
      <c r="D20">
        <v>0</v>
      </c>
      <c r="E20">
        <v>0</v>
      </c>
      <c r="F20">
        <v>0</v>
      </c>
      <c r="G20">
        <v>24770.19</v>
      </c>
    </row>
    <row r="21" spans="1:7" x14ac:dyDescent="0.35">
      <c r="A21" s="3">
        <v>44956</v>
      </c>
      <c r="B21">
        <v>14035.14</v>
      </c>
      <c r="C21">
        <v>0</v>
      </c>
      <c r="D21">
        <v>0</v>
      </c>
      <c r="E21">
        <v>0</v>
      </c>
      <c r="F21">
        <v>0</v>
      </c>
      <c r="G21">
        <v>14035.14</v>
      </c>
    </row>
    <row r="22" spans="1:7" x14ac:dyDescent="0.35">
      <c r="A22" s="3">
        <v>44957</v>
      </c>
      <c r="B22">
        <v>0</v>
      </c>
      <c r="C22">
        <v>49062.15</v>
      </c>
      <c r="D22">
        <v>0</v>
      </c>
      <c r="E22">
        <v>0</v>
      </c>
      <c r="F22">
        <v>0</v>
      </c>
      <c r="G22">
        <v>49062.15</v>
      </c>
    </row>
    <row r="23" spans="1:7" x14ac:dyDescent="0.35">
      <c r="A23" s="3">
        <v>44961</v>
      </c>
      <c r="B23">
        <v>0</v>
      </c>
      <c r="C23">
        <v>74548.89</v>
      </c>
      <c r="D23">
        <v>0</v>
      </c>
      <c r="E23">
        <v>0</v>
      </c>
      <c r="F23">
        <v>0</v>
      </c>
      <c r="G23">
        <v>74548.89</v>
      </c>
    </row>
    <row r="24" spans="1:7" x14ac:dyDescent="0.35">
      <c r="A24" s="3">
        <v>44966</v>
      </c>
      <c r="B24">
        <v>0</v>
      </c>
      <c r="C24">
        <v>0</v>
      </c>
      <c r="D24">
        <v>0</v>
      </c>
      <c r="E24">
        <v>3964.37</v>
      </c>
      <c r="F24">
        <v>0</v>
      </c>
      <c r="G24">
        <v>3964.37</v>
      </c>
    </row>
    <row r="25" spans="1:7" x14ac:dyDescent="0.35">
      <c r="A25" s="3">
        <v>44968</v>
      </c>
      <c r="B25">
        <v>0</v>
      </c>
      <c r="C25">
        <v>0</v>
      </c>
      <c r="D25">
        <v>0</v>
      </c>
      <c r="E25">
        <v>0</v>
      </c>
      <c r="F25">
        <v>12677.4</v>
      </c>
      <c r="G25">
        <v>12677.4</v>
      </c>
    </row>
    <row r="26" spans="1:7" x14ac:dyDescent="0.35">
      <c r="A26" s="3">
        <v>44969</v>
      </c>
      <c r="B26">
        <v>0</v>
      </c>
      <c r="C26">
        <v>0</v>
      </c>
      <c r="D26">
        <v>0</v>
      </c>
      <c r="E26">
        <v>54725.04</v>
      </c>
      <c r="F26">
        <v>0</v>
      </c>
      <c r="G26">
        <v>54725.04</v>
      </c>
    </row>
    <row r="27" spans="1:7" x14ac:dyDescent="0.35">
      <c r="A27" s="3">
        <v>44973</v>
      </c>
      <c r="B27">
        <v>0</v>
      </c>
      <c r="C27">
        <v>0</v>
      </c>
      <c r="D27">
        <v>0</v>
      </c>
      <c r="E27">
        <v>8119.22</v>
      </c>
      <c r="F27">
        <v>0</v>
      </c>
      <c r="G27">
        <v>8119.22</v>
      </c>
    </row>
    <row r="28" spans="1:7" x14ac:dyDescent="0.35">
      <c r="A28" s="3">
        <v>44974</v>
      </c>
      <c r="B28">
        <v>0</v>
      </c>
      <c r="C28">
        <v>0</v>
      </c>
      <c r="D28">
        <v>0</v>
      </c>
      <c r="E28">
        <v>5972.16</v>
      </c>
      <c r="F28">
        <v>0</v>
      </c>
      <c r="G28">
        <v>5972.16</v>
      </c>
    </row>
    <row r="29" spans="1:7" x14ac:dyDescent="0.35">
      <c r="A29" s="3">
        <v>44978</v>
      </c>
      <c r="B29">
        <v>0</v>
      </c>
      <c r="C29">
        <v>0</v>
      </c>
      <c r="D29">
        <v>7327.16</v>
      </c>
      <c r="E29">
        <v>25317.66</v>
      </c>
      <c r="F29">
        <v>0</v>
      </c>
      <c r="G29">
        <v>32644.82</v>
      </c>
    </row>
    <row r="30" spans="1:7" x14ac:dyDescent="0.35">
      <c r="A30" s="3">
        <v>44985</v>
      </c>
      <c r="B30">
        <v>0</v>
      </c>
      <c r="C30">
        <v>0</v>
      </c>
      <c r="D30">
        <v>0</v>
      </c>
      <c r="E30">
        <v>4320.6400000000003</v>
      </c>
      <c r="F30">
        <v>145756.34</v>
      </c>
      <c r="G30">
        <v>150076.98000000001</v>
      </c>
    </row>
    <row r="31" spans="1:7" x14ac:dyDescent="0.35">
      <c r="A31" s="3">
        <v>44986</v>
      </c>
      <c r="B31">
        <v>0</v>
      </c>
      <c r="C31">
        <v>28054.41</v>
      </c>
      <c r="D31">
        <v>0</v>
      </c>
      <c r="E31">
        <v>0</v>
      </c>
      <c r="F31">
        <v>0</v>
      </c>
      <c r="G31">
        <v>28054.41</v>
      </c>
    </row>
    <row r="32" spans="1:7" x14ac:dyDescent="0.35">
      <c r="A32" s="3">
        <v>44987</v>
      </c>
      <c r="B32">
        <v>49720.24</v>
      </c>
      <c r="C32">
        <v>0</v>
      </c>
      <c r="D32">
        <v>0</v>
      </c>
      <c r="E32">
        <v>22785.56</v>
      </c>
      <c r="F32">
        <v>0</v>
      </c>
      <c r="G32">
        <v>72505.8</v>
      </c>
    </row>
    <row r="33" spans="1:7" x14ac:dyDescent="0.35">
      <c r="A33" s="3">
        <v>44989</v>
      </c>
      <c r="B33">
        <v>12087.8</v>
      </c>
      <c r="C33">
        <v>35010.17</v>
      </c>
      <c r="D33">
        <v>0</v>
      </c>
      <c r="E33">
        <v>0</v>
      </c>
      <c r="F33">
        <v>0</v>
      </c>
      <c r="G33">
        <v>47097.97</v>
      </c>
    </row>
    <row r="34" spans="1:7" x14ac:dyDescent="0.35">
      <c r="A34" s="3">
        <v>44991</v>
      </c>
      <c r="B34">
        <v>0</v>
      </c>
      <c r="C34">
        <v>0</v>
      </c>
      <c r="D34">
        <v>14664.42</v>
      </c>
      <c r="E34">
        <v>0</v>
      </c>
      <c r="F34">
        <v>0</v>
      </c>
      <c r="G34">
        <v>14664.42</v>
      </c>
    </row>
    <row r="35" spans="1:7" x14ac:dyDescent="0.35">
      <c r="A35" s="3">
        <v>44993</v>
      </c>
      <c r="B35">
        <v>7651</v>
      </c>
      <c r="C35">
        <v>88213.96</v>
      </c>
      <c r="D35">
        <v>0</v>
      </c>
      <c r="E35">
        <v>62899.66</v>
      </c>
      <c r="F35">
        <v>0</v>
      </c>
      <c r="G35">
        <v>158764.62</v>
      </c>
    </row>
    <row r="36" spans="1:7" x14ac:dyDescent="0.35">
      <c r="A36" s="3">
        <v>44994</v>
      </c>
      <c r="B36">
        <v>0</v>
      </c>
      <c r="C36">
        <v>4725.5600000000004</v>
      </c>
      <c r="D36">
        <v>0</v>
      </c>
      <c r="E36">
        <v>10506.09</v>
      </c>
      <c r="F36">
        <v>0</v>
      </c>
      <c r="G36">
        <v>15231.650000000001</v>
      </c>
    </row>
    <row r="37" spans="1:7" x14ac:dyDescent="0.35">
      <c r="A37" s="3">
        <v>44996</v>
      </c>
      <c r="B37">
        <v>18664.099999999999</v>
      </c>
      <c r="C37">
        <v>0</v>
      </c>
      <c r="D37">
        <v>0</v>
      </c>
      <c r="E37">
        <v>12919.05</v>
      </c>
      <c r="F37">
        <v>0</v>
      </c>
      <c r="G37">
        <v>31583.149999999998</v>
      </c>
    </row>
    <row r="38" spans="1:7" x14ac:dyDescent="0.35">
      <c r="A38" s="3">
        <v>44999</v>
      </c>
      <c r="B38">
        <v>0</v>
      </c>
      <c r="C38">
        <v>0</v>
      </c>
      <c r="D38">
        <v>0</v>
      </c>
      <c r="E38">
        <v>0</v>
      </c>
      <c r="F38">
        <v>61398.400000000001</v>
      </c>
      <c r="G38">
        <v>61398.400000000001</v>
      </c>
    </row>
    <row r="39" spans="1:7" x14ac:dyDescent="0.35">
      <c r="A39" s="3">
        <v>45002</v>
      </c>
      <c r="B39">
        <v>0</v>
      </c>
      <c r="C39">
        <v>0</v>
      </c>
      <c r="D39">
        <v>0</v>
      </c>
      <c r="E39">
        <v>0</v>
      </c>
      <c r="F39">
        <v>12423.18</v>
      </c>
      <c r="G39">
        <v>12423.18</v>
      </c>
    </row>
    <row r="40" spans="1:7" x14ac:dyDescent="0.35">
      <c r="A40" s="3">
        <v>45003</v>
      </c>
      <c r="B40">
        <v>13999.84</v>
      </c>
      <c r="C40">
        <v>0</v>
      </c>
      <c r="D40">
        <v>0</v>
      </c>
      <c r="E40">
        <v>0</v>
      </c>
      <c r="F40">
        <v>0</v>
      </c>
      <c r="G40">
        <v>13999.84</v>
      </c>
    </row>
    <row r="41" spans="1:7" x14ac:dyDescent="0.35">
      <c r="A41" s="3">
        <v>45012</v>
      </c>
      <c r="B41">
        <v>29366.46</v>
      </c>
      <c r="C41">
        <v>0</v>
      </c>
      <c r="D41">
        <v>0</v>
      </c>
      <c r="E41">
        <v>0</v>
      </c>
      <c r="F41">
        <v>15003.54</v>
      </c>
      <c r="G41">
        <v>44370</v>
      </c>
    </row>
    <row r="42" spans="1:7" x14ac:dyDescent="0.35">
      <c r="A42" s="3">
        <v>45013</v>
      </c>
      <c r="B42">
        <v>47180.3</v>
      </c>
      <c r="C42">
        <v>0</v>
      </c>
      <c r="D42">
        <v>0</v>
      </c>
      <c r="E42">
        <v>0</v>
      </c>
      <c r="F42">
        <v>0</v>
      </c>
      <c r="G42">
        <v>47180.3</v>
      </c>
    </row>
    <row r="43" spans="1:7" x14ac:dyDescent="0.35">
      <c r="A43" s="3">
        <v>45015</v>
      </c>
      <c r="B43">
        <v>0</v>
      </c>
      <c r="C43">
        <v>45298.54</v>
      </c>
      <c r="D43">
        <v>0</v>
      </c>
      <c r="E43">
        <v>0</v>
      </c>
      <c r="F43">
        <v>0</v>
      </c>
      <c r="G43">
        <v>45298.54</v>
      </c>
    </row>
    <row r="44" spans="1:7" x14ac:dyDescent="0.35">
      <c r="A44" s="3">
        <v>45016</v>
      </c>
      <c r="B44">
        <v>76758.570000000007</v>
      </c>
      <c r="C44">
        <v>0</v>
      </c>
      <c r="D44">
        <v>0</v>
      </c>
      <c r="E44">
        <v>1889.5</v>
      </c>
      <c r="F44">
        <v>0</v>
      </c>
      <c r="G44">
        <v>78648.070000000007</v>
      </c>
    </row>
    <row r="45" spans="1:7" x14ac:dyDescent="0.35">
      <c r="A45" s="3">
        <v>45018</v>
      </c>
      <c r="B45">
        <v>0</v>
      </c>
      <c r="C45">
        <v>0</v>
      </c>
      <c r="D45">
        <v>0</v>
      </c>
      <c r="E45">
        <v>12117.2</v>
      </c>
      <c r="F45">
        <v>0</v>
      </c>
      <c r="G45">
        <v>12117.2</v>
      </c>
    </row>
    <row r="46" spans="1:7" x14ac:dyDescent="0.35">
      <c r="A46" s="3">
        <v>45019</v>
      </c>
      <c r="B46">
        <v>0</v>
      </c>
      <c r="C46">
        <v>0</v>
      </c>
      <c r="D46">
        <v>0</v>
      </c>
      <c r="E46">
        <v>20800.2</v>
      </c>
      <c r="F46">
        <v>0</v>
      </c>
      <c r="G46">
        <v>20800.2</v>
      </c>
    </row>
    <row r="47" spans="1:7" x14ac:dyDescent="0.35">
      <c r="A47" s="3">
        <v>45021</v>
      </c>
      <c r="B47">
        <v>0</v>
      </c>
      <c r="C47">
        <v>0</v>
      </c>
      <c r="D47">
        <v>6339.51</v>
      </c>
      <c r="E47">
        <v>0</v>
      </c>
      <c r="F47">
        <v>0</v>
      </c>
      <c r="G47">
        <v>6339.51</v>
      </c>
    </row>
    <row r="48" spans="1:7" x14ac:dyDescent="0.35">
      <c r="A48" s="3">
        <v>45023</v>
      </c>
      <c r="B48">
        <v>0</v>
      </c>
      <c r="C48">
        <v>0</v>
      </c>
      <c r="D48">
        <v>0</v>
      </c>
      <c r="E48">
        <v>0</v>
      </c>
      <c r="F48">
        <v>54974.94</v>
      </c>
      <c r="G48">
        <v>54974.94</v>
      </c>
    </row>
    <row r="49" spans="1:7" x14ac:dyDescent="0.35">
      <c r="A49" s="3">
        <v>45025</v>
      </c>
      <c r="B49">
        <v>0</v>
      </c>
      <c r="C49">
        <v>0</v>
      </c>
      <c r="D49">
        <v>0</v>
      </c>
      <c r="E49">
        <v>0</v>
      </c>
      <c r="F49">
        <v>15748.64</v>
      </c>
      <c r="G49">
        <v>15748.64</v>
      </c>
    </row>
    <row r="50" spans="1:7" x14ac:dyDescent="0.35">
      <c r="A50" s="3">
        <v>45026</v>
      </c>
      <c r="B50">
        <v>0</v>
      </c>
      <c r="C50">
        <v>0</v>
      </c>
      <c r="D50">
        <v>0</v>
      </c>
      <c r="E50">
        <v>31792.81</v>
      </c>
      <c r="F50">
        <v>0</v>
      </c>
      <c r="G50">
        <v>31792.81</v>
      </c>
    </row>
    <row r="51" spans="1:7" x14ac:dyDescent="0.35">
      <c r="A51" s="3">
        <v>45028</v>
      </c>
      <c r="B51">
        <v>0</v>
      </c>
      <c r="C51">
        <v>0</v>
      </c>
      <c r="D51">
        <v>0</v>
      </c>
      <c r="E51">
        <v>4986.12</v>
      </c>
      <c r="F51">
        <v>0</v>
      </c>
      <c r="G51">
        <v>4986.12</v>
      </c>
    </row>
    <row r="52" spans="1:7" x14ac:dyDescent="0.35">
      <c r="A52" s="3">
        <v>45030</v>
      </c>
      <c r="B52">
        <v>0</v>
      </c>
      <c r="C52">
        <v>0</v>
      </c>
      <c r="D52">
        <v>38828.699999999997</v>
      </c>
      <c r="E52">
        <v>0</v>
      </c>
      <c r="F52">
        <v>0</v>
      </c>
      <c r="G52">
        <v>38828.699999999997</v>
      </c>
    </row>
    <row r="53" spans="1:7" x14ac:dyDescent="0.35">
      <c r="A53" s="3">
        <v>45031</v>
      </c>
      <c r="B53">
        <v>0</v>
      </c>
      <c r="C53">
        <v>0</v>
      </c>
      <c r="D53">
        <v>19066.580000000002</v>
      </c>
      <c r="E53">
        <v>0</v>
      </c>
      <c r="F53">
        <v>0</v>
      </c>
      <c r="G53">
        <v>19066.580000000002</v>
      </c>
    </row>
    <row r="54" spans="1:7" x14ac:dyDescent="0.35">
      <c r="A54" s="3">
        <v>45033</v>
      </c>
      <c r="B54">
        <v>12914.59</v>
      </c>
      <c r="C54">
        <v>0</v>
      </c>
      <c r="D54">
        <v>0</v>
      </c>
      <c r="E54">
        <v>0</v>
      </c>
      <c r="F54">
        <v>0</v>
      </c>
      <c r="G54">
        <v>12914.59</v>
      </c>
    </row>
    <row r="55" spans="1:7" x14ac:dyDescent="0.35">
      <c r="A55" s="3">
        <v>45038</v>
      </c>
      <c r="B55">
        <v>0</v>
      </c>
      <c r="C55">
        <v>7830.2</v>
      </c>
      <c r="D55">
        <v>0</v>
      </c>
      <c r="E55">
        <v>0</v>
      </c>
      <c r="F55">
        <v>0</v>
      </c>
      <c r="G55">
        <v>7830.2</v>
      </c>
    </row>
    <row r="56" spans="1:7" x14ac:dyDescent="0.35">
      <c r="A56" s="3">
        <v>45039</v>
      </c>
      <c r="B56">
        <v>0</v>
      </c>
      <c r="C56">
        <v>0</v>
      </c>
      <c r="D56">
        <v>0</v>
      </c>
      <c r="E56">
        <v>0</v>
      </c>
      <c r="F56">
        <v>49285.2</v>
      </c>
      <c r="G56">
        <v>49285.2</v>
      </c>
    </row>
    <row r="57" spans="1:7" x14ac:dyDescent="0.35">
      <c r="A57" s="3">
        <v>45040</v>
      </c>
      <c r="B57">
        <v>0</v>
      </c>
      <c r="C57">
        <v>0</v>
      </c>
      <c r="D57">
        <v>13335.98</v>
      </c>
      <c r="E57">
        <v>0</v>
      </c>
      <c r="F57">
        <v>0</v>
      </c>
      <c r="G57">
        <v>13335.98</v>
      </c>
    </row>
    <row r="58" spans="1:7" x14ac:dyDescent="0.35">
      <c r="A58" s="3">
        <v>45041</v>
      </c>
      <c r="B58">
        <v>0</v>
      </c>
      <c r="C58">
        <v>0</v>
      </c>
      <c r="D58">
        <v>0</v>
      </c>
      <c r="E58">
        <v>0</v>
      </c>
      <c r="F58">
        <v>69094.759999999995</v>
      </c>
      <c r="G58">
        <v>69094.759999999995</v>
      </c>
    </row>
    <row r="59" spans="1:7" x14ac:dyDescent="0.35">
      <c r="A59" s="3">
        <v>45043</v>
      </c>
      <c r="B59">
        <v>0</v>
      </c>
      <c r="C59">
        <v>0</v>
      </c>
      <c r="D59">
        <v>0</v>
      </c>
      <c r="E59">
        <v>0</v>
      </c>
      <c r="F59">
        <v>20811.060000000001</v>
      </c>
      <c r="G59">
        <v>20811.060000000001</v>
      </c>
    </row>
    <row r="60" spans="1:7" x14ac:dyDescent="0.35">
      <c r="A60" s="3">
        <v>45049</v>
      </c>
      <c r="B60">
        <v>78611.360000000001</v>
      </c>
      <c r="C60">
        <v>0</v>
      </c>
      <c r="D60">
        <v>0</v>
      </c>
      <c r="E60">
        <v>0</v>
      </c>
      <c r="F60">
        <v>0</v>
      </c>
      <c r="G60">
        <v>78611.360000000001</v>
      </c>
    </row>
    <row r="61" spans="1:7" x14ac:dyDescent="0.35">
      <c r="A61" s="3">
        <v>45051</v>
      </c>
      <c r="B61">
        <v>0</v>
      </c>
      <c r="C61">
        <v>0</v>
      </c>
      <c r="D61">
        <v>85401.600000000006</v>
      </c>
      <c r="E61">
        <v>0</v>
      </c>
      <c r="F61">
        <v>0</v>
      </c>
      <c r="G61">
        <v>85401.600000000006</v>
      </c>
    </row>
    <row r="62" spans="1:7" x14ac:dyDescent="0.35">
      <c r="A62" s="3">
        <v>45052</v>
      </c>
      <c r="B62">
        <v>1219.0999999999999</v>
      </c>
      <c r="C62">
        <v>0</v>
      </c>
      <c r="D62">
        <v>0</v>
      </c>
      <c r="E62">
        <v>0</v>
      </c>
      <c r="F62">
        <v>0</v>
      </c>
      <c r="G62">
        <v>1219.0999999999999</v>
      </c>
    </row>
    <row r="63" spans="1:7" x14ac:dyDescent="0.35">
      <c r="A63" s="3">
        <v>45056</v>
      </c>
      <c r="B63">
        <v>54168</v>
      </c>
      <c r="C63">
        <v>0</v>
      </c>
      <c r="D63">
        <v>0</v>
      </c>
      <c r="E63">
        <v>0</v>
      </c>
      <c r="F63">
        <v>0</v>
      </c>
      <c r="G63">
        <v>54168</v>
      </c>
    </row>
    <row r="64" spans="1:7" x14ac:dyDescent="0.35">
      <c r="A64" s="3">
        <v>45061</v>
      </c>
      <c r="B64">
        <v>0</v>
      </c>
      <c r="C64">
        <v>5208.32</v>
      </c>
      <c r="D64">
        <v>0</v>
      </c>
      <c r="E64">
        <v>0</v>
      </c>
      <c r="F64">
        <v>0</v>
      </c>
      <c r="G64">
        <v>5208.32</v>
      </c>
    </row>
    <row r="65" spans="1:7" x14ac:dyDescent="0.35">
      <c r="A65" s="3">
        <v>45064</v>
      </c>
      <c r="B65">
        <v>0</v>
      </c>
      <c r="C65">
        <v>0</v>
      </c>
      <c r="D65">
        <v>0</v>
      </c>
      <c r="E65">
        <v>4805.1400000000003</v>
      </c>
      <c r="F65">
        <v>0</v>
      </c>
      <c r="G65">
        <v>4805.1400000000003</v>
      </c>
    </row>
    <row r="66" spans="1:7" x14ac:dyDescent="0.35">
      <c r="A66" s="3">
        <v>45065</v>
      </c>
      <c r="B66">
        <v>0</v>
      </c>
      <c r="C66">
        <v>53000.22</v>
      </c>
      <c r="D66">
        <v>0</v>
      </c>
      <c r="E66">
        <v>0</v>
      </c>
      <c r="F66">
        <v>0</v>
      </c>
      <c r="G66">
        <v>53000.22</v>
      </c>
    </row>
    <row r="67" spans="1:7" x14ac:dyDescent="0.35">
      <c r="A67" s="3">
        <v>45066</v>
      </c>
      <c r="B67">
        <v>0</v>
      </c>
      <c r="C67">
        <v>0</v>
      </c>
      <c r="D67">
        <v>0</v>
      </c>
      <c r="E67">
        <v>0</v>
      </c>
      <c r="F67">
        <v>44503.68</v>
      </c>
      <c r="G67">
        <v>44503.68</v>
      </c>
    </row>
    <row r="68" spans="1:7" x14ac:dyDescent="0.35">
      <c r="A68" s="3">
        <v>45069</v>
      </c>
      <c r="B68">
        <v>0</v>
      </c>
      <c r="C68">
        <v>0</v>
      </c>
      <c r="D68">
        <v>0</v>
      </c>
      <c r="E68">
        <v>11278.08</v>
      </c>
      <c r="F68">
        <v>0</v>
      </c>
      <c r="G68">
        <v>11278.08</v>
      </c>
    </row>
    <row r="69" spans="1:7" x14ac:dyDescent="0.35">
      <c r="A69" s="3">
        <v>45070</v>
      </c>
      <c r="B69">
        <v>0</v>
      </c>
      <c r="C69">
        <v>4080.92</v>
      </c>
      <c r="D69">
        <v>55432.479999999996</v>
      </c>
      <c r="E69">
        <v>0</v>
      </c>
      <c r="F69">
        <v>0</v>
      </c>
      <c r="G69">
        <v>59513.399999999994</v>
      </c>
    </row>
    <row r="70" spans="1:7" x14ac:dyDescent="0.35">
      <c r="A70" s="3">
        <v>45071</v>
      </c>
      <c r="B70">
        <v>0</v>
      </c>
      <c r="C70">
        <v>0</v>
      </c>
      <c r="D70">
        <v>0</v>
      </c>
      <c r="E70">
        <v>0</v>
      </c>
      <c r="F70">
        <v>52311.56</v>
      </c>
      <c r="G70">
        <v>52311.56</v>
      </c>
    </row>
    <row r="71" spans="1:7" x14ac:dyDescent="0.35">
      <c r="A71" s="3">
        <v>45072</v>
      </c>
      <c r="B71">
        <v>0</v>
      </c>
      <c r="C71">
        <v>0</v>
      </c>
      <c r="D71">
        <v>0</v>
      </c>
      <c r="E71">
        <v>35706.720000000001</v>
      </c>
      <c r="F71">
        <v>0</v>
      </c>
      <c r="G71">
        <v>35706.720000000001</v>
      </c>
    </row>
    <row r="72" spans="1:7" x14ac:dyDescent="0.35">
      <c r="A72" s="3">
        <v>45074</v>
      </c>
      <c r="B72">
        <v>0</v>
      </c>
      <c r="C72">
        <v>0</v>
      </c>
      <c r="D72">
        <v>8038.8</v>
      </c>
      <c r="E72">
        <v>4388.1000000000004</v>
      </c>
      <c r="F72">
        <v>0</v>
      </c>
      <c r="G72">
        <v>12426.900000000001</v>
      </c>
    </row>
    <row r="73" spans="1:7" x14ac:dyDescent="0.35">
      <c r="A73" s="3">
        <v>45076</v>
      </c>
      <c r="B73">
        <v>0</v>
      </c>
      <c r="C73">
        <v>0</v>
      </c>
      <c r="D73">
        <v>0</v>
      </c>
      <c r="E73">
        <v>0</v>
      </c>
      <c r="F73">
        <v>2664.84</v>
      </c>
      <c r="G73">
        <v>2664.84</v>
      </c>
    </row>
    <row r="74" spans="1:7" x14ac:dyDescent="0.35">
      <c r="A74" s="3">
        <v>45078</v>
      </c>
      <c r="B74">
        <v>45423.48</v>
      </c>
      <c r="C74">
        <v>0</v>
      </c>
      <c r="D74">
        <v>0</v>
      </c>
      <c r="E74">
        <v>38802</v>
      </c>
      <c r="F74">
        <v>0</v>
      </c>
      <c r="G74">
        <v>84225.48000000001</v>
      </c>
    </row>
    <row r="75" spans="1:7" x14ac:dyDescent="0.35">
      <c r="A75" s="3">
        <v>45080</v>
      </c>
      <c r="B75">
        <v>58285.5</v>
      </c>
      <c r="C75">
        <v>0</v>
      </c>
      <c r="D75">
        <v>0</v>
      </c>
      <c r="E75">
        <v>0</v>
      </c>
      <c r="F75">
        <v>0</v>
      </c>
      <c r="G75">
        <v>58285.5</v>
      </c>
    </row>
    <row r="76" spans="1:7" x14ac:dyDescent="0.35">
      <c r="A76" s="3">
        <v>45081</v>
      </c>
      <c r="B76">
        <v>18734.32</v>
      </c>
      <c r="C76">
        <v>0</v>
      </c>
      <c r="D76">
        <v>0</v>
      </c>
      <c r="E76">
        <v>0</v>
      </c>
      <c r="F76">
        <v>0</v>
      </c>
      <c r="G76">
        <v>18734.32</v>
      </c>
    </row>
    <row r="77" spans="1:7" x14ac:dyDescent="0.35">
      <c r="A77" s="3">
        <v>45082</v>
      </c>
      <c r="B77">
        <v>0</v>
      </c>
      <c r="C77">
        <v>1591.88</v>
      </c>
      <c r="D77">
        <v>0</v>
      </c>
      <c r="E77">
        <v>0</v>
      </c>
      <c r="F77">
        <v>0</v>
      </c>
      <c r="G77">
        <v>1591.88</v>
      </c>
    </row>
    <row r="78" spans="1:7" x14ac:dyDescent="0.35">
      <c r="A78" s="3">
        <v>45084</v>
      </c>
      <c r="B78">
        <v>11152.18</v>
      </c>
      <c r="C78">
        <v>0</v>
      </c>
      <c r="D78">
        <v>0</v>
      </c>
      <c r="E78">
        <v>0</v>
      </c>
      <c r="F78">
        <v>0</v>
      </c>
      <c r="G78">
        <v>11152.18</v>
      </c>
    </row>
    <row r="79" spans="1:7" x14ac:dyDescent="0.35">
      <c r="A79" s="3">
        <v>45089</v>
      </c>
      <c r="B79">
        <v>0</v>
      </c>
      <c r="C79">
        <v>0</v>
      </c>
      <c r="D79">
        <v>0</v>
      </c>
      <c r="E79">
        <v>0</v>
      </c>
      <c r="F79">
        <v>9327.5400000000009</v>
      </c>
      <c r="G79">
        <v>9327.5400000000009</v>
      </c>
    </row>
    <row r="80" spans="1:7" x14ac:dyDescent="0.35">
      <c r="A80" s="3">
        <v>45091</v>
      </c>
      <c r="B80">
        <v>0</v>
      </c>
      <c r="C80">
        <v>0</v>
      </c>
      <c r="D80">
        <v>75063</v>
      </c>
      <c r="E80">
        <v>0</v>
      </c>
      <c r="F80">
        <v>0</v>
      </c>
      <c r="G80">
        <v>75063</v>
      </c>
    </row>
    <row r="81" spans="1:7" x14ac:dyDescent="0.35">
      <c r="A81" s="3">
        <v>45092</v>
      </c>
      <c r="B81">
        <v>0</v>
      </c>
      <c r="C81">
        <v>0</v>
      </c>
      <c r="D81">
        <v>0</v>
      </c>
      <c r="E81">
        <v>73697.2</v>
      </c>
      <c r="F81">
        <v>0</v>
      </c>
      <c r="G81">
        <v>73697.2</v>
      </c>
    </row>
    <row r="82" spans="1:7" x14ac:dyDescent="0.35">
      <c r="A82" s="3">
        <v>45095</v>
      </c>
      <c r="B82">
        <v>0</v>
      </c>
      <c r="C82">
        <v>0</v>
      </c>
      <c r="D82">
        <v>0</v>
      </c>
      <c r="E82">
        <v>8064.1</v>
      </c>
      <c r="F82">
        <v>0</v>
      </c>
      <c r="G82">
        <v>8064.1</v>
      </c>
    </row>
    <row r="83" spans="1:7" x14ac:dyDescent="0.35">
      <c r="A83" s="3">
        <v>45096</v>
      </c>
      <c r="B83">
        <v>0</v>
      </c>
      <c r="C83">
        <v>0</v>
      </c>
      <c r="D83">
        <v>0</v>
      </c>
      <c r="E83">
        <v>0</v>
      </c>
      <c r="F83">
        <v>23777.119999999999</v>
      </c>
      <c r="G83">
        <v>23777.119999999999</v>
      </c>
    </row>
    <row r="84" spans="1:7" x14ac:dyDescent="0.35">
      <c r="A84" s="3">
        <v>45097</v>
      </c>
      <c r="B84">
        <v>0</v>
      </c>
      <c r="C84">
        <v>0</v>
      </c>
      <c r="D84">
        <v>80712.2</v>
      </c>
      <c r="E84">
        <v>0</v>
      </c>
      <c r="F84">
        <v>0</v>
      </c>
      <c r="G84">
        <v>80712.2</v>
      </c>
    </row>
    <row r="85" spans="1:7" x14ac:dyDescent="0.35">
      <c r="A85" s="3">
        <v>45100</v>
      </c>
      <c r="B85">
        <v>0</v>
      </c>
      <c r="C85">
        <v>33581.120000000003</v>
      </c>
      <c r="D85">
        <v>0</v>
      </c>
      <c r="E85">
        <v>0</v>
      </c>
      <c r="F85">
        <v>0</v>
      </c>
      <c r="G85">
        <v>33581.120000000003</v>
      </c>
    </row>
    <row r="86" spans="1:7" x14ac:dyDescent="0.35">
      <c r="A86" s="3">
        <v>45101</v>
      </c>
      <c r="B86">
        <v>0</v>
      </c>
      <c r="C86">
        <v>0</v>
      </c>
      <c r="D86">
        <v>3704.4</v>
      </c>
      <c r="E86">
        <v>0</v>
      </c>
      <c r="F86">
        <v>0</v>
      </c>
      <c r="G86">
        <v>3704.4</v>
      </c>
    </row>
    <row r="87" spans="1:7" x14ac:dyDescent="0.35">
      <c r="A87" s="3">
        <v>45105</v>
      </c>
      <c r="B87">
        <v>0</v>
      </c>
      <c r="C87">
        <v>0</v>
      </c>
      <c r="D87">
        <v>69838.399999999994</v>
      </c>
      <c r="E87">
        <v>0</v>
      </c>
      <c r="F87">
        <v>0</v>
      </c>
      <c r="G87">
        <v>69838.399999999994</v>
      </c>
    </row>
    <row r="88" spans="1:7" x14ac:dyDescent="0.35">
      <c r="A88" s="3">
        <v>45107</v>
      </c>
      <c r="B88">
        <v>0</v>
      </c>
      <c r="C88">
        <v>47776.08</v>
      </c>
      <c r="D88">
        <v>0</v>
      </c>
      <c r="E88">
        <v>3698.2</v>
      </c>
      <c r="F88">
        <v>0</v>
      </c>
      <c r="G88">
        <v>51474.28</v>
      </c>
    </row>
    <row r="89" spans="1:7" x14ac:dyDescent="0.35">
      <c r="A89" s="3">
        <v>45109</v>
      </c>
      <c r="B89">
        <v>0</v>
      </c>
      <c r="C89">
        <v>0</v>
      </c>
      <c r="D89">
        <v>14442.6</v>
      </c>
      <c r="E89">
        <v>0</v>
      </c>
      <c r="F89">
        <v>0</v>
      </c>
      <c r="G89">
        <v>14442.6</v>
      </c>
    </row>
    <row r="90" spans="1:7" x14ac:dyDescent="0.35">
      <c r="A90" s="3">
        <v>45110</v>
      </c>
      <c r="B90">
        <v>0</v>
      </c>
      <c r="C90">
        <v>0</v>
      </c>
      <c r="D90">
        <v>0</v>
      </c>
      <c r="E90">
        <v>0</v>
      </c>
      <c r="F90">
        <v>35439.660000000003</v>
      </c>
      <c r="G90">
        <v>35439.660000000003</v>
      </c>
    </row>
    <row r="91" spans="1:7" x14ac:dyDescent="0.35">
      <c r="A91" s="3">
        <v>45112</v>
      </c>
      <c r="B91">
        <v>0</v>
      </c>
      <c r="C91">
        <v>0</v>
      </c>
      <c r="D91">
        <v>0</v>
      </c>
      <c r="E91">
        <v>0</v>
      </c>
      <c r="F91">
        <v>75272.429999999993</v>
      </c>
      <c r="G91">
        <v>75272.429999999993</v>
      </c>
    </row>
    <row r="92" spans="1:7" x14ac:dyDescent="0.35">
      <c r="A92" s="3">
        <v>45114</v>
      </c>
      <c r="B92">
        <v>0</v>
      </c>
      <c r="C92">
        <v>0</v>
      </c>
      <c r="D92">
        <v>84012.11</v>
      </c>
      <c r="E92">
        <v>0</v>
      </c>
      <c r="F92">
        <v>14112.21</v>
      </c>
      <c r="G92">
        <v>98124.32</v>
      </c>
    </row>
    <row r="93" spans="1:7" x14ac:dyDescent="0.35">
      <c r="A93" s="3">
        <v>45115</v>
      </c>
      <c r="B93">
        <v>0</v>
      </c>
      <c r="C93">
        <v>0</v>
      </c>
      <c r="D93">
        <v>5927.25</v>
      </c>
      <c r="E93">
        <v>0</v>
      </c>
      <c r="F93">
        <v>39373.53</v>
      </c>
      <c r="G93">
        <v>45300.78</v>
      </c>
    </row>
    <row r="94" spans="1:7" x14ac:dyDescent="0.35">
      <c r="A94" s="3">
        <v>45116</v>
      </c>
      <c r="B94">
        <v>62558.13</v>
      </c>
      <c r="C94">
        <v>0</v>
      </c>
      <c r="D94">
        <v>0</v>
      </c>
      <c r="E94">
        <v>48042.239999999998</v>
      </c>
      <c r="F94">
        <v>0</v>
      </c>
      <c r="G94">
        <v>110600.37</v>
      </c>
    </row>
    <row r="95" spans="1:7" x14ac:dyDescent="0.35">
      <c r="A95" s="3">
        <v>45118</v>
      </c>
      <c r="B95">
        <v>0</v>
      </c>
      <c r="C95">
        <v>45076.2</v>
      </c>
      <c r="D95">
        <v>0</v>
      </c>
      <c r="E95">
        <v>31225.9</v>
      </c>
      <c r="F95">
        <v>0</v>
      </c>
      <c r="G95">
        <v>76302.100000000006</v>
      </c>
    </row>
    <row r="96" spans="1:7" x14ac:dyDescent="0.35">
      <c r="A96" s="3">
        <v>45119</v>
      </c>
      <c r="B96">
        <v>0</v>
      </c>
      <c r="C96">
        <v>21850.92</v>
      </c>
      <c r="D96">
        <v>0</v>
      </c>
      <c r="E96">
        <v>0</v>
      </c>
      <c r="F96">
        <v>0</v>
      </c>
      <c r="G96">
        <v>21850.92</v>
      </c>
    </row>
    <row r="97" spans="1:7" x14ac:dyDescent="0.35">
      <c r="A97" s="3">
        <v>45121</v>
      </c>
      <c r="B97">
        <v>0</v>
      </c>
      <c r="C97">
        <v>0</v>
      </c>
      <c r="D97">
        <v>0</v>
      </c>
      <c r="E97">
        <v>0</v>
      </c>
      <c r="F97">
        <v>20175.349999999999</v>
      </c>
      <c r="G97">
        <v>20175.349999999999</v>
      </c>
    </row>
    <row r="98" spans="1:7" x14ac:dyDescent="0.35">
      <c r="A98" s="3">
        <v>45122</v>
      </c>
      <c r="B98">
        <v>39540</v>
      </c>
      <c r="C98">
        <v>0</v>
      </c>
      <c r="D98">
        <v>0</v>
      </c>
      <c r="E98">
        <v>0</v>
      </c>
      <c r="F98">
        <v>0</v>
      </c>
      <c r="G98">
        <v>39540</v>
      </c>
    </row>
    <row r="99" spans="1:7" x14ac:dyDescent="0.35">
      <c r="A99" s="3">
        <v>45123</v>
      </c>
      <c r="B99">
        <v>0</v>
      </c>
      <c r="C99">
        <v>0</v>
      </c>
      <c r="D99">
        <v>0</v>
      </c>
      <c r="E99">
        <v>0</v>
      </c>
      <c r="F99">
        <v>10970.24</v>
      </c>
      <c r="G99">
        <v>10970.24</v>
      </c>
    </row>
    <row r="100" spans="1:7" x14ac:dyDescent="0.35">
      <c r="A100" s="3">
        <v>45124</v>
      </c>
      <c r="B100">
        <v>0</v>
      </c>
      <c r="C100">
        <v>0</v>
      </c>
      <c r="D100">
        <v>0</v>
      </c>
      <c r="E100">
        <v>0</v>
      </c>
      <c r="F100">
        <v>55719.08</v>
      </c>
      <c r="G100">
        <v>55719.08</v>
      </c>
    </row>
    <row r="101" spans="1:7" x14ac:dyDescent="0.35">
      <c r="A101" s="3">
        <v>45125</v>
      </c>
      <c r="B101">
        <v>0</v>
      </c>
      <c r="C101">
        <v>0</v>
      </c>
      <c r="D101">
        <v>65093.42</v>
      </c>
      <c r="E101">
        <v>0</v>
      </c>
      <c r="F101">
        <v>0</v>
      </c>
      <c r="G101">
        <v>65093.42</v>
      </c>
    </row>
    <row r="102" spans="1:7" x14ac:dyDescent="0.35">
      <c r="A102" s="3">
        <v>45127</v>
      </c>
      <c r="B102">
        <v>0</v>
      </c>
      <c r="C102">
        <v>1558.27</v>
      </c>
      <c r="D102">
        <v>12889.23</v>
      </c>
      <c r="E102">
        <v>0</v>
      </c>
      <c r="F102">
        <v>0</v>
      </c>
      <c r="G102">
        <v>14447.5</v>
      </c>
    </row>
    <row r="103" spans="1:7" x14ac:dyDescent="0.35">
      <c r="A103" s="3">
        <v>45128</v>
      </c>
      <c r="B103">
        <v>15784.5</v>
      </c>
      <c r="C103">
        <v>0</v>
      </c>
      <c r="D103">
        <v>0</v>
      </c>
      <c r="E103">
        <v>0</v>
      </c>
      <c r="F103">
        <v>0</v>
      </c>
      <c r="G103">
        <v>15784.5</v>
      </c>
    </row>
    <row r="104" spans="1:7" x14ac:dyDescent="0.35">
      <c r="A104" s="3">
        <v>45131</v>
      </c>
      <c r="B104">
        <v>66620.800000000003</v>
      </c>
      <c r="C104">
        <v>0</v>
      </c>
      <c r="D104">
        <v>0</v>
      </c>
      <c r="E104">
        <v>0</v>
      </c>
      <c r="F104">
        <v>0</v>
      </c>
      <c r="G104">
        <v>66620.800000000003</v>
      </c>
    </row>
    <row r="105" spans="1:7" x14ac:dyDescent="0.35">
      <c r="A105" s="3">
        <v>45133</v>
      </c>
      <c r="B105">
        <v>21405.75</v>
      </c>
      <c r="C105">
        <v>48926.2</v>
      </c>
      <c r="D105">
        <v>0</v>
      </c>
      <c r="E105">
        <v>0</v>
      </c>
      <c r="F105">
        <v>0</v>
      </c>
      <c r="G105">
        <v>70331.95</v>
      </c>
    </row>
    <row r="106" spans="1:7" x14ac:dyDescent="0.35">
      <c r="A106" s="3">
        <v>45135</v>
      </c>
      <c r="B106">
        <v>0</v>
      </c>
      <c r="C106">
        <v>0</v>
      </c>
      <c r="D106">
        <v>11233.08</v>
      </c>
      <c r="E106">
        <v>0</v>
      </c>
      <c r="F106">
        <v>0</v>
      </c>
      <c r="G106">
        <v>11233.08</v>
      </c>
    </row>
    <row r="107" spans="1:7" x14ac:dyDescent="0.35">
      <c r="A107" s="3">
        <v>45140</v>
      </c>
      <c r="B107">
        <v>0</v>
      </c>
      <c r="C107">
        <v>0</v>
      </c>
      <c r="D107">
        <v>0</v>
      </c>
      <c r="E107">
        <v>0</v>
      </c>
      <c r="F107">
        <v>84201.68</v>
      </c>
      <c r="G107">
        <v>84201.68</v>
      </c>
    </row>
    <row r="108" spans="1:7" x14ac:dyDescent="0.35">
      <c r="A108" s="3">
        <v>45141</v>
      </c>
      <c r="B108">
        <v>0</v>
      </c>
      <c r="C108">
        <v>0</v>
      </c>
      <c r="D108">
        <v>40857.879999999997</v>
      </c>
      <c r="E108">
        <v>61377.599999999999</v>
      </c>
      <c r="F108">
        <v>0</v>
      </c>
      <c r="G108">
        <v>102235.48</v>
      </c>
    </row>
    <row r="109" spans="1:7" x14ac:dyDescent="0.35">
      <c r="A109" s="3">
        <v>45142</v>
      </c>
      <c r="B109">
        <v>0</v>
      </c>
      <c r="C109">
        <v>0</v>
      </c>
      <c r="D109">
        <v>14629.53</v>
      </c>
      <c r="E109">
        <v>0</v>
      </c>
      <c r="F109">
        <v>0</v>
      </c>
      <c r="G109">
        <v>14629.53</v>
      </c>
    </row>
    <row r="110" spans="1:7" x14ac:dyDescent="0.35">
      <c r="A110" s="3">
        <v>45144</v>
      </c>
      <c r="B110">
        <v>8129.8</v>
      </c>
      <c r="C110">
        <v>0</v>
      </c>
      <c r="D110">
        <v>0</v>
      </c>
      <c r="E110">
        <v>0</v>
      </c>
      <c r="F110">
        <v>0</v>
      </c>
      <c r="G110">
        <v>8129.8</v>
      </c>
    </row>
    <row r="111" spans="1:7" x14ac:dyDescent="0.35">
      <c r="A111" s="3">
        <v>45146</v>
      </c>
      <c r="B111">
        <v>11690.48</v>
      </c>
      <c r="C111">
        <v>0</v>
      </c>
      <c r="D111">
        <v>0</v>
      </c>
      <c r="E111">
        <v>0</v>
      </c>
      <c r="F111">
        <v>0</v>
      </c>
      <c r="G111">
        <v>11690.48</v>
      </c>
    </row>
    <row r="112" spans="1:7" x14ac:dyDescent="0.35">
      <c r="A112" s="3">
        <v>45150</v>
      </c>
      <c r="B112">
        <v>4774.8</v>
      </c>
      <c r="C112">
        <v>0</v>
      </c>
      <c r="D112">
        <v>0</v>
      </c>
      <c r="E112">
        <v>0</v>
      </c>
      <c r="F112">
        <v>0</v>
      </c>
      <c r="G112">
        <v>4774.8</v>
      </c>
    </row>
    <row r="113" spans="1:7" x14ac:dyDescent="0.35">
      <c r="A113" s="3">
        <v>45152</v>
      </c>
      <c r="B113">
        <v>21026.48</v>
      </c>
      <c r="C113">
        <v>0</v>
      </c>
      <c r="D113">
        <v>0</v>
      </c>
      <c r="E113">
        <v>0</v>
      </c>
      <c r="F113">
        <v>0</v>
      </c>
      <c r="G113">
        <v>21026.48</v>
      </c>
    </row>
    <row r="114" spans="1:7" x14ac:dyDescent="0.35">
      <c r="A114" s="3">
        <v>45155</v>
      </c>
      <c r="B114">
        <v>76802.259999999995</v>
      </c>
      <c r="C114">
        <v>0</v>
      </c>
      <c r="D114">
        <v>0</v>
      </c>
      <c r="E114">
        <v>0</v>
      </c>
      <c r="F114">
        <v>0</v>
      </c>
      <c r="G114">
        <v>76802.259999999995</v>
      </c>
    </row>
    <row r="115" spans="1:7" x14ac:dyDescent="0.35">
      <c r="A115" s="3">
        <v>45158</v>
      </c>
      <c r="B115">
        <v>0</v>
      </c>
      <c r="C115">
        <v>0</v>
      </c>
      <c r="D115">
        <v>0</v>
      </c>
      <c r="E115">
        <v>17923.5</v>
      </c>
      <c r="F115">
        <v>0</v>
      </c>
      <c r="G115">
        <v>17923.5</v>
      </c>
    </row>
    <row r="116" spans="1:7" x14ac:dyDescent="0.35">
      <c r="A116" s="3">
        <v>45159</v>
      </c>
      <c r="B116">
        <v>421.27</v>
      </c>
      <c r="C116">
        <v>0</v>
      </c>
      <c r="D116">
        <v>0</v>
      </c>
      <c r="E116">
        <v>0</v>
      </c>
      <c r="F116">
        <v>0</v>
      </c>
      <c r="G116">
        <v>421.27</v>
      </c>
    </row>
    <row r="117" spans="1:7" x14ac:dyDescent="0.35">
      <c r="A117" s="3">
        <v>45161</v>
      </c>
      <c r="B117">
        <v>0</v>
      </c>
      <c r="C117">
        <v>0</v>
      </c>
      <c r="D117">
        <v>0</v>
      </c>
      <c r="E117">
        <v>22007.599999999999</v>
      </c>
      <c r="F117">
        <v>0</v>
      </c>
      <c r="G117">
        <v>22007.599999999999</v>
      </c>
    </row>
    <row r="118" spans="1:7" x14ac:dyDescent="0.35">
      <c r="A118" s="3">
        <v>45162</v>
      </c>
      <c r="B118">
        <v>42668.480000000003</v>
      </c>
      <c r="C118">
        <v>2710.27</v>
      </c>
      <c r="D118">
        <v>0</v>
      </c>
      <c r="E118">
        <v>0</v>
      </c>
      <c r="F118">
        <v>0</v>
      </c>
      <c r="G118">
        <v>45378.75</v>
      </c>
    </row>
    <row r="119" spans="1:7" x14ac:dyDescent="0.35">
      <c r="A119" s="3">
        <v>45163</v>
      </c>
      <c r="B119">
        <v>0</v>
      </c>
      <c r="C119">
        <v>0</v>
      </c>
      <c r="D119">
        <v>0</v>
      </c>
      <c r="E119">
        <v>28379.040000000001</v>
      </c>
      <c r="F119">
        <v>57292.639999999999</v>
      </c>
      <c r="G119">
        <v>85671.679999999993</v>
      </c>
    </row>
    <row r="120" spans="1:7" x14ac:dyDescent="0.35">
      <c r="A120" s="3">
        <v>45167</v>
      </c>
      <c r="B120">
        <v>0</v>
      </c>
      <c r="C120">
        <v>0</v>
      </c>
      <c r="D120">
        <v>3734.74</v>
      </c>
      <c r="E120">
        <v>16712.400000000001</v>
      </c>
      <c r="F120">
        <v>0</v>
      </c>
      <c r="G120">
        <v>20447.14</v>
      </c>
    </row>
    <row r="121" spans="1:7" x14ac:dyDescent="0.35">
      <c r="A121" s="3">
        <v>45168</v>
      </c>
      <c r="B121">
        <v>0</v>
      </c>
      <c r="C121">
        <v>0</v>
      </c>
      <c r="D121">
        <v>0</v>
      </c>
      <c r="E121">
        <v>8071.56</v>
      </c>
      <c r="F121">
        <v>0</v>
      </c>
      <c r="G121">
        <v>8071.56</v>
      </c>
    </row>
    <row r="122" spans="1:7" x14ac:dyDescent="0.35">
      <c r="A122" s="3">
        <v>45172</v>
      </c>
      <c r="B122">
        <v>0</v>
      </c>
      <c r="C122">
        <v>0</v>
      </c>
      <c r="D122">
        <v>0</v>
      </c>
      <c r="E122">
        <v>0</v>
      </c>
      <c r="F122">
        <v>23677.68</v>
      </c>
      <c r="G122">
        <v>23677.68</v>
      </c>
    </row>
    <row r="123" spans="1:7" x14ac:dyDescent="0.35">
      <c r="A123" s="3">
        <v>45174</v>
      </c>
      <c r="B123">
        <v>48415.51</v>
      </c>
      <c r="C123">
        <v>15481.4</v>
      </c>
      <c r="D123">
        <v>0</v>
      </c>
      <c r="E123">
        <v>0</v>
      </c>
      <c r="F123">
        <v>0</v>
      </c>
      <c r="G123">
        <v>63896.91</v>
      </c>
    </row>
    <row r="124" spans="1:7" x14ac:dyDescent="0.35">
      <c r="A124" s="3">
        <v>45176</v>
      </c>
      <c r="B124">
        <v>36520.769999999997</v>
      </c>
      <c r="C124">
        <v>0</v>
      </c>
      <c r="D124">
        <v>0</v>
      </c>
      <c r="E124">
        <v>0</v>
      </c>
      <c r="F124">
        <v>0</v>
      </c>
      <c r="G124">
        <v>36520.769999999997</v>
      </c>
    </row>
    <row r="125" spans="1:7" x14ac:dyDescent="0.35">
      <c r="A125" s="3">
        <v>45177</v>
      </c>
      <c r="B125">
        <v>0</v>
      </c>
      <c r="C125">
        <v>14903.12</v>
      </c>
      <c r="D125">
        <v>0</v>
      </c>
      <c r="E125">
        <v>0</v>
      </c>
      <c r="F125">
        <v>13751.25</v>
      </c>
      <c r="G125">
        <v>28654.370000000003</v>
      </c>
    </row>
    <row r="126" spans="1:7" x14ac:dyDescent="0.35">
      <c r="A126" s="3">
        <v>45178</v>
      </c>
      <c r="B126">
        <v>0</v>
      </c>
      <c r="C126">
        <v>70011.3</v>
      </c>
      <c r="D126">
        <v>0</v>
      </c>
      <c r="E126">
        <v>0</v>
      </c>
      <c r="F126">
        <v>0</v>
      </c>
      <c r="G126">
        <v>70011.3</v>
      </c>
    </row>
    <row r="127" spans="1:7" x14ac:dyDescent="0.35">
      <c r="A127" s="3">
        <v>45179</v>
      </c>
      <c r="B127">
        <v>16691.57</v>
      </c>
      <c r="C127">
        <v>0</v>
      </c>
      <c r="D127">
        <v>0</v>
      </c>
      <c r="E127">
        <v>0</v>
      </c>
      <c r="F127">
        <v>0</v>
      </c>
      <c r="G127">
        <v>16691.57</v>
      </c>
    </row>
    <row r="128" spans="1:7" x14ac:dyDescent="0.35">
      <c r="A128" s="3">
        <v>45180</v>
      </c>
      <c r="B128">
        <v>69509.09</v>
      </c>
      <c r="C128">
        <v>0</v>
      </c>
      <c r="D128">
        <v>0</v>
      </c>
      <c r="E128">
        <v>0</v>
      </c>
      <c r="F128">
        <v>0</v>
      </c>
      <c r="G128">
        <v>69509.09</v>
      </c>
    </row>
    <row r="129" spans="1:7" x14ac:dyDescent="0.35">
      <c r="A129" s="3">
        <v>45181</v>
      </c>
      <c r="B129">
        <v>0</v>
      </c>
      <c r="C129">
        <v>0</v>
      </c>
      <c r="D129">
        <v>0</v>
      </c>
      <c r="E129">
        <v>0</v>
      </c>
      <c r="F129">
        <v>2949.43</v>
      </c>
      <c r="G129">
        <v>2949.43</v>
      </c>
    </row>
    <row r="130" spans="1:7" x14ac:dyDescent="0.35">
      <c r="A130" s="3">
        <v>45182</v>
      </c>
      <c r="B130">
        <v>19676.7</v>
      </c>
      <c r="C130">
        <v>0</v>
      </c>
      <c r="D130">
        <v>0</v>
      </c>
      <c r="E130">
        <v>37210.400000000001</v>
      </c>
      <c r="F130">
        <v>0</v>
      </c>
      <c r="G130">
        <v>56887.100000000006</v>
      </c>
    </row>
    <row r="131" spans="1:7" x14ac:dyDescent="0.35">
      <c r="A131" s="3">
        <v>45183</v>
      </c>
      <c r="B131">
        <v>0</v>
      </c>
      <c r="C131">
        <v>0</v>
      </c>
      <c r="D131">
        <v>0</v>
      </c>
      <c r="E131">
        <v>13509.08</v>
      </c>
      <c r="F131">
        <v>0</v>
      </c>
      <c r="G131">
        <v>13509.08</v>
      </c>
    </row>
    <row r="132" spans="1:7" x14ac:dyDescent="0.35">
      <c r="A132" s="3">
        <v>45184</v>
      </c>
      <c r="B132">
        <v>56383.86</v>
      </c>
      <c r="C132">
        <v>0</v>
      </c>
      <c r="D132">
        <v>0</v>
      </c>
      <c r="E132">
        <v>0</v>
      </c>
      <c r="F132">
        <v>0</v>
      </c>
      <c r="G132">
        <v>56383.86</v>
      </c>
    </row>
    <row r="133" spans="1:7" x14ac:dyDescent="0.35">
      <c r="A133" s="3">
        <v>45185</v>
      </c>
      <c r="B133">
        <v>19844.04</v>
      </c>
      <c r="C133">
        <v>0</v>
      </c>
      <c r="D133">
        <v>0</v>
      </c>
      <c r="E133">
        <v>0</v>
      </c>
      <c r="F133">
        <v>0</v>
      </c>
      <c r="G133">
        <v>19844.04</v>
      </c>
    </row>
    <row r="134" spans="1:7" x14ac:dyDescent="0.35">
      <c r="A134" s="3">
        <v>45187</v>
      </c>
      <c r="B134">
        <v>0</v>
      </c>
      <c r="C134">
        <v>20076.12</v>
      </c>
      <c r="D134">
        <v>0</v>
      </c>
      <c r="E134">
        <v>0</v>
      </c>
      <c r="F134">
        <v>0</v>
      </c>
      <c r="G134">
        <v>20076.12</v>
      </c>
    </row>
    <row r="135" spans="1:7" x14ac:dyDescent="0.35">
      <c r="A135" s="3">
        <v>45191</v>
      </c>
      <c r="B135">
        <v>0</v>
      </c>
      <c r="C135">
        <v>94217</v>
      </c>
      <c r="D135">
        <v>0</v>
      </c>
      <c r="E135">
        <v>0</v>
      </c>
      <c r="F135">
        <v>0</v>
      </c>
      <c r="G135">
        <v>94217</v>
      </c>
    </row>
    <row r="136" spans="1:7" x14ac:dyDescent="0.35">
      <c r="A136" s="3">
        <v>45192</v>
      </c>
      <c r="B136">
        <v>0</v>
      </c>
      <c r="C136">
        <v>4118.28</v>
      </c>
      <c r="D136">
        <v>0</v>
      </c>
      <c r="E136">
        <v>0</v>
      </c>
      <c r="F136">
        <v>0</v>
      </c>
      <c r="G136">
        <v>4118.28</v>
      </c>
    </row>
    <row r="137" spans="1:7" x14ac:dyDescent="0.35">
      <c r="A137" s="3">
        <v>45193</v>
      </c>
      <c r="B137">
        <v>0</v>
      </c>
      <c r="C137">
        <v>0</v>
      </c>
      <c r="D137">
        <v>0</v>
      </c>
      <c r="E137">
        <v>26912.1</v>
      </c>
      <c r="F137">
        <v>0</v>
      </c>
      <c r="G137">
        <v>26912.1</v>
      </c>
    </row>
    <row r="138" spans="1:7" x14ac:dyDescent="0.35">
      <c r="A138" s="3">
        <v>45198</v>
      </c>
      <c r="B138">
        <v>0</v>
      </c>
      <c r="C138">
        <v>53096.160000000003</v>
      </c>
      <c r="D138">
        <v>0</v>
      </c>
      <c r="E138">
        <v>0</v>
      </c>
      <c r="F138">
        <v>0</v>
      </c>
      <c r="G138">
        <v>53096.160000000003</v>
      </c>
    </row>
    <row r="139" spans="1:7" x14ac:dyDescent="0.35">
      <c r="A139" s="3">
        <v>45199</v>
      </c>
      <c r="B139">
        <v>0</v>
      </c>
      <c r="C139">
        <v>0</v>
      </c>
      <c r="D139">
        <v>0</v>
      </c>
      <c r="E139">
        <v>46750.559999999998</v>
      </c>
      <c r="F139">
        <v>0</v>
      </c>
      <c r="G139">
        <v>46750.559999999998</v>
      </c>
    </row>
    <row r="140" spans="1:7" x14ac:dyDescent="0.35">
      <c r="A140" s="3">
        <v>45200</v>
      </c>
      <c r="B140">
        <v>0</v>
      </c>
      <c r="C140">
        <v>0</v>
      </c>
      <c r="D140">
        <v>0</v>
      </c>
      <c r="E140">
        <v>69664.479999999996</v>
      </c>
      <c r="F140">
        <v>0</v>
      </c>
      <c r="G140">
        <v>69664.479999999996</v>
      </c>
    </row>
    <row r="141" spans="1:7" x14ac:dyDescent="0.35">
      <c r="A141" s="3">
        <v>45206</v>
      </c>
      <c r="B141">
        <v>0</v>
      </c>
      <c r="C141">
        <v>29106.48</v>
      </c>
      <c r="D141">
        <v>0</v>
      </c>
      <c r="E141">
        <v>0</v>
      </c>
      <c r="F141">
        <v>0</v>
      </c>
      <c r="G141">
        <v>29106.48</v>
      </c>
    </row>
    <row r="142" spans="1:7" x14ac:dyDescent="0.35">
      <c r="A142" s="3">
        <v>45207</v>
      </c>
      <c r="B142">
        <v>3458.19</v>
      </c>
      <c r="C142">
        <v>0</v>
      </c>
      <c r="D142">
        <v>0</v>
      </c>
      <c r="E142">
        <v>0</v>
      </c>
      <c r="F142">
        <v>0</v>
      </c>
      <c r="G142">
        <v>3458.19</v>
      </c>
    </row>
    <row r="143" spans="1:7" x14ac:dyDescent="0.35">
      <c r="A143" s="3">
        <v>45209</v>
      </c>
      <c r="B143">
        <v>32220.15</v>
      </c>
      <c r="C143">
        <v>4915.68</v>
      </c>
      <c r="D143">
        <v>0</v>
      </c>
      <c r="E143">
        <v>0</v>
      </c>
      <c r="F143">
        <v>0</v>
      </c>
      <c r="G143">
        <v>37135.83</v>
      </c>
    </row>
    <row r="144" spans="1:7" x14ac:dyDescent="0.35">
      <c r="A144" s="3">
        <v>45210</v>
      </c>
      <c r="B144">
        <v>0</v>
      </c>
      <c r="C144">
        <v>0</v>
      </c>
      <c r="D144">
        <v>28745.1</v>
      </c>
      <c r="E144">
        <v>50486.879999999997</v>
      </c>
      <c r="F144">
        <v>0</v>
      </c>
      <c r="G144">
        <v>79231.98</v>
      </c>
    </row>
    <row r="145" spans="1:7" x14ac:dyDescent="0.35">
      <c r="A145" s="3">
        <v>45211</v>
      </c>
      <c r="B145">
        <v>0</v>
      </c>
      <c r="C145">
        <v>0</v>
      </c>
      <c r="D145">
        <v>2645.16</v>
      </c>
      <c r="E145">
        <v>0</v>
      </c>
      <c r="F145">
        <v>0</v>
      </c>
      <c r="G145">
        <v>2645.16</v>
      </c>
    </row>
    <row r="146" spans="1:7" x14ac:dyDescent="0.35">
      <c r="A146" s="3">
        <v>45213</v>
      </c>
      <c r="B146">
        <v>0</v>
      </c>
      <c r="C146">
        <v>0</v>
      </c>
      <c r="D146">
        <v>4801.1000000000004</v>
      </c>
      <c r="E146">
        <v>12935.2</v>
      </c>
      <c r="F146">
        <v>0</v>
      </c>
      <c r="G146">
        <v>17736.300000000003</v>
      </c>
    </row>
    <row r="147" spans="1:7" x14ac:dyDescent="0.35">
      <c r="A147" s="3">
        <v>45214</v>
      </c>
      <c r="B147">
        <v>0</v>
      </c>
      <c r="C147">
        <v>0</v>
      </c>
      <c r="D147">
        <v>0</v>
      </c>
      <c r="E147">
        <v>49753</v>
      </c>
      <c r="F147">
        <v>0</v>
      </c>
      <c r="G147">
        <v>49753</v>
      </c>
    </row>
    <row r="148" spans="1:7" x14ac:dyDescent="0.35">
      <c r="A148" s="3">
        <v>45219</v>
      </c>
      <c r="B148">
        <v>0</v>
      </c>
      <c r="C148">
        <v>0</v>
      </c>
      <c r="D148">
        <v>0</v>
      </c>
      <c r="E148">
        <v>0</v>
      </c>
      <c r="F148">
        <v>1071.25</v>
      </c>
      <c r="G148">
        <v>1071.25</v>
      </c>
    </row>
    <row r="149" spans="1:7" x14ac:dyDescent="0.35">
      <c r="A149" s="3">
        <v>45220</v>
      </c>
      <c r="B149">
        <v>0</v>
      </c>
      <c r="C149">
        <v>0</v>
      </c>
      <c r="D149">
        <v>0</v>
      </c>
      <c r="E149">
        <v>14339.36</v>
      </c>
      <c r="F149">
        <v>0</v>
      </c>
      <c r="G149">
        <v>14339.36</v>
      </c>
    </row>
    <row r="150" spans="1:7" x14ac:dyDescent="0.35">
      <c r="A150" s="3">
        <v>45224</v>
      </c>
      <c r="B150">
        <v>0</v>
      </c>
      <c r="C150">
        <v>0</v>
      </c>
      <c r="D150">
        <v>42841.4</v>
      </c>
      <c r="E150">
        <v>0</v>
      </c>
      <c r="F150">
        <v>0</v>
      </c>
      <c r="G150">
        <v>42841.4</v>
      </c>
    </row>
    <row r="151" spans="1:7" x14ac:dyDescent="0.35">
      <c r="A151" s="3">
        <v>45226</v>
      </c>
      <c r="B151">
        <v>0</v>
      </c>
      <c r="C151">
        <v>0</v>
      </c>
      <c r="D151">
        <v>0</v>
      </c>
      <c r="E151">
        <v>1999.98</v>
      </c>
      <c r="F151">
        <v>0</v>
      </c>
      <c r="G151">
        <v>1999.98</v>
      </c>
    </row>
    <row r="152" spans="1:7" x14ac:dyDescent="0.35">
      <c r="A152" s="3">
        <v>45227</v>
      </c>
      <c r="B152">
        <v>2710.56</v>
      </c>
      <c r="C152">
        <v>0</v>
      </c>
      <c r="D152">
        <v>8270.49</v>
      </c>
      <c r="E152">
        <v>0</v>
      </c>
      <c r="F152">
        <v>0</v>
      </c>
      <c r="G152">
        <v>10981.05</v>
      </c>
    </row>
    <row r="153" spans="1:7" x14ac:dyDescent="0.35">
      <c r="A153" s="3">
        <v>45229</v>
      </c>
      <c r="B153">
        <v>0</v>
      </c>
      <c r="C153">
        <v>32789.339999999997</v>
      </c>
      <c r="D153">
        <v>0</v>
      </c>
      <c r="E153">
        <v>0</v>
      </c>
      <c r="F153">
        <v>0</v>
      </c>
      <c r="G153">
        <v>32789.339999999997</v>
      </c>
    </row>
    <row r="154" spans="1:7" x14ac:dyDescent="0.35">
      <c r="A154" s="3">
        <v>45231</v>
      </c>
      <c r="B154">
        <v>0</v>
      </c>
      <c r="C154">
        <v>0</v>
      </c>
      <c r="D154">
        <v>0</v>
      </c>
      <c r="E154">
        <v>73076.759999999995</v>
      </c>
      <c r="F154">
        <v>0</v>
      </c>
      <c r="G154">
        <v>73076.759999999995</v>
      </c>
    </row>
    <row r="155" spans="1:7" x14ac:dyDescent="0.35">
      <c r="A155" s="3">
        <v>45233</v>
      </c>
      <c r="B155">
        <v>0</v>
      </c>
      <c r="C155">
        <v>2653.5</v>
      </c>
      <c r="D155">
        <v>0</v>
      </c>
      <c r="E155">
        <v>0</v>
      </c>
      <c r="F155">
        <v>41019.040000000001</v>
      </c>
      <c r="G155">
        <v>43672.54</v>
      </c>
    </row>
    <row r="156" spans="1:7" x14ac:dyDescent="0.35">
      <c r="A156" s="3">
        <v>45238</v>
      </c>
      <c r="B156">
        <v>0</v>
      </c>
      <c r="C156">
        <v>23157.75</v>
      </c>
      <c r="D156">
        <v>16233.92</v>
      </c>
      <c r="E156">
        <v>0</v>
      </c>
      <c r="F156">
        <v>0</v>
      </c>
      <c r="G156">
        <v>39391.67</v>
      </c>
    </row>
    <row r="157" spans="1:7" x14ac:dyDescent="0.35">
      <c r="A157" s="3">
        <v>45241</v>
      </c>
      <c r="B157">
        <v>0</v>
      </c>
      <c r="C157">
        <v>0</v>
      </c>
      <c r="D157">
        <v>0</v>
      </c>
      <c r="E157">
        <v>0</v>
      </c>
      <c r="F157">
        <v>12632.31</v>
      </c>
      <c r="G157">
        <v>12632.31</v>
      </c>
    </row>
    <row r="158" spans="1:7" x14ac:dyDescent="0.35">
      <c r="A158" s="3">
        <v>45242</v>
      </c>
      <c r="B158">
        <v>0</v>
      </c>
      <c r="C158">
        <v>10206</v>
      </c>
      <c r="D158">
        <v>0</v>
      </c>
      <c r="E158">
        <v>0</v>
      </c>
      <c r="F158">
        <v>0</v>
      </c>
      <c r="G158">
        <v>10206</v>
      </c>
    </row>
    <row r="159" spans="1:7" x14ac:dyDescent="0.35">
      <c r="A159" s="3">
        <v>45244</v>
      </c>
      <c r="B159">
        <v>6068.64</v>
      </c>
      <c r="C159">
        <v>0</v>
      </c>
      <c r="D159">
        <v>0</v>
      </c>
      <c r="E159">
        <v>0</v>
      </c>
      <c r="F159">
        <v>0</v>
      </c>
      <c r="G159">
        <v>6068.64</v>
      </c>
    </row>
    <row r="160" spans="1:7" x14ac:dyDescent="0.35">
      <c r="A160" s="3">
        <v>45245</v>
      </c>
      <c r="B160">
        <v>19052.64</v>
      </c>
      <c r="C160">
        <v>0</v>
      </c>
      <c r="D160">
        <v>0</v>
      </c>
      <c r="E160">
        <v>11233.17</v>
      </c>
      <c r="F160">
        <v>0</v>
      </c>
      <c r="G160">
        <v>30285.809999999998</v>
      </c>
    </row>
    <row r="161" spans="1:7" x14ac:dyDescent="0.35">
      <c r="A161" s="3">
        <v>45247</v>
      </c>
      <c r="B161">
        <v>0</v>
      </c>
      <c r="C161">
        <v>56412.98</v>
      </c>
      <c r="D161">
        <v>0</v>
      </c>
      <c r="E161">
        <v>0</v>
      </c>
      <c r="F161">
        <v>0</v>
      </c>
      <c r="G161">
        <v>56412.98</v>
      </c>
    </row>
    <row r="162" spans="1:7" x14ac:dyDescent="0.35">
      <c r="A162" s="3">
        <v>45249</v>
      </c>
      <c r="B162">
        <v>0</v>
      </c>
      <c r="C162">
        <v>0</v>
      </c>
      <c r="D162">
        <v>71784.149999999994</v>
      </c>
      <c r="E162">
        <v>0</v>
      </c>
      <c r="F162">
        <v>2239.44</v>
      </c>
      <c r="G162">
        <v>74023.59</v>
      </c>
    </row>
    <row r="163" spans="1:7" x14ac:dyDescent="0.35">
      <c r="A163" s="3">
        <v>45253</v>
      </c>
      <c r="B163">
        <v>71061.56</v>
      </c>
      <c r="C163">
        <v>0</v>
      </c>
      <c r="D163">
        <v>0</v>
      </c>
      <c r="E163">
        <v>0</v>
      </c>
      <c r="F163">
        <v>0</v>
      </c>
      <c r="G163">
        <v>71061.56</v>
      </c>
    </row>
    <row r="164" spans="1:7" x14ac:dyDescent="0.35">
      <c r="A164" s="3">
        <v>45256</v>
      </c>
      <c r="B164">
        <v>0</v>
      </c>
      <c r="C164">
        <v>25205</v>
      </c>
      <c r="D164">
        <v>0</v>
      </c>
      <c r="E164">
        <v>0</v>
      </c>
      <c r="F164">
        <v>0</v>
      </c>
      <c r="G164">
        <v>25205</v>
      </c>
    </row>
    <row r="165" spans="1:7" x14ac:dyDescent="0.35">
      <c r="A165" s="3">
        <v>45258</v>
      </c>
      <c r="B165">
        <v>0</v>
      </c>
      <c r="C165">
        <v>0</v>
      </c>
      <c r="D165">
        <v>81334.8</v>
      </c>
      <c r="E165">
        <v>30519.58</v>
      </c>
      <c r="F165">
        <v>0</v>
      </c>
      <c r="G165">
        <v>111854.38</v>
      </c>
    </row>
    <row r="166" spans="1:7" x14ac:dyDescent="0.35">
      <c r="A166" s="3">
        <v>45260</v>
      </c>
      <c r="B166">
        <v>0</v>
      </c>
      <c r="C166">
        <v>0</v>
      </c>
      <c r="D166">
        <v>0</v>
      </c>
      <c r="E166">
        <v>0</v>
      </c>
      <c r="F166">
        <v>46100.81</v>
      </c>
      <c r="G166">
        <v>46100.81</v>
      </c>
    </row>
    <row r="167" spans="1:7" x14ac:dyDescent="0.35">
      <c r="A167" s="3">
        <v>45261</v>
      </c>
      <c r="B167">
        <v>44057.659999999996</v>
      </c>
      <c r="C167">
        <v>0</v>
      </c>
      <c r="D167">
        <v>0</v>
      </c>
      <c r="E167">
        <v>0</v>
      </c>
      <c r="F167">
        <v>0</v>
      </c>
      <c r="G167">
        <v>44057.659999999996</v>
      </c>
    </row>
    <row r="168" spans="1:7" x14ac:dyDescent="0.35">
      <c r="A168" s="3">
        <v>45262</v>
      </c>
      <c r="B168">
        <v>10335.24</v>
      </c>
      <c r="C168">
        <v>0</v>
      </c>
      <c r="D168">
        <v>0</v>
      </c>
      <c r="E168">
        <v>0</v>
      </c>
      <c r="F168">
        <v>0</v>
      </c>
      <c r="G168">
        <v>10335.24</v>
      </c>
    </row>
    <row r="169" spans="1:7" x14ac:dyDescent="0.35">
      <c r="A169" s="3">
        <v>45264</v>
      </c>
      <c r="B169">
        <v>0</v>
      </c>
      <c r="C169">
        <v>0</v>
      </c>
      <c r="D169">
        <v>33044.410000000003</v>
      </c>
      <c r="E169">
        <v>0</v>
      </c>
      <c r="F169">
        <v>0</v>
      </c>
      <c r="G169">
        <v>33044.410000000003</v>
      </c>
    </row>
    <row r="170" spans="1:7" x14ac:dyDescent="0.35">
      <c r="A170" s="3">
        <v>45267</v>
      </c>
      <c r="B170">
        <v>433.17</v>
      </c>
      <c r="C170">
        <v>0</v>
      </c>
      <c r="D170">
        <v>0</v>
      </c>
      <c r="E170">
        <v>0</v>
      </c>
      <c r="F170">
        <v>0</v>
      </c>
      <c r="G170">
        <v>433.17</v>
      </c>
    </row>
    <row r="171" spans="1:7" x14ac:dyDescent="0.35">
      <c r="A171" s="3">
        <v>45268</v>
      </c>
      <c r="B171">
        <v>0</v>
      </c>
      <c r="C171">
        <v>6863.9</v>
      </c>
      <c r="D171">
        <v>0</v>
      </c>
      <c r="E171">
        <v>0</v>
      </c>
      <c r="F171">
        <v>0</v>
      </c>
      <c r="G171">
        <v>6863.9</v>
      </c>
    </row>
    <row r="172" spans="1:7" x14ac:dyDescent="0.35">
      <c r="A172" s="3">
        <v>45270</v>
      </c>
      <c r="B172">
        <v>0</v>
      </c>
      <c r="C172">
        <v>0</v>
      </c>
      <c r="D172">
        <v>0</v>
      </c>
      <c r="E172">
        <v>6424.9</v>
      </c>
      <c r="F172">
        <v>0</v>
      </c>
      <c r="G172">
        <v>6424.9</v>
      </c>
    </row>
    <row r="173" spans="1:7" x14ac:dyDescent="0.35">
      <c r="A173" s="3">
        <v>45274</v>
      </c>
      <c r="B173">
        <v>0</v>
      </c>
      <c r="C173">
        <v>0</v>
      </c>
      <c r="D173">
        <v>16177.55</v>
      </c>
      <c r="E173">
        <v>0</v>
      </c>
      <c r="F173">
        <v>0</v>
      </c>
      <c r="G173">
        <v>16177.55</v>
      </c>
    </row>
    <row r="174" spans="1:7" x14ac:dyDescent="0.35">
      <c r="A174" s="3">
        <v>45278</v>
      </c>
      <c r="B174">
        <v>0</v>
      </c>
      <c r="C174">
        <v>0</v>
      </c>
      <c r="D174">
        <v>2755.28</v>
      </c>
      <c r="E174">
        <v>0</v>
      </c>
      <c r="F174">
        <v>0</v>
      </c>
      <c r="G174">
        <v>2755.28</v>
      </c>
    </row>
    <row r="175" spans="1:7" x14ac:dyDescent="0.35">
      <c r="A175" s="3">
        <v>45281</v>
      </c>
      <c r="B175">
        <v>0</v>
      </c>
      <c r="C175">
        <v>0</v>
      </c>
      <c r="D175">
        <v>2888.2</v>
      </c>
      <c r="E175">
        <v>0</v>
      </c>
      <c r="F175">
        <v>0</v>
      </c>
      <c r="G175">
        <v>2888.2</v>
      </c>
    </row>
    <row r="176" spans="1:7" x14ac:dyDescent="0.35">
      <c r="A176" s="3">
        <v>45282</v>
      </c>
      <c r="B176">
        <v>6466.92</v>
      </c>
      <c r="C176">
        <v>0</v>
      </c>
      <c r="D176">
        <v>0</v>
      </c>
      <c r="E176">
        <v>0</v>
      </c>
      <c r="F176">
        <v>0</v>
      </c>
      <c r="G176">
        <v>6466.92</v>
      </c>
    </row>
    <row r="177" spans="1:7" x14ac:dyDescent="0.35">
      <c r="A177" s="3">
        <v>45284</v>
      </c>
      <c r="B177">
        <v>13362.48</v>
      </c>
      <c r="C177">
        <v>2559</v>
      </c>
      <c r="D177">
        <v>0</v>
      </c>
      <c r="E177">
        <v>0</v>
      </c>
      <c r="F177">
        <v>0</v>
      </c>
      <c r="G177">
        <v>15921.48</v>
      </c>
    </row>
    <row r="178" spans="1:7" x14ac:dyDescent="0.35">
      <c r="A178" s="3">
        <v>45286</v>
      </c>
      <c r="B178">
        <v>0</v>
      </c>
      <c r="C178">
        <v>0</v>
      </c>
      <c r="D178">
        <v>17904.39</v>
      </c>
      <c r="E178">
        <v>0</v>
      </c>
      <c r="F178">
        <v>0</v>
      </c>
      <c r="G178">
        <v>17904.39</v>
      </c>
    </row>
    <row r="179" spans="1:7" x14ac:dyDescent="0.35">
      <c r="A179" s="3">
        <v>45289</v>
      </c>
      <c r="B179">
        <v>0</v>
      </c>
      <c r="C179">
        <v>0</v>
      </c>
      <c r="D179">
        <v>0</v>
      </c>
      <c r="E179">
        <v>0</v>
      </c>
      <c r="F179">
        <v>64815.66</v>
      </c>
      <c r="G179">
        <v>64815.66</v>
      </c>
    </row>
    <row r="180" spans="1:7" x14ac:dyDescent="0.35">
      <c r="A180" s="3">
        <v>45291</v>
      </c>
      <c r="B180">
        <v>0</v>
      </c>
      <c r="C180">
        <v>21422.31</v>
      </c>
      <c r="D180">
        <v>0</v>
      </c>
      <c r="E180">
        <v>0</v>
      </c>
      <c r="F180">
        <v>0</v>
      </c>
      <c r="G180">
        <v>21422.31</v>
      </c>
    </row>
    <row r="181" spans="1:7" x14ac:dyDescent="0.35">
      <c r="A181" s="3" t="s">
        <v>37</v>
      </c>
      <c r="B181">
        <v>1523605.9299999997</v>
      </c>
      <c r="C181">
        <v>1126222.1100000001</v>
      </c>
      <c r="D181">
        <v>1263050.3099999998</v>
      </c>
      <c r="E181">
        <v>1185791.8899999999</v>
      </c>
      <c r="F181">
        <v>1568373.8800000001</v>
      </c>
      <c r="G181">
        <v>6667044.1200000001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3C94-3C99-4491-8689-575305A00A4D}">
  <sheetPr codeName="Sheet2"/>
  <dimension ref="D15:L23"/>
  <sheetViews>
    <sheetView topLeftCell="C10" zoomScale="85" zoomScaleNormal="85" workbookViewId="0">
      <selection activeCell="G12" sqref="G12"/>
    </sheetView>
  </sheetViews>
  <sheetFormatPr defaultRowHeight="14.5" x14ac:dyDescent="0.35"/>
  <cols>
    <col min="1" max="1" width="10.81640625" bestFit="1" customWidth="1"/>
    <col min="2" max="3" width="17" bestFit="1" customWidth="1"/>
    <col min="4" max="4" width="10.81640625" bestFit="1" customWidth="1"/>
    <col min="5" max="10" width="17" bestFit="1" customWidth="1"/>
    <col min="11" max="11" width="21.81640625" bestFit="1" customWidth="1"/>
    <col min="12" max="12" width="9.81640625" bestFit="1" customWidth="1"/>
    <col min="13" max="13" width="23.54296875" bestFit="1" customWidth="1"/>
  </cols>
  <sheetData>
    <row r="15" spans="4:12" x14ac:dyDescent="0.35">
      <c r="D15" s="1"/>
      <c r="E15" s="5" t="s">
        <v>1</v>
      </c>
      <c r="F15" s="5" t="s">
        <v>44</v>
      </c>
      <c r="G15" s="1"/>
      <c r="H15" s="1"/>
      <c r="I15" s="1"/>
      <c r="J15" s="1"/>
      <c r="K15" s="1"/>
      <c r="L15" s="1"/>
    </row>
    <row r="16" spans="4:12" x14ac:dyDescent="0.35">
      <c r="D16" s="1"/>
      <c r="E16" s="1" t="s">
        <v>20</v>
      </c>
      <c r="F16" s="1"/>
      <c r="G16" s="1" t="s">
        <v>12</v>
      </c>
      <c r="H16" s="1"/>
      <c r="I16" s="1" t="s">
        <v>8</v>
      </c>
      <c r="J16" s="1"/>
      <c r="K16" s="1" t="s">
        <v>42</v>
      </c>
      <c r="L16" s="1" t="s">
        <v>45</v>
      </c>
    </row>
    <row r="17" spans="4:12" x14ac:dyDescent="0.35">
      <c r="D17" s="5" t="s">
        <v>4</v>
      </c>
      <c r="E17" s="1" t="s">
        <v>43</v>
      </c>
      <c r="F17" s="1" t="s">
        <v>46</v>
      </c>
      <c r="G17" s="1" t="s">
        <v>43</v>
      </c>
      <c r="H17" s="1" t="s">
        <v>46</v>
      </c>
      <c r="I17" s="1" t="s">
        <v>43</v>
      </c>
      <c r="J17" s="1" t="s">
        <v>46</v>
      </c>
      <c r="K17" s="1"/>
      <c r="L17" s="1"/>
    </row>
    <row r="18" spans="4:12" x14ac:dyDescent="0.35">
      <c r="D18" s="1" t="s">
        <v>15</v>
      </c>
      <c r="E18" s="7">
        <v>0.13663101834099561</v>
      </c>
      <c r="F18" s="1">
        <v>5</v>
      </c>
      <c r="G18" s="7">
        <v>0.29521480635574221</v>
      </c>
      <c r="H18" s="1">
        <v>1</v>
      </c>
      <c r="I18" s="7">
        <v>0.20124745174560565</v>
      </c>
      <c r="J18" s="1">
        <v>3</v>
      </c>
      <c r="K18" s="7">
        <v>0.228527950704487</v>
      </c>
      <c r="L18" s="1">
        <v>2</v>
      </c>
    </row>
    <row r="19" spans="4:12" x14ac:dyDescent="0.35">
      <c r="D19" s="1" t="s">
        <v>27</v>
      </c>
      <c r="E19" s="7">
        <v>0.23129645716849914</v>
      </c>
      <c r="F19" s="1">
        <v>2</v>
      </c>
      <c r="G19" s="7">
        <v>0.18545147168992143</v>
      </c>
      <c r="H19" s="1">
        <v>4</v>
      </c>
      <c r="I19" s="7">
        <v>0.11820359930993957</v>
      </c>
      <c r="J19" s="1">
        <v>5</v>
      </c>
      <c r="K19" s="7">
        <v>0.16892375237498802</v>
      </c>
      <c r="L19" s="1">
        <v>5</v>
      </c>
    </row>
    <row r="20" spans="4:12" x14ac:dyDescent="0.35">
      <c r="D20" s="1" t="s">
        <v>24</v>
      </c>
      <c r="E20" s="7">
        <v>0.25022468497564559</v>
      </c>
      <c r="F20" s="1">
        <v>1</v>
      </c>
      <c r="G20" s="7">
        <v>0.13813574215669891</v>
      </c>
      <c r="H20" s="1">
        <v>5</v>
      </c>
      <c r="I20" s="7">
        <v>0.21556417453927701</v>
      </c>
      <c r="J20" s="1">
        <v>2</v>
      </c>
      <c r="K20" s="7">
        <v>0.18944682039992261</v>
      </c>
      <c r="L20" s="1">
        <v>3</v>
      </c>
    </row>
    <row r="21" spans="4:12" x14ac:dyDescent="0.35">
      <c r="D21" s="1" t="s">
        <v>18</v>
      </c>
      <c r="E21" s="7">
        <v>0.21384752898006806</v>
      </c>
      <c r="F21" s="1">
        <v>3</v>
      </c>
      <c r="G21" s="7">
        <v>0.18901680396878529</v>
      </c>
      <c r="H21" s="1">
        <v>3</v>
      </c>
      <c r="I21" s="7">
        <v>0.14677628916702865</v>
      </c>
      <c r="J21" s="1">
        <v>4</v>
      </c>
      <c r="K21" s="7">
        <v>0.17785871349535931</v>
      </c>
      <c r="L21" s="1">
        <v>4</v>
      </c>
    </row>
    <row r="22" spans="4:12" x14ac:dyDescent="0.35">
      <c r="D22" s="1" t="s">
        <v>11</v>
      </c>
      <c r="E22" s="7">
        <v>0.1680003105347917</v>
      </c>
      <c r="F22" s="1">
        <v>4</v>
      </c>
      <c r="G22" s="7">
        <v>0.19218117582885227</v>
      </c>
      <c r="H22" s="1">
        <v>2</v>
      </c>
      <c r="I22" s="7">
        <v>0.3182084852381491</v>
      </c>
      <c r="J22" s="1">
        <v>1</v>
      </c>
      <c r="K22" s="7">
        <v>0.23524276302524302</v>
      </c>
      <c r="L22" s="1">
        <v>1</v>
      </c>
    </row>
    <row r="23" spans="4:12" x14ac:dyDescent="0.35">
      <c r="D23" s="1" t="s">
        <v>37</v>
      </c>
      <c r="E23" s="7">
        <v>1</v>
      </c>
      <c r="F23" s="1"/>
      <c r="G23" s="7">
        <v>1</v>
      </c>
      <c r="H23" s="1"/>
      <c r="I23" s="7">
        <v>1</v>
      </c>
      <c r="J23" s="1"/>
      <c r="K23" s="7">
        <v>1</v>
      </c>
      <c r="L23" s="1"/>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70B8-610B-43CA-AACF-0CB8AE83BA85}">
  <sheetPr codeName="Sheet3"/>
  <dimension ref="A3:G70"/>
  <sheetViews>
    <sheetView topLeftCell="B4" workbookViewId="0">
      <selection activeCell="I7" sqref="I7"/>
    </sheetView>
  </sheetViews>
  <sheetFormatPr defaultRowHeight="14.5" x14ac:dyDescent="0.35"/>
  <cols>
    <col min="1" max="1" width="14.54296875" bestFit="1" customWidth="1"/>
    <col min="2" max="2" width="15.26953125" bestFit="1" customWidth="1"/>
    <col min="3" max="3" width="5.7265625" bestFit="1" customWidth="1"/>
    <col min="4" max="4" width="5.1796875" bestFit="1" customWidth="1"/>
    <col min="5" max="5" width="10.7265625" bestFit="1" customWidth="1"/>
  </cols>
  <sheetData>
    <row r="3" spans="1:7" x14ac:dyDescent="0.35">
      <c r="A3" s="5" t="s">
        <v>74</v>
      </c>
      <c r="B3" s="5" t="s">
        <v>38</v>
      </c>
      <c r="C3" s="1"/>
      <c r="D3" s="1"/>
      <c r="E3" s="1"/>
    </row>
    <row r="4" spans="1:7" x14ac:dyDescent="0.35">
      <c r="A4" s="5" t="s">
        <v>36</v>
      </c>
      <c r="B4" s="1" t="s">
        <v>20</v>
      </c>
      <c r="C4" s="1" t="s">
        <v>12</v>
      </c>
      <c r="D4" s="1" t="s">
        <v>8</v>
      </c>
      <c r="E4" s="1" t="s">
        <v>37</v>
      </c>
    </row>
    <row r="5" spans="1:7" x14ac:dyDescent="0.35">
      <c r="A5" s="6" t="s">
        <v>15</v>
      </c>
      <c r="B5" s="1"/>
      <c r="C5" s="1"/>
      <c r="D5" s="1"/>
      <c r="E5" s="1"/>
    </row>
    <row r="6" spans="1:7" x14ac:dyDescent="0.35">
      <c r="A6" s="10" t="s">
        <v>55</v>
      </c>
      <c r="B6" s="1">
        <v>18</v>
      </c>
      <c r="C6" s="1">
        <v>50</v>
      </c>
      <c r="D6" s="1">
        <v>91</v>
      </c>
      <c r="E6" s="1">
        <v>159</v>
      </c>
    </row>
    <row r="7" spans="1:7" x14ac:dyDescent="0.35">
      <c r="A7" s="10" t="s">
        <v>59</v>
      </c>
      <c r="B7" s="1">
        <v>50</v>
      </c>
      <c r="C7" s="1">
        <v>114</v>
      </c>
      <c r="D7" s="1">
        <v>12</v>
      </c>
      <c r="E7" s="1">
        <v>176</v>
      </c>
    </row>
    <row r="8" spans="1:7" x14ac:dyDescent="0.35">
      <c r="A8" s="10" t="s">
        <v>54</v>
      </c>
      <c r="B8" s="1">
        <v>10</v>
      </c>
      <c r="C8" s="1">
        <v>86</v>
      </c>
      <c r="D8" s="1">
        <v>47</v>
      </c>
      <c r="E8" s="1">
        <v>143</v>
      </c>
    </row>
    <row r="9" spans="1:7" x14ac:dyDescent="0.35">
      <c r="A9" s="10" t="s">
        <v>49</v>
      </c>
      <c r="B9" s="1">
        <v>53</v>
      </c>
      <c r="C9" s="1">
        <v>158</v>
      </c>
      <c r="D9" s="1">
        <v>48</v>
      </c>
      <c r="E9" s="1">
        <v>259</v>
      </c>
    </row>
    <row r="10" spans="1:7" x14ac:dyDescent="0.35">
      <c r="A10" s="10" t="s">
        <v>52</v>
      </c>
      <c r="B10" s="1">
        <v>54</v>
      </c>
      <c r="C10" s="1">
        <v>73</v>
      </c>
      <c r="D10" s="1">
        <v>29</v>
      </c>
      <c r="E10" s="1">
        <v>156</v>
      </c>
      <c r="G10" t="s">
        <v>60</v>
      </c>
    </row>
    <row r="11" spans="1:7" x14ac:dyDescent="0.35">
      <c r="A11" s="10" t="s">
        <v>58</v>
      </c>
      <c r="B11" s="1">
        <v>36</v>
      </c>
      <c r="C11" s="1">
        <v>47</v>
      </c>
      <c r="D11" s="1">
        <v>165</v>
      </c>
      <c r="E11" s="1">
        <v>248</v>
      </c>
      <c r="G11" t="s">
        <v>61</v>
      </c>
    </row>
    <row r="12" spans="1:7" x14ac:dyDescent="0.35">
      <c r="A12" s="10" t="s">
        <v>53</v>
      </c>
      <c r="B12" s="1">
        <v>32</v>
      </c>
      <c r="C12" s="1">
        <v>68</v>
      </c>
      <c r="D12" s="1">
        <v>114</v>
      </c>
      <c r="E12" s="1">
        <v>214</v>
      </c>
    </row>
    <row r="13" spans="1:7" x14ac:dyDescent="0.35">
      <c r="A13" s="10" t="s">
        <v>56</v>
      </c>
      <c r="B13" s="1">
        <v>45</v>
      </c>
      <c r="C13" s="1">
        <v>103</v>
      </c>
      <c r="D13" s="1">
        <v>18</v>
      </c>
      <c r="E13" s="1">
        <v>166</v>
      </c>
    </row>
    <row r="14" spans="1:7" x14ac:dyDescent="0.35">
      <c r="A14" s="10" t="s">
        <v>48</v>
      </c>
      <c r="B14" s="1">
        <v>18</v>
      </c>
      <c r="C14" s="1">
        <v>67</v>
      </c>
      <c r="D14" s="1">
        <v>122</v>
      </c>
      <c r="E14" s="1">
        <v>207</v>
      </c>
    </row>
    <row r="15" spans="1:7" x14ac:dyDescent="0.35">
      <c r="A15" s="10" t="s">
        <v>51</v>
      </c>
      <c r="B15" s="1">
        <v>23</v>
      </c>
      <c r="C15" s="1">
        <v>116</v>
      </c>
      <c r="D15" s="1">
        <v>42</v>
      </c>
      <c r="E15" s="1">
        <v>181</v>
      </c>
    </row>
    <row r="16" spans="1:7" x14ac:dyDescent="0.35">
      <c r="A16" s="10" t="s">
        <v>57</v>
      </c>
      <c r="B16" s="1"/>
      <c r="C16" s="1">
        <v>68</v>
      </c>
      <c r="D16" s="1">
        <v>72</v>
      </c>
      <c r="E16" s="1">
        <v>140</v>
      </c>
    </row>
    <row r="17" spans="1:5" x14ac:dyDescent="0.35">
      <c r="A17" s="10" t="s">
        <v>50</v>
      </c>
      <c r="B17" s="1">
        <v>56</v>
      </c>
      <c r="C17" s="1">
        <v>105</v>
      </c>
      <c r="D17" s="1">
        <v>94</v>
      </c>
      <c r="E17" s="1">
        <v>255</v>
      </c>
    </row>
    <row r="18" spans="1:5" x14ac:dyDescent="0.35">
      <c r="A18" s="6" t="s">
        <v>27</v>
      </c>
      <c r="B18" s="1"/>
      <c r="C18" s="1"/>
      <c r="D18" s="1"/>
      <c r="E18" s="1"/>
    </row>
    <row r="19" spans="1:5" x14ac:dyDescent="0.35">
      <c r="A19" s="10" t="s">
        <v>55</v>
      </c>
      <c r="B19" s="1">
        <v>16</v>
      </c>
      <c r="C19" s="1">
        <v>83</v>
      </c>
      <c r="D19" s="1">
        <v>57</v>
      </c>
      <c r="E19" s="1">
        <v>156</v>
      </c>
    </row>
    <row r="20" spans="1:5" x14ac:dyDescent="0.35">
      <c r="A20" s="10" t="s">
        <v>59</v>
      </c>
      <c r="B20" s="1">
        <v>49</v>
      </c>
      <c r="C20" s="1">
        <v>32</v>
      </c>
      <c r="D20" s="1">
        <v>146</v>
      </c>
      <c r="E20" s="1">
        <v>227</v>
      </c>
    </row>
    <row r="21" spans="1:5" x14ac:dyDescent="0.35">
      <c r="A21" s="10" t="s">
        <v>54</v>
      </c>
      <c r="B21" s="1">
        <v>9</v>
      </c>
      <c r="C21" s="1">
        <v>45</v>
      </c>
      <c r="D21" s="1">
        <v>25</v>
      </c>
      <c r="E21" s="1">
        <v>79</v>
      </c>
    </row>
    <row r="22" spans="1:5" x14ac:dyDescent="0.35">
      <c r="A22" s="10" t="s">
        <v>49</v>
      </c>
      <c r="B22" s="1">
        <v>7</v>
      </c>
      <c r="C22" s="1">
        <v>45</v>
      </c>
      <c r="D22" s="1">
        <v>57</v>
      </c>
      <c r="E22" s="1">
        <v>109</v>
      </c>
    </row>
    <row r="23" spans="1:5" x14ac:dyDescent="0.35">
      <c r="A23" s="10" t="s">
        <v>52</v>
      </c>
      <c r="B23" s="1">
        <v>31</v>
      </c>
      <c r="C23" s="1">
        <v>66</v>
      </c>
      <c r="D23" s="1">
        <v>36</v>
      </c>
      <c r="E23" s="1">
        <v>133</v>
      </c>
    </row>
    <row r="24" spans="1:5" x14ac:dyDescent="0.35">
      <c r="A24" s="10" t="s">
        <v>58</v>
      </c>
      <c r="B24" s="1">
        <v>29</v>
      </c>
      <c r="C24" s="1">
        <v>76</v>
      </c>
      <c r="D24" s="1">
        <v>43</v>
      </c>
      <c r="E24" s="1">
        <v>148</v>
      </c>
    </row>
    <row r="25" spans="1:5" x14ac:dyDescent="0.35">
      <c r="A25" s="10" t="s">
        <v>53</v>
      </c>
      <c r="B25" s="1">
        <v>16</v>
      </c>
      <c r="C25" s="1">
        <v>63</v>
      </c>
      <c r="D25" s="1">
        <v>66</v>
      </c>
      <c r="E25" s="1">
        <v>145</v>
      </c>
    </row>
    <row r="26" spans="1:5" x14ac:dyDescent="0.35">
      <c r="A26" s="10" t="s">
        <v>56</v>
      </c>
      <c r="B26" s="1">
        <v>4</v>
      </c>
      <c r="C26" s="1">
        <v>100</v>
      </c>
      <c r="D26" s="1">
        <v>23</v>
      </c>
      <c r="E26" s="1">
        <v>127</v>
      </c>
    </row>
    <row r="27" spans="1:5" x14ac:dyDescent="0.35">
      <c r="A27" s="10" t="s">
        <v>48</v>
      </c>
      <c r="B27" s="1">
        <v>46</v>
      </c>
      <c r="C27" s="1">
        <v>71</v>
      </c>
      <c r="D27" s="1">
        <v>47</v>
      </c>
      <c r="E27" s="1">
        <v>164</v>
      </c>
    </row>
    <row r="28" spans="1:5" x14ac:dyDescent="0.35">
      <c r="A28" s="10" t="s">
        <v>51</v>
      </c>
      <c r="B28" s="1">
        <v>72</v>
      </c>
      <c r="C28" s="1">
        <v>61</v>
      </c>
      <c r="D28" s="1">
        <v>120</v>
      </c>
      <c r="E28" s="1">
        <v>253</v>
      </c>
    </row>
    <row r="29" spans="1:5" x14ac:dyDescent="0.35">
      <c r="A29" s="10" t="s">
        <v>57</v>
      </c>
      <c r="B29" s="1">
        <v>24</v>
      </c>
      <c r="C29" s="1">
        <v>73</v>
      </c>
      <c r="D29" s="1">
        <v>120</v>
      </c>
      <c r="E29" s="1">
        <v>217</v>
      </c>
    </row>
    <row r="30" spans="1:5" x14ac:dyDescent="0.35">
      <c r="A30" s="10" t="s">
        <v>50</v>
      </c>
      <c r="B30" s="1">
        <v>39</v>
      </c>
      <c r="C30" s="1">
        <v>67</v>
      </c>
      <c r="D30" s="1">
        <v>46</v>
      </c>
      <c r="E30" s="1">
        <v>152</v>
      </c>
    </row>
    <row r="31" spans="1:5" x14ac:dyDescent="0.35">
      <c r="A31" s="6" t="s">
        <v>24</v>
      </c>
      <c r="B31" s="1"/>
      <c r="C31" s="1"/>
      <c r="D31" s="1"/>
      <c r="E31" s="1"/>
    </row>
    <row r="32" spans="1:5" x14ac:dyDescent="0.35">
      <c r="A32" s="10" t="s">
        <v>55</v>
      </c>
      <c r="B32" s="1">
        <v>45</v>
      </c>
      <c r="C32" s="1">
        <v>127</v>
      </c>
      <c r="D32" s="1">
        <v>55</v>
      </c>
      <c r="E32" s="1">
        <v>227</v>
      </c>
    </row>
    <row r="33" spans="1:5" x14ac:dyDescent="0.35">
      <c r="A33" s="10" t="s">
        <v>59</v>
      </c>
      <c r="B33" s="1">
        <v>11</v>
      </c>
      <c r="C33" s="1">
        <v>90</v>
      </c>
      <c r="D33" s="1">
        <v>55</v>
      </c>
      <c r="E33" s="1">
        <v>156</v>
      </c>
    </row>
    <row r="34" spans="1:5" x14ac:dyDescent="0.35">
      <c r="A34" s="10" t="s">
        <v>54</v>
      </c>
      <c r="B34" s="1">
        <v>78</v>
      </c>
      <c r="C34" s="1">
        <v>22</v>
      </c>
      <c r="D34" s="1">
        <v>125</v>
      </c>
      <c r="E34" s="1">
        <v>225</v>
      </c>
    </row>
    <row r="35" spans="1:5" x14ac:dyDescent="0.35">
      <c r="A35" s="10" t="s">
        <v>49</v>
      </c>
      <c r="B35" s="1">
        <v>14</v>
      </c>
      <c r="C35" s="1">
        <v>53</v>
      </c>
      <c r="D35" s="1">
        <v>35</v>
      </c>
      <c r="E35" s="1">
        <v>102</v>
      </c>
    </row>
    <row r="36" spans="1:5" x14ac:dyDescent="0.35">
      <c r="A36" s="10" t="s">
        <v>52</v>
      </c>
      <c r="B36" s="1">
        <v>18</v>
      </c>
      <c r="C36" s="1">
        <v>18</v>
      </c>
      <c r="D36" s="1">
        <v>140</v>
      </c>
      <c r="E36" s="1">
        <v>176</v>
      </c>
    </row>
    <row r="37" spans="1:5" x14ac:dyDescent="0.35">
      <c r="A37" s="10" t="s">
        <v>58</v>
      </c>
      <c r="B37" s="1">
        <v>30</v>
      </c>
      <c r="C37" s="1">
        <v>71</v>
      </c>
      <c r="D37" s="1">
        <v>55</v>
      </c>
      <c r="E37" s="1">
        <v>156</v>
      </c>
    </row>
    <row r="38" spans="1:5" x14ac:dyDescent="0.35">
      <c r="A38" s="10" t="s">
        <v>53</v>
      </c>
      <c r="B38" s="1">
        <v>40</v>
      </c>
      <c r="C38" s="1">
        <v>47</v>
      </c>
      <c r="D38" s="1">
        <v>74</v>
      </c>
      <c r="E38" s="1">
        <v>161</v>
      </c>
    </row>
    <row r="39" spans="1:5" x14ac:dyDescent="0.35">
      <c r="A39" s="10" t="s">
        <v>56</v>
      </c>
      <c r="B39" s="1">
        <v>46</v>
      </c>
      <c r="C39" s="1">
        <v>90</v>
      </c>
      <c r="D39" s="1">
        <v>49</v>
      </c>
      <c r="E39" s="1">
        <v>185</v>
      </c>
    </row>
    <row r="40" spans="1:5" x14ac:dyDescent="0.35">
      <c r="A40" s="10" t="s">
        <v>48</v>
      </c>
      <c r="B40" s="1">
        <v>52</v>
      </c>
      <c r="C40" s="1">
        <v>88</v>
      </c>
      <c r="D40" s="1">
        <v>36</v>
      </c>
      <c r="E40" s="1">
        <v>176</v>
      </c>
    </row>
    <row r="41" spans="1:5" x14ac:dyDescent="0.35">
      <c r="A41" s="10" t="s">
        <v>51</v>
      </c>
      <c r="B41" s="1">
        <v>112</v>
      </c>
      <c r="C41" s="1">
        <v>43</v>
      </c>
      <c r="D41" s="1">
        <v>29</v>
      </c>
      <c r="E41" s="1">
        <v>184</v>
      </c>
    </row>
    <row r="42" spans="1:5" x14ac:dyDescent="0.35">
      <c r="A42" s="10" t="s">
        <v>57</v>
      </c>
      <c r="B42" s="1"/>
      <c r="C42" s="1">
        <v>52</v>
      </c>
      <c r="D42" s="1">
        <v>122</v>
      </c>
      <c r="E42" s="1">
        <v>174</v>
      </c>
    </row>
    <row r="43" spans="1:5" x14ac:dyDescent="0.35">
      <c r="A43" s="10" t="s">
        <v>50</v>
      </c>
      <c r="B43" s="1">
        <v>23</v>
      </c>
      <c r="C43" s="1">
        <v>63</v>
      </c>
      <c r="D43" s="1">
        <v>63</v>
      </c>
      <c r="E43" s="1">
        <v>149</v>
      </c>
    </row>
    <row r="44" spans="1:5" x14ac:dyDescent="0.35">
      <c r="A44" s="6" t="s">
        <v>18</v>
      </c>
      <c r="B44" s="1"/>
      <c r="C44" s="1"/>
      <c r="D44" s="1"/>
      <c r="E44" s="1"/>
    </row>
    <row r="45" spans="1:5" x14ac:dyDescent="0.35">
      <c r="A45" s="10" t="s">
        <v>55</v>
      </c>
      <c r="B45" s="1">
        <v>61</v>
      </c>
      <c r="C45" s="1">
        <v>76</v>
      </c>
      <c r="D45" s="1">
        <v>67</v>
      </c>
      <c r="E45" s="1">
        <v>204</v>
      </c>
    </row>
    <row r="46" spans="1:5" x14ac:dyDescent="0.35">
      <c r="A46" s="10" t="s">
        <v>59</v>
      </c>
      <c r="B46" s="1">
        <v>15</v>
      </c>
      <c r="C46" s="1">
        <v>54</v>
      </c>
      <c r="D46" s="1">
        <v>46</v>
      </c>
      <c r="E46" s="1">
        <v>115</v>
      </c>
    </row>
    <row r="47" spans="1:5" x14ac:dyDescent="0.35">
      <c r="A47" s="10" t="s">
        <v>54</v>
      </c>
      <c r="B47" s="1">
        <v>7</v>
      </c>
      <c r="C47" s="1">
        <v>47</v>
      </c>
      <c r="D47" s="1">
        <v>89</v>
      </c>
      <c r="E47" s="1">
        <v>143</v>
      </c>
    </row>
    <row r="48" spans="1:5" x14ac:dyDescent="0.35">
      <c r="A48" s="10" t="s">
        <v>49</v>
      </c>
      <c r="B48" s="1">
        <v>60</v>
      </c>
      <c r="C48" s="1">
        <v>65</v>
      </c>
      <c r="D48" s="1">
        <v>21</v>
      </c>
      <c r="E48" s="1">
        <v>146</v>
      </c>
    </row>
    <row r="49" spans="1:5" x14ac:dyDescent="0.35">
      <c r="A49" s="10" t="s">
        <v>52</v>
      </c>
      <c r="B49" s="1">
        <v>24</v>
      </c>
      <c r="C49" s="1">
        <v>77</v>
      </c>
      <c r="D49" s="1">
        <v>104</v>
      </c>
      <c r="E49" s="1">
        <v>205</v>
      </c>
    </row>
    <row r="50" spans="1:5" x14ac:dyDescent="0.35">
      <c r="A50" s="10" t="s">
        <v>58</v>
      </c>
      <c r="B50" s="1">
        <v>39</v>
      </c>
      <c r="C50" s="1">
        <v>112</v>
      </c>
      <c r="D50" s="1">
        <v>14</v>
      </c>
      <c r="E50" s="1">
        <v>165</v>
      </c>
    </row>
    <row r="51" spans="1:5" x14ac:dyDescent="0.35">
      <c r="A51" s="10" t="s">
        <v>53</v>
      </c>
      <c r="B51" s="1">
        <v>16</v>
      </c>
      <c r="C51" s="1">
        <v>44</v>
      </c>
      <c r="D51" s="1">
        <v>81</v>
      </c>
      <c r="E51" s="1">
        <v>141</v>
      </c>
    </row>
    <row r="52" spans="1:5" x14ac:dyDescent="0.35">
      <c r="A52" s="10" t="s">
        <v>56</v>
      </c>
      <c r="B52" s="1">
        <v>21</v>
      </c>
      <c r="C52" s="1">
        <v>55</v>
      </c>
      <c r="D52" s="1">
        <v>51</v>
      </c>
      <c r="E52" s="1">
        <v>127</v>
      </c>
    </row>
    <row r="53" spans="1:5" x14ac:dyDescent="0.35">
      <c r="A53" s="10" t="s">
        <v>48</v>
      </c>
      <c r="B53" s="1">
        <v>9</v>
      </c>
      <c r="C53" s="1">
        <v>130</v>
      </c>
      <c r="D53" s="1">
        <v>97</v>
      </c>
      <c r="E53" s="1">
        <v>236</v>
      </c>
    </row>
    <row r="54" spans="1:5" x14ac:dyDescent="0.35">
      <c r="A54" s="10" t="s">
        <v>51</v>
      </c>
      <c r="B54" s="1">
        <v>28</v>
      </c>
      <c r="C54" s="1">
        <v>76</v>
      </c>
      <c r="D54" s="1">
        <v>73</v>
      </c>
      <c r="E54" s="1">
        <v>177</v>
      </c>
    </row>
    <row r="55" spans="1:5" x14ac:dyDescent="0.35">
      <c r="A55" s="10" t="s">
        <v>57</v>
      </c>
      <c r="B55" s="1">
        <v>20</v>
      </c>
      <c r="C55" s="1">
        <v>106</v>
      </c>
      <c r="D55" s="1">
        <v>74</v>
      </c>
      <c r="E55" s="1">
        <v>200</v>
      </c>
    </row>
    <row r="56" spans="1:5" x14ac:dyDescent="0.35">
      <c r="A56" s="10" t="s">
        <v>50</v>
      </c>
      <c r="B56" s="1">
        <v>18</v>
      </c>
      <c r="C56" s="1">
        <v>95</v>
      </c>
      <c r="D56" s="1">
        <v>32</v>
      </c>
      <c r="E56" s="1">
        <v>145</v>
      </c>
    </row>
    <row r="57" spans="1:5" x14ac:dyDescent="0.35">
      <c r="A57" s="6" t="s">
        <v>11</v>
      </c>
      <c r="B57" s="1"/>
      <c r="C57" s="1"/>
      <c r="D57" s="1"/>
      <c r="E57" s="1"/>
    </row>
    <row r="58" spans="1:5" x14ac:dyDescent="0.35">
      <c r="A58" s="10" t="s">
        <v>55</v>
      </c>
      <c r="B58" s="1">
        <v>55</v>
      </c>
      <c r="C58" s="1">
        <v>75</v>
      </c>
      <c r="D58" s="1">
        <v>31</v>
      </c>
      <c r="E58" s="1">
        <v>161</v>
      </c>
    </row>
    <row r="59" spans="1:5" x14ac:dyDescent="0.35">
      <c r="A59" s="10" t="s">
        <v>59</v>
      </c>
      <c r="B59" s="1">
        <v>18</v>
      </c>
      <c r="C59" s="1">
        <v>82</v>
      </c>
      <c r="D59" s="1">
        <v>52</v>
      </c>
      <c r="E59" s="1">
        <v>152</v>
      </c>
    </row>
    <row r="60" spans="1:5" x14ac:dyDescent="0.35">
      <c r="A60" s="10" t="s">
        <v>54</v>
      </c>
      <c r="B60" s="1">
        <v>28</v>
      </c>
      <c r="C60" s="1">
        <v>93</v>
      </c>
      <c r="D60" s="1">
        <v>155</v>
      </c>
      <c r="E60" s="1">
        <v>276</v>
      </c>
    </row>
    <row r="61" spans="1:5" x14ac:dyDescent="0.35">
      <c r="A61" s="10" t="s">
        <v>49</v>
      </c>
      <c r="B61" s="1">
        <v>32</v>
      </c>
      <c r="C61" s="1">
        <v>67</v>
      </c>
      <c r="D61" s="1">
        <v>92</v>
      </c>
      <c r="E61" s="1">
        <v>191</v>
      </c>
    </row>
    <row r="62" spans="1:5" x14ac:dyDescent="0.35">
      <c r="A62" s="10" t="s">
        <v>52</v>
      </c>
      <c r="B62" s="1">
        <v>62</v>
      </c>
      <c r="C62" s="1">
        <v>84</v>
      </c>
      <c r="D62" s="1">
        <v>90</v>
      </c>
      <c r="E62" s="1">
        <v>236</v>
      </c>
    </row>
    <row r="63" spans="1:5" x14ac:dyDescent="0.35">
      <c r="A63" s="10" t="s">
        <v>58</v>
      </c>
      <c r="B63" s="1">
        <v>5</v>
      </c>
      <c r="C63" s="1">
        <v>33</v>
      </c>
      <c r="D63" s="1">
        <v>90</v>
      </c>
      <c r="E63" s="1">
        <v>128</v>
      </c>
    </row>
    <row r="64" spans="1:5" x14ac:dyDescent="0.35">
      <c r="A64" s="10" t="s">
        <v>53</v>
      </c>
      <c r="B64" s="1">
        <v>21</v>
      </c>
      <c r="C64" s="1">
        <v>106</v>
      </c>
      <c r="D64" s="1">
        <v>71</v>
      </c>
      <c r="E64" s="1">
        <v>198</v>
      </c>
    </row>
    <row r="65" spans="1:5" x14ac:dyDescent="0.35">
      <c r="A65" s="10" t="s">
        <v>56</v>
      </c>
      <c r="B65" s="1">
        <v>1</v>
      </c>
      <c r="C65" s="1">
        <v>37</v>
      </c>
      <c r="D65" s="1">
        <v>145</v>
      </c>
      <c r="E65" s="1">
        <v>183</v>
      </c>
    </row>
    <row r="66" spans="1:5" x14ac:dyDescent="0.35">
      <c r="A66" s="10" t="s">
        <v>48</v>
      </c>
      <c r="B66" s="1">
        <v>37</v>
      </c>
      <c r="C66" s="1">
        <v>41</v>
      </c>
      <c r="D66" s="1">
        <v>112</v>
      </c>
      <c r="E66" s="1">
        <v>190</v>
      </c>
    </row>
    <row r="67" spans="1:5" x14ac:dyDescent="0.35">
      <c r="A67" s="10" t="s">
        <v>51</v>
      </c>
      <c r="B67" s="1">
        <v>7</v>
      </c>
      <c r="C67" s="1">
        <v>80</v>
      </c>
      <c r="D67" s="1">
        <v>60</v>
      </c>
      <c r="E67" s="1">
        <v>147</v>
      </c>
    </row>
    <row r="68" spans="1:5" x14ac:dyDescent="0.35">
      <c r="A68" s="10" t="s">
        <v>57</v>
      </c>
      <c r="B68" s="1">
        <v>15</v>
      </c>
      <c r="C68" s="1">
        <v>74</v>
      </c>
      <c r="D68" s="1">
        <v>54</v>
      </c>
      <c r="E68" s="1">
        <v>143</v>
      </c>
    </row>
    <row r="69" spans="1:5" x14ac:dyDescent="0.35">
      <c r="A69" s="10" t="s">
        <v>50</v>
      </c>
      <c r="B69" s="1">
        <v>52</v>
      </c>
      <c r="C69" s="1">
        <v>120</v>
      </c>
      <c r="D69" s="1">
        <v>41</v>
      </c>
      <c r="E69" s="1">
        <v>213</v>
      </c>
    </row>
    <row r="70" spans="1:5" x14ac:dyDescent="0.35">
      <c r="A70" s="6" t="s">
        <v>37</v>
      </c>
      <c r="B70" s="1">
        <v>1857</v>
      </c>
      <c r="C70" s="1">
        <v>4430</v>
      </c>
      <c r="D70" s="1">
        <v>4220</v>
      </c>
      <c r="E70" s="1">
        <v>10507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C8BA-5511-42D0-9CC4-7B9955C6B2AD}">
  <sheetPr codeName="Sheet4"/>
  <dimension ref="A3:B22"/>
  <sheetViews>
    <sheetView workbookViewId="0">
      <selection activeCell="A4" sqref="A4:A13"/>
    </sheetView>
  </sheetViews>
  <sheetFormatPr defaultRowHeight="14.5" x14ac:dyDescent="0.35"/>
  <cols>
    <col min="1" max="1" width="17.7265625" bestFit="1" customWidth="1"/>
    <col min="2" max="2" width="20.1796875" bestFit="1" customWidth="1"/>
  </cols>
  <sheetData>
    <row r="3" spans="1:2" x14ac:dyDescent="0.35">
      <c r="A3" s="2" t="s">
        <v>36</v>
      </c>
      <c r="B3" t="s">
        <v>41</v>
      </c>
    </row>
    <row r="4" spans="1:2" x14ac:dyDescent="0.35">
      <c r="A4" s="4" t="s">
        <v>62</v>
      </c>
      <c r="B4">
        <v>66</v>
      </c>
    </row>
    <row r="5" spans="1:2" x14ac:dyDescent="0.35">
      <c r="A5" s="4" t="s">
        <v>63</v>
      </c>
      <c r="B5">
        <v>53</v>
      </c>
    </row>
    <row r="6" spans="1:2" x14ac:dyDescent="0.35">
      <c r="A6" s="4" t="s">
        <v>64</v>
      </c>
      <c r="B6">
        <v>27</v>
      </c>
    </row>
    <row r="7" spans="1:2" x14ac:dyDescent="0.35">
      <c r="A7" s="4" t="s">
        <v>65</v>
      </c>
      <c r="B7">
        <v>24</v>
      </c>
    </row>
    <row r="8" spans="1:2" x14ac:dyDescent="0.35">
      <c r="A8" s="4" t="s">
        <v>66</v>
      </c>
      <c r="B8">
        <v>19</v>
      </c>
    </row>
    <row r="9" spans="1:2" x14ac:dyDescent="0.35">
      <c r="A9" s="4" t="s">
        <v>67</v>
      </c>
      <c r="B9">
        <v>15</v>
      </c>
    </row>
    <row r="10" spans="1:2" x14ac:dyDescent="0.35">
      <c r="A10" s="4" t="s">
        <v>68</v>
      </c>
      <c r="B10">
        <v>14</v>
      </c>
    </row>
    <row r="11" spans="1:2" x14ac:dyDescent="0.35">
      <c r="A11" s="4" t="s">
        <v>69</v>
      </c>
      <c r="B11">
        <v>9</v>
      </c>
    </row>
    <row r="12" spans="1:2" x14ac:dyDescent="0.35">
      <c r="A12" s="4" t="s">
        <v>70</v>
      </c>
      <c r="B12">
        <v>7</v>
      </c>
    </row>
    <row r="13" spans="1:2" x14ac:dyDescent="0.35">
      <c r="A13" s="4" t="s">
        <v>71</v>
      </c>
      <c r="B13">
        <v>2</v>
      </c>
    </row>
    <row r="14" spans="1:2" x14ac:dyDescent="0.35">
      <c r="A14" s="4" t="s">
        <v>37</v>
      </c>
      <c r="B14">
        <v>236</v>
      </c>
    </row>
    <row r="20" spans="1:2" x14ac:dyDescent="0.35">
      <c r="A20" s="2" t="s">
        <v>36</v>
      </c>
      <c r="B20" t="s">
        <v>40</v>
      </c>
    </row>
    <row r="21" spans="1:2" x14ac:dyDescent="0.35">
      <c r="A21" s="4" t="s">
        <v>73</v>
      </c>
      <c r="B21">
        <v>236</v>
      </c>
    </row>
    <row r="22" spans="1:2" x14ac:dyDescent="0.35">
      <c r="A22" s="4" t="s">
        <v>37</v>
      </c>
      <c r="B22">
        <v>236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6EA2F-DDF1-45A0-A26B-75C2E28F6782}">
  <sheetPr codeName="Sheet5"/>
  <dimension ref="A3:B25"/>
  <sheetViews>
    <sheetView workbookViewId="0">
      <selection activeCell="B5" sqref="B5"/>
    </sheetView>
  </sheetViews>
  <sheetFormatPr defaultRowHeight="14.5" x14ac:dyDescent="0.35"/>
  <cols>
    <col min="1" max="1" width="12.36328125" style="8" bestFit="1" customWidth="1"/>
    <col min="2" max="2" width="18.7265625" style="8" bestFit="1" customWidth="1"/>
    <col min="3" max="3" width="9.26953125" style="8" bestFit="1" customWidth="1"/>
    <col min="4" max="4" width="7.6328125" style="8" bestFit="1" customWidth="1"/>
    <col min="5" max="5" width="10.7265625" style="8" bestFit="1" customWidth="1"/>
    <col min="6" max="6" width="7.26953125" style="8" bestFit="1" customWidth="1"/>
    <col min="7" max="7" width="5.1796875" style="8" bestFit="1" customWidth="1"/>
    <col min="8" max="8" width="9.7265625" style="8" bestFit="1" customWidth="1"/>
    <col min="9" max="9" width="13.453125" style="8" customWidth="1"/>
    <col min="10" max="10" width="20" style="8" customWidth="1"/>
    <col min="11" max="11" width="7.1796875" style="8" bestFit="1" customWidth="1"/>
    <col min="12" max="12" width="6.90625" style="8" bestFit="1" customWidth="1"/>
    <col min="13" max="13" width="9.26953125" style="8" bestFit="1" customWidth="1"/>
    <col min="14" max="14" width="5.08984375" style="8" bestFit="1" customWidth="1"/>
    <col min="15" max="15" width="5.26953125" style="8" bestFit="1" customWidth="1"/>
    <col min="16" max="16" width="9" style="8" bestFit="1" customWidth="1"/>
    <col min="17" max="17" width="10.7265625" style="8" bestFit="1" customWidth="1"/>
    <col min="18" max="16384" width="8.7265625" style="8"/>
  </cols>
  <sheetData>
    <row r="3" spans="1:2" x14ac:dyDescent="0.35">
      <c r="A3" s="8" t="s">
        <v>36</v>
      </c>
      <c r="B3" s="8" t="s">
        <v>39</v>
      </c>
    </row>
    <row r="4" spans="1:2" x14ac:dyDescent="0.35">
      <c r="A4" s="9" t="s">
        <v>55</v>
      </c>
      <c r="B4" s="8">
        <v>47284.210000000006</v>
      </c>
    </row>
    <row r="5" spans="1:2" x14ac:dyDescent="0.35">
      <c r="A5" s="9" t="s">
        <v>59</v>
      </c>
      <c r="B5" s="8">
        <v>39310.14</v>
      </c>
    </row>
    <row r="6" spans="1:2" x14ac:dyDescent="0.35">
      <c r="A6" s="9" t="s">
        <v>52</v>
      </c>
      <c r="B6" s="8">
        <v>71759.599999999991</v>
      </c>
    </row>
    <row r="7" spans="1:2" x14ac:dyDescent="0.35">
      <c r="A7" s="9" t="s">
        <v>58</v>
      </c>
      <c r="B7" s="8">
        <v>55015.67</v>
      </c>
    </row>
    <row r="8" spans="1:2" x14ac:dyDescent="0.35">
      <c r="A8" s="9" t="s">
        <v>53</v>
      </c>
      <c r="B8" s="8">
        <v>76524.44</v>
      </c>
    </row>
    <row r="9" spans="1:2" x14ac:dyDescent="0.35">
      <c r="A9" s="9" t="s">
        <v>56</v>
      </c>
      <c r="B9" s="8">
        <v>108791.56000000001</v>
      </c>
    </row>
    <row r="10" spans="1:2" x14ac:dyDescent="0.35">
      <c r="A10" s="9" t="s">
        <v>51</v>
      </c>
      <c r="B10" s="8">
        <v>15481.4</v>
      </c>
    </row>
    <row r="11" spans="1:2" x14ac:dyDescent="0.35">
      <c r="A11" s="9" t="s">
        <v>57</v>
      </c>
      <c r="B11" s="8">
        <v>30749.850000000002</v>
      </c>
    </row>
    <row r="12" spans="1:2" x14ac:dyDescent="0.35">
      <c r="A12" s="9" t="s">
        <v>50</v>
      </c>
      <c r="B12" s="8">
        <v>105796.20000000001</v>
      </c>
    </row>
    <row r="13" spans="1:2" x14ac:dyDescent="0.35">
      <c r="A13" s="9" t="s">
        <v>37</v>
      </c>
      <c r="B13" s="8">
        <v>550713.07000000007</v>
      </c>
    </row>
    <row r="14" spans="1:2" x14ac:dyDescent="0.35">
      <c r="A14"/>
      <c r="B14"/>
    </row>
    <row r="15" spans="1:2" x14ac:dyDescent="0.35">
      <c r="A15"/>
      <c r="B15"/>
    </row>
    <row r="16" spans="1:2" x14ac:dyDescent="0.35">
      <c r="A16"/>
      <c r="B16"/>
    </row>
    <row r="19" spans="1:2" x14ac:dyDescent="0.35">
      <c r="A19" s="8" t="s">
        <v>36</v>
      </c>
      <c r="B19" s="8" t="s">
        <v>39</v>
      </c>
    </row>
    <row r="20" spans="1:2" x14ac:dyDescent="0.35">
      <c r="A20" s="9" t="s">
        <v>15</v>
      </c>
      <c r="B20" s="8">
        <v>107870.59</v>
      </c>
    </row>
    <row r="21" spans="1:2" x14ac:dyDescent="0.35">
      <c r="A21" s="9" t="s">
        <v>27</v>
      </c>
      <c r="B21" s="8">
        <v>132686.72</v>
      </c>
    </row>
    <row r="22" spans="1:2" x14ac:dyDescent="0.35">
      <c r="A22" s="9" t="s">
        <v>24</v>
      </c>
      <c r="B22" s="8">
        <v>52783.7</v>
      </c>
    </row>
    <row r="23" spans="1:2" x14ac:dyDescent="0.35">
      <c r="A23" s="9" t="s">
        <v>18</v>
      </c>
      <c r="B23" s="8">
        <v>120154.29999999999</v>
      </c>
    </row>
    <row r="24" spans="1:2" x14ac:dyDescent="0.35">
      <c r="A24" s="9" t="s">
        <v>11</v>
      </c>
      <c r="B24" s="8">
        <v>137217.75999999998</v>
      </c>
    </row>
    <row r="25" spans="1:2" x14ac:dyDescent="0.35">
      <c r="A25" s="9" t="s">
        <v>37</v>
      </c>
      <c r="B25" s="8">
        <v>550713.06999999995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AACF-4FFA-4EB5-AB90-6319D60F2BAD}">
  <sheetPr codeName="Sheet6"/>
  <dimension ref="A3:J29"/>
  <sheetViews>
    <sheetView topLeftCell="A4" workbookViewId="0">
      <selection activeCell="B5" sqref="B5"/>
    </sheetView>
  </sheetViews>
  <sheetFormatPr defaultRowHeight="14.5" x14ac:dyDescent="0.35"/>
  <cols>
    <col min="1" max="1" width="12.36328125" style="11" bestFit="1" customWidth="1"/>
    <col min="2" max="2" width="14.54296875" style="11" bestFit="1" customWidth="1"/>
    <col min="3" max="3" width="9.81640625" style="11" bestFit="1" customWidth="1"/>
    <col min="4" max="4" width="8.6328125" style="11" bestFit="1" customWidth="1"/>
    <col min="5" max="5" width="8.7265625" style="11" bestFit="1" customWidth="1"/>
    <col min="6" max="6" width="9.453125" style="11" bestFit="1" customWidth="1"/>
    <col min="7" max="7" width="10.7265625" style="11" bestFit="1" customWidth="1"/>
    <col min="8" max="12" width="15.26953125" style="11" bestFit="1" customWidth="1"/>
    <col min="13" max="13" width="10.7265625" style="11" bestFit="1" customWidth="1"/>
    <col min="14" max="16384" width="8.7265625" style="11"/>
  </cols>
  <sheetData>
    <row r="3" spans="1:10" x14ac:dyDescent="0.35">
      <c r="A3" s="11" t="s">
        <v>36</v>
      </c>
      <c r="B3" s="11" t="s">
        <v>74</v>
      </c>
    </row>
    <row r="4" spans="1:10" x14ac:dyDescent="0.35">
      <c r="A4" s="12" t="s">
        <v>15</v>
      </c>
      <c r="B4" s="11">
        <v>581</v>
      </c>
      <c r="J4" s="13"/>
    </row>
    <row r="5" spans="1:10" x14ac:dyDescent="0.35">
      <c r="A5" s="12" t="s">
        <v>27</v>
      </c>
      <c r="B5" s="11">
        <v>445</v>
      </c>
    </row>
    <row r="6" spans="1:10" x14ac:dyDescent="0.35">
      <c r="A6" s="12" t="s">
        <v>24</v>
      </c>
      <c r="B6" s="11">
        <v>450</v>
      </c>
    </row>
    <row r="7" spans="1:10" x14ac:dyDescent="0.35">
      <c r="A7" s="12" t="s">
        <v>18</v>
      </c>
      <c r="B7" s="11">
        <v>483</v>
      </c>
    </row>
    <row r="8" spans="1:10" x14ac:dyDescent="0.35">
      <c r="A8" s="12" t="s">
        <v>11</v>
      </c>
      <c r="B8" s="11">
        <v>566</v>
      </c>
    </row>
    <row r="9" spans="1:10" x14ac:dyDescent="0.35">
      <c r="A9" s="12" t="s">
        <v>37</v>
      </c>
      <c r="B9" s="11">
        <v>2525</v>
      </c>
    </row>
    <row r="10" spans="1:10" x14ac:dyDescent="0.35">
      <c r="I10" s="12"/>
    </row>
    <row r="11" spans="1:10" x14ac:dyDescent="0.35">
      <c r="I11" s="12"/>
    </row>
    <row r="12" spans="1:10" x14ac:dyDescent="0.35">
      <c r="I12" s="12"/>
    </row>
    <row r="13" spans="1:10" x14ac:dyDescent="0.35">
      <c r="I13" s="12"/>
    </row>
    <row r="14" spans="1:10" x14ac:dyDescent="0.35">
      <c r="I14" s="12"/>
    </row>
    <row r="15" spans="1:10" x14ac:dyDescent="0.35">
      <c r="I15" s="12"/>
    </row>
    <row r="16" spans="1:10" x14ac:dyDescent="0.35">
      <c r="A16" s="11" t="s">
        <v>36</v>
      </c>
      <c r="B16" s="11" t="s">
        <v>41</v>
      </c>
      <c r="I16" s="12"/>
    </row>
    <row r="17" spans="1:9" x14ac:dyDescent="0.35">
      <c r="A17" s="12" t="s">
        <v>55</v>
      </c>
      <c r="B17" s="11">
        <v>21</v>
      </c>
      <c r="I17" s="12"/>
    </row>
    <row r="18" spans="1:9" x14ac:dyDescent="0.35">
      <c r="A18" s="12" t="s">
        <v>59</v>
      </c>
      <c r="B18" s="11">
        <v>21</v>
      </c>
      <c r="I18" s="12"/>
    </row>
    <row r="19" spans="1:9" x14ac:dyDescent="0.35">
      <c r="A19" s="12" t="s">
        <v>54</v>
      </c>
      <c r="B19" s="11">
        <v>15</v>
      </c>
      <c r="I19" s="12"/>
    </row>
    <row r="20" spans="1:9" x14ac:dyDescent="0.35">
      <c r="A20" s="12" t="s">
        <v>49</v>
      </c>
      <c r="B20" s="11">
        <v>21</v>
      </c>
      <c r="I20" s="12"/>
    </row>
    <row r="21" spans="1:9" x14ac:dyDescent="0.35">
      <c r="A21" s="12" t="s">
        <v>52</v>
      </c>
      <c r="B21" s="11">
        <v>15</v>
      </c>
      <c r="I21" s="12"/>
    </row>
    <row r="22" spans="1:9" x14ac:dyDescent="0.35">
      <c r="A22" s="12" t="s">
        <v>58</v>
      </c>
      <c r="B22" s="11">
        <v>18</v>
      </c>
    </row>
    <row r="23" spans="1:9" x14ac:dyDescent="0.35">
      <c r="A23" s="12" t="s">
        <v>53</v>
      </c>
      <c r="B23" s="11">
        <v>24</v>
      </c>
    </row>
    <row r="24" spans="1:9" x14ac:dyDescent="0.35">
      <c r="A24" s="12" t="s">
        <v>56</v>
      </c>
      <c r="B24" s="11">
        <v>17</v>
      </c>
    </row>
    <row r="25" spans="1:9" x14ac:dyDescent="0.35">
      <c r="A25" s="12" t="s">
        <v>48</v>
      </c>
      <c r="B25" s="11">
        <v>23</v>
      </c>
    </row>
    <row r="26" spans="1:9" x14ac:dyDescent="0.35">
      <c r="A26" s="12" t="s">
        <v>51</v>
      </c>
      <c r="B26" s="11">
        <v>20</v>
      </c>
    </row>
    <row r="27" spans="1:9" x14ac:dyDescent="0.35">
      <c r="A27" s="12" t="s">
        <v>57</v>
      </c>
      <c r="B27" s="11">
        <v>16</v>
      </c>
    </row>
    <row r="28" spans="1:9" x14ac:dyDescent="0.35">
      <c r="A28" s="12" t="s">
        <v>50</v>
      </c>
      <c r="B28" s="11">
        <v>25</v>
      </c>
    </row>
    <row r="29" spans="1:9" x14ac:dyDescent="0.35">
      <c r="A29" s="12" t="s">
        <v>37</v>
      </c>
      <c r="B29" s="11">
        <v>236</v>
      </c>
    </row>
  </sheetData>
  <sortState xmlns:xlrd2="http://schemas.microsoft.com/office/spreadsheetml/2017/richdata2" ref="I10:J21">
    <sortCondition ref="J10:J21"/>
  </sortState>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610D3-652F-4509-B7CD-C69DDBA533E8}">
  <dimension ref="A3:I48"/>
  <sheetViews>
    <sheetView topLeftCell="D27" workbookViewId="0">
      <selection activeCell="G32" sqref="G32:I47"/>
    </sheetView>
  </sheetViews>
  <sheetFormatPr defaultRowHeight="14.5" x14ac:dyDescent="0.35"/>
  <cols>
    <col min="1" max="1" width="11.6328125" bestFit="1" customWidth="1"/>
    <col min="2" max="2" width="8.7265625" bestFit="1" customWidth="1"/>
    <col min="3" max="3" width="18.7265625" bestFit="1" customWidth="1"/>
    <col min="7" max="7" width="11.7265625" bestFit="1" customWidth="1"/>
    <col min="8" max="8" width="11" bestFit="1" customWidth="1"/>
    <col min="9" max="9" width="20.453125" customWidth="1"/>
  </cols>
  <sheetData>
    <row r="3" spans="1:9" x14ac:dyDescent="0.35">
      <c r="A3" s="2" t="s">
        <v>4</v>
      </c>
      <c r="B3" s="2" t="s">
        <v>1</v>
      </c>
      <c r="C3" t="s">
        <v>39</v>
      </c>
    </row>
    <row r="4" spans="1:9" x14ac:dyDescent="0.35">
      <c r="A4" t="s">
        <v>15</v>
      </c>
      <c r="B4" t="s">
        <v>20</v>
      </c>
      <c r="C4">
        <v>814941.65999999992</v>
      </c>
      <c r="G4" s="24" t="s">
        <v>4</v>
      </c>
      <c r="H4" s="24" t="s">
        <v>1</v>
      </c>
      <c r="I4" s="24" t="s">
        <v>39</v>
      </c>
    </row>
    <row r="5" spans="1:9" x14ac:dyDescent="0.35">
      <c r="A5" t="s">
        <v>15</v>
      </c>
      <c r="B5" t="s">
        <v>12</v>
      </c>
      <c r="C5">
        <v>2759147.6099999994</v>
      </c>
      <c r="G5" s="25" t="s">
        <v>15</v>
      </c>
      <c r="H5" t="s">
        <v>20</v>
      </c>
      <c r="I5">
        <f>GETPIVOTDATA("Sales Amount",$A$3,"Region",H5,"Product",G5)</f>
        <v>814941.65999999992</v>
      </c>
    </row>
    <row r="6" spans="1:9" x14ac:dyDescent="0.35">
      <c r="A6" t="s">
        <v>15</v>
      </c>
      <c r="B6" t="s">
        <v>8</v>
      </c>
      <c r="C6">
        <v>2187722.3300000005</v>
      </c>
      <c r="G6" s="25" t="s">
        <v>15</v>
      </c>
      <c r="H6" t="s">
        <v>12</v>
      </c>
      <c r="I6">
        <f t="shared" ref="I6:I19" si="0">GETPIVOTDATA("Sales Amount",$A$3,"Region",H6,"Product",G6)</f>
        <v>2759147.6099999994</v>
      </c>
    </row>
    <row r="7" spans="1:9" x14ac:dyDescent="0.35">
      <c r="A7" t="s">
        <v>27</v>
      </c>
      <c r="B7" t="s">
        <v>20</v>
      </c>
      <c r="C7">
        <v>967800.24</v>
      </c>
      <c r="G7" s="26" t="s">
        <v>15</v>
      </c>
      <c r="H7" t="s">
        <v>8</v>
      </c>
      <c r="I7">
        <f t="shared" si="0"/>
        <v>2187722.3300000005</v>
      </c>
    </row>
    <row r="8" spans="1:9" x14ac:dyDescent="0.35">
      <c r="A8" t="s">
        <v>27</v>
      </c>
      <c r="B8" t="s">
        <v>12</v>
      </c>
      <c r="C8">
        <v>1826773.4399999995</v>
      </c>
      <c r="G8" s="25" t="s">
        <v>27</v>
      </c>
      <c r="H8" t="s">
        <v>20</v>
      </c>
      <c r="I8">
        <f t="shared" si="0"/>
        <v>967800.24</v>
      </c>
    </row>
    <row r="9" spans="1:9" x14ac:dyDescent="0.35">
      <c r="A9" t="s">
        <v>27</v>
      </c>
      <c r="B9" t="s">
        <v>8</v>
      </c>
      <c r="C9">
        <v>2007796.03</v>
      </c>
      <c r="G9" s="25" t="s">
        <v>27</v>
      </c>
      <c r="H9" t="s">
        <v>12</v>
      </c>
      <c r="I9">
        <f t="shared" si="0"/>
        <v>1826773.4399999995</v>
      </c>
    </row>
    <row r="10" spans="1:9" x14ac:dyDescent="0.35">
      <c r="A10" t="s">
        <v>24</v>
      </c>
      <c r="B10" t="s">
        <v>20</v>
      </c>
      <c r="C10">
        <v>1269248.1200000003</v>
      </c>
      <c r="G10" s="26" t="s">
        <v>27</v>
      </c>
      <c r="H10" t="s">
        <v>8</v>
      </c>
      <c r="I10">
        <f t="shared" si="0"/>
        <v>2007796.03</v>
      </c>
    </row>
    <row r="11" spans="1:9" x14ac:dyDescent="0.35">
      <c r="A11" t="s">
        <v>24</v>
      </c>
      <c r="B11" t="s">
        <v>12</v>
      </c>
      <c r="C11">
        <v>1879853.8900000004</v>
      </c>
      <c r="G11" s="25" t="s">
        <v>24</v>
      </c>
      <c r="H11" t="s">
        <v>20</v>
      </c>
      <c r="I11">
        <f t="shared" si="0"/>
        <v>1269248.1200000003</v>
      </c>
    </row>
    <row r="12" spans="1:9" x14ac:dyDescent="0.35">
      <c r="A12" t="s">
        <v>24</v>
      </c>
      <c r="B12" t="s">
        <v>8</v>
      </c>
      <c r="C12">
        <v>2537618.41</v>
      </c>
      <c r="G12" s="25" t="s">
        <v>24</v>
      </c>
      <c r="H12" t="s">
        <v>12</v>
      </c>
      <c r="I12">
        <f t="shared" si="0"/>
        <v>1879853.8900000004</v>
      </c>
    </row>
    <row r="13" spans="1:9" x14ac:dyDescent="0.35">
      <c r="A13" t="s">
        <v>18</v>
      </c>
      <c r="B13" t="s">
        <v>20</v>
      </c>
      <c r="C13">
        <v>878539.65999999992</v>
      </c>
      <c r="G13" s="26" t="s">
        <v>24</v>
      </c>
      <c r="H13" t="s">
        <v>8</v>
      </c>
      <c r="I13">
        <f t="shared" si="0"/>
        <v>2537618.41</v>
      </c>
    </row>
    <row r="14" spans="1:9" x14ac:dyDescent="0.35">
      <c r="A14" t="s">
        <v>18</v>
      </c>
      <c r="B14" t="s">
        <v>12</v>
      </c>
      <c r="C14">
        <v>2526631.1299999994</v>
      </c>
      <c r="G14" s="25" t="s">
        <v>18</v>
      </c>
      <c r="H14" t="s">
        <v>20</v>
      </c>
      <c r="I14">
        <f t="shared" si="0"/>
        <v>878539.65999999992</v>
      </c>
    </row>
    <row r="15" spans="1:9" x14ac:dyDescent="0.35">
      <c r="A15" t="s">
        <v>18</v>
      </c>
      <c r="B15" t="s">
        <v>8</v>
      </c>
      <c r="C15">
        <v>1652792.04</v>
      </c>
      <c r="G15" s="25" t="s">
        <v>18</v>
      </c>
      <c r="H15" t="s">
        <v>12</v>
      </c>
      <c r="I15">
        <f t="shared" si="0"/>
        <v>2526631.1299999994</v>
      </c>
    </row>
    <row r="16" spans="1:9" x14ac:dyDescent="0.35">
      <c r="A16" t="s">
        <v>11</v>
      </c>
      <c r="B16" t="s">
        <v>20</v>
      </c>
      <c r="C16">
        <v>859154.95000000019</v>
      </c>
      <c r="G16" s="26" t="s">
        <v>18</v>
      </c>
      <c r="H16" t="s">
        <v>8</v>
      </c>
      <c r="I16">
        <f t="shared" si="0"/>
        <v>1652792.04</v>
      </c>
    </row>
    <row r="17" spans="1:9" x14ac:dyDescent="0.35">
      <c r="A17" t="s">
        <v>11</v>
      </c>
      <c r="B17" t="s">
        <v>12</v>
      </c>
      <c r="C17">
        <v>2418709.2700000005</v>
      </c>
      <c r="G17" s="25" t="s">
        <v>11</v>
      </c>
      <c r="H17" t="s">
        <v>20</v>
      </c>
      <c r="I17">
        <f t="shared" si="0"/>
        <v>859154.95000000019</v>
      </c>
    </row>
    <row r="18" spans="1:9" x14ac:dyDescent="0.35">
      <c r="A18" t="s">
        <v>11</v>
      </c>
      <c r="B18" t="s">
        <v>8</v>
      </c>
      <c r="C18">
        <v>2892334.41</v>
      </c>
      <c r="G18" s="25" t="s">
        <v>11</v>
      </c>
      <c r="H18" t="s">
        <v>12</v>
      </c>
      <c r="I18">
        <f t="shared" si="0"/>
        <v>2418709.2700000005</v>
      </c>
    </row>
    <row r="19" spans="1:9" x14ac:dyDescent="0.35">
      <c r="A19" t="s">
        <v>37</v>
      </c>
      <c r="C19">
        <v>27479063.189999998</v>
      </c>
      <c r="G19" s="26" t="s">
        <v>11</v>
      </c>
      <c r="H19" t="s">
        <v>8</v>
      </c>
      <c r="I19">
        <f t="shared" si="0"/>
        <v>2892334.41</v>
      </c>
    </row>
    <row r="32" spans="1:9" x14ac:dyDescent="0.35">
      <c r="A32" s="2" t="s">
        <v>2</v>
      </c>
      <c r="B32" s="2" t="s">
        <v>3</v>
      </c>
      <c r="C32" t="s">
        <v>39</v>
      </c>
      <c r="G32" s="24" t="s">
        <v>2</v>
      </c>
      <c r="H32" s="24" t="s">
        <v>3</v>
      </c>
      <c r="I32" s="24" t="s">
        <v>39</v>
      </c>
    </row>
    <row r="33" spans="1:9" x14ac:dyDescent="0.35">
      <c r="A33" t="s">
        <v>21</v>
      </c>
      <c r="B33" t="s">
        <v>35</v>
      </c>
      <c r="C33">
        <v>1330303.4400000004</v>
      </c>
      <c r="G33" s="25" t="s">
        <v>21</v>
      </c>
      <c r="H33" t="s">
        <v>35</v>
      </c>
      <c r="I33">
        <f>GETPIVOTDATA("Sales Amount",$A$32,"State",G33,"City",H33)</f>
        <v>1330303.4400000004</v>
      </c>
    </row>
    <row r="34" spans="1:9" x14ac:dyDescent="0.35">
      <c r="A34" t="s">
        <v>21</v>
      </c>
      <c r="B34" t="s">
        <v>34</v>
      </c>
      <c r="C34">
        <v>1164799.72</v>
      </c>
      <c r="G34" s="25" t="s">
        <v>21</v>
      </c>
      <c r="H34" t="s">
        <v>34</v>
      </c>
      <c r="I34">
        <f t="shared" ref="I34:I47" si="1">GETPIVOTDATA("Sales Amount",$A$32,"State",G34,"City",H34)</f>
        <v>1164799.72</v>
      </c>
    </row>
    <row r="35" spans="1:9" x14ac:dyDescent="0.35">
      <c r="A35" t="s">
        <v>21</v>
      </c>
      <c r="B35" t="s">
        <v>22</v>
      </c>
      <c r="C35">
        <v>2294581.4700000002</v>
      </c>
      <c r="G35" s="26" t="s">
        <v>21</v>
      </c>
      <c r="H35" t="s">
        <v>22</v>
      </c>
      <c r="I35">
        <f t="shared" si="1"/>
        <v>2294581.4700000002</v>
      </c>
    </row>
    <row r="36" spans="1:9" x14ac:dyDescent="0.35">
      <c r="A36" t="s">
        <v>28</v>
      </c>
      <c r="B36" t="s">
        <v>29</v>
      </c>
      <c r="C36">
        <v>2104800.63</v>
      </c>
      <c r="G36" s="25" t="s">
        <v>28</v>
      </c>
      <c r="H36" t="s">
        <v>29</v>
      </c>
      <c r="I36">
        <f t="shared" si="1"/>
        <v>2104800.63</v>
      </c>
    </row>
    <row r="37" spans="1:9" x14ac:dyDescent="0.35">
      <c r="A37" t="s">
        <v>28</v>
      </c>
      <c r="B37" t="s">
        <v>32</v>
      </c>
      <c r="C37">
        <v>1379882.43</v>
      </c>
      <c r="G37" s="25" t="s">
        <v>28</v>
      </c>
      <c r="H37" t="s">
        <v>32</v>
      </c>
      <c r="I37">
        <f t="shared" si="1"/>
        <v>1379882.43</v>
      </c>
    </row>
    <row r="38" spans="1:9" x14ac:dyDescent="0.35">
      <c r="A38" t="s">
        <v>28</v>
      </c>
      <c r="B38" t="s">
        <v>30</v>
      </c>
      <c r="C38">
        <v>1643990.8099999998</v>
      </c>
      <c r="G38" s="26" t="s">
        <v>28</v>
      </c>
      <c r="H38" t="s">
        <v>30</v>
      </c>
      <c r="I38">
        <f t="shared" si="1"/>
        <v>1643990.8099999998</v>
      </c>
    </row>
    <row r="39" spans="1:9" x14ac:dyDescent="0.35">
      <c r="A39" t="s">
        <v>13</v>
      </c>
      <c r="B39" t="s">
        <v>33</v>
      </c>
      <c r="C39">
        <v>2014542.2099999995</v>
      </c>
      <c r="G39" s="25" t="s">
        <v>13</v>
      </c>
      <c r="H39" t="s">
        <v>33</v>
      </c>
      <c r="I39">
        <f t="shared" si="1"/>
        <v>2014542.2099999995</v>
      </c>
    </row>
    <row r="40" spans="1:9" x14ac:dyDescent="0.35">
      <c r="A40" t="s">
        <v>13</v>
      </c>
      <c r="B40" t="s">
        <v>26</v>
      </c>
      <c r="C40">
        <v>2170276.38</v>
      </c>
      <c r="G40" s="25" t="s">
        <v>13</v>
      </c>
      <c r="H40" t="s">
        <v>26</v>
      </c>
      <c r="I40">
        <f t="shared" si="1"/>
        <v>2170276.38</v>
      </c>
    </row>
    <row r="41" spans="1:9" x14ac:dyDescent="0.35">
      <c r="A41" t="s">
        <v>13</v>
      </c>
      <c r="B41" t="s">
        <v>14</v>
      </c>
      <c r="C41">
        <v>1817297.62</v>
      </c>
      <c r="G41" s="26" t="s">
        <v>13</v>
      </c>
      <c r="H41" t="s">
        <v>14</v>
      </c>
      <c r="I41">
        <f t="shared" si="1"/>
        <v>1817297.62</v>
      </c>
    </row>
    <row r="42" spans="1:9" x14ac:dyDescent="0.35">
      <c r="A42" t="s">
        <v>9</v>
      </c>
      <c r="B42" t="s">
        <v>10</v>
      </c>
      <c r="C42">
        <v>2350805.2300000004</v>
      </c>
      <c r="G42" s="25" t="s">
        <v>9</v>
      </c>
      <c r="H42" t="s">
        <v>10</v>
      </c>
      <c r="I42">
        <f t="shared" si="1"/>
        <v>2350805.2300000004</v>
      </c>
    </row>
    <row r="43" spans="1:9" x14ac:dyDescent="0.35">
      <c r="A43" t="s">
        <v>9</v>
      </c>
      <c r="B43" t="s">
        <v>23</v>
      </c>
      <c r="C43">
        <v>2152961.3499999992</v>
      </c>
      <c r="G43" s="25" t="s">
        <v>9</v>
      </c>
      <c r="H43" t="s">
        <v>23</v>
      </c>
      <c r="I43">
        <f t="shared" si="1"/>
        <v>2152961.3499999992</v>
      </c>
    </row>
    <row r="44" spans="1:9" x14ac:dyDescent="0.35">
      <c r="A44" t="s">
        <v>9</v>
      </c>
      <c r="B44" t="s">
        <v>31</v>
      </c>
      <c r="C44">
        <v>1645822.7700000003</v>
      </c>
      <c r="G44" s="26" t="s">
        <v>9</v>
      </c>
      <c r="H44" t="s">
        <v>31</v>
      </c>
      <c r="I44">
        <f t="shared" si="1"/>
        <v>1645822.7700000003</v>
      </c>
    </row>
    <row r="45" spans="1:9" x14ac:dyDescent="0.35">
      <c r="A45" t="s">
        <v>16</v>
      </c>
      <c r="B45" t="s">
        <v>17</v>
      </c>
      <c r="C45">
        <v>1476957.1900000002</v>
      </c>
      <c r="G45" s="25" t="s">
        <v>16</v>
      </c>
      <c r="H45" t="s">
        <v>17</v>
      </c>
      <c r="I45">
        <f t="shared" si="1"/>
        <v>1476957.1900000002</v>
      </c>
    </row>
    <row r="46" spans="1:9" x14ac:dyDescent="0.35">
      <c r="A46" t="s">
        <v>16</v>
      </c>
      <c r="B46" t="s">
        <v>25</v>
      </c>
      <c r="C46">
        <v>2039253.8900000001</v>
      </c>
      <c r="G46" s="25" t="s">
        <v>16</v>
      </c>
      <c r="H46" t="s">
        <v>25</v>
      </c>
      <c r="I46">
        <f t="shared" si="1"/>
        <v>2039253.8900000001</v>
      </c>
    </row>
    <row r="47" spans="1:9" x14ac:dyDescent="0.35">
      <c r="A47" t="s">
        <v>16</v>
      </c>
      <c r="B47" t="s">
        <v>19</v>
      </c>
      <c r="C47">
        <v>1892788.0499999996</v>
      </c>
      <c r="G47" s="26" t="s">
        <v>16</v>
      </c>
      <c r="H47" t="s">
        <v>19</v>
      </c>
      <c r="I47">
        <f t="shared" si="1"/>
        <v>1892788.0499999996</v>
      </c>
    </row>
    <row r="48" spans="1:9" x14ac:dyDescent="0.35">
      <c r="A48" t="s">
        <v>37</v>
      </c>
      <c r="C48">
        <v>27479063.190000001</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6D8A-16FD-4D7C-86D6-09D69AF6DEA1}">
  <sheetPr codeName="Sheet7"/>
  <dimension ref="A1:P1044"/>
  <sheetViews>
    <sheetView workbookViewId="0">
      <selection activeCell="L2" sqref="L2"/>
    </sheetView>
  </sheetViews>
  <sheetFormatPr defaultRowHeight="14.5" x14ac:dyDescent="0.35"/>
  <cols>
    <col min="1" max="1" width="12.7265625" style="17" bestFit="1" customWidth="1"/>
    <col min="2" max="2" width="9.7265625" customWidth="1"/>
    <col min="3" max="3" width="11.6328125" customWidth="1"/>
    <col min="4" max="4" width="11" customWidth="1"/>
    <col min="5" max="5" width="11.08984375" customWidth="1"/>
    <col min="6" max="6" width="12.1796875" customWidth="1"/>
    <col min="7" max="7" width="13.6328125" customWidth="1"/>
    <col min="8" max="8" width="7.1796875" customWidth="1"/>
    <col min="9" max="9" width="18.81640625" bestFit="1" customWidth="1"/>
    <col min="10" max="10" width="18.453125" bestFit="1" customWidth="1"/>
    <col min="11" max="11" width="8.7265625" customWidth="1"/>
    <col min="12" max="12" width="10.08984375" bestFit="1" customWidth="1"/>
    <col min="13" max="13" width="5.6328125" bestFit="1" customWidth="1"/>
    <col min="14" max="14" width="11.6328125" bestFit="1" customWidth="1"/>
    <col min="15" max="15" width="11" bestFit="1" customWidth="1"/>
    <col min="16" max="16" width="9.7265625" bestFit="1" customWidth="1"/>
    <col min="17" max="17" width="2.81640625" bestFit="1" customWidth="1"/>
    <col min="18" max="18" width="8.26953125" bestFit="1" customWidth="1"/>
    <col min="19" max="19" width="2.81640625" bestFit="1" customWidth="1"/>
    <col min="20" max="20" width="7.81640625" bestFit="1" customWidth="1"/>
    <col min="21" max="21" width="8.81640625" bestFit="1" customWidth="1"/>
  </cols>
  <sheetData>
    <row r="1" spans="1:10" ht="20" x14ac:dyDescent="0.35">
      <c r="A1" s="14" t="s">
        <v>0</v>
      </c>
      <c r="B1" s="15" t="s">
        <v>1</v>
      </c>
      <c r="C1" s="15" t="s">
        <v>2</v>
      </c>
      <c r="D1" s="15" t="s">
        <v>3</v>
      </c>
      <c r="E1" s="15" t="s">
        <v>4</v>
      </c>
      <c r="F1" s="15" t="s">
        <v>5</v>
      </c>
      <c r="G1" s="15" t="s">
        <v>47</v>
      </c>
      <c r="H1" s="15" t="s">
        <v>72</v>
      </c>
      <c r="I1" s="15" t="s">
        <v>6</v>
      </c>
      <c r="J1" s="16" t="s">
        <v>7</v>
      </c>
    </row>
    <row r="2" spans="1:10" x14ac:dyDescent="0.35">
      <c r="A2" s="17">
        <v>45241</v>
      </c>
      <c r="B2" t="s">
        <v>8</v>
      </c>
      <c r="C2" t="s">
        <v>9</v>
      </c>
      <c r="D2" t="s">
        <v>10</v>
      </c>
      <c r="E2" t="s">
        <v>11</v>
      </c>
      <c r="F2">
        <v>3</v>
      </c>
      <c r="G2" t="s">
        <v>48</v>
      </c>
      <c r="H2">
        <v>43</v>
      </c>
      <c r="I2">
        <v>4210.7700000000004</v>
      </c>
      <c r="J2">
        <v>12632.31</v>
      </c>
    </row>
    <row r="3" spans="1:10" x14ac:dyDescent="0.35">
      <c r="A3" s="17">
        <v>45101</v>
      </c>
      <c r="B3" t="s">
        <v>12</v>
      </c>
      <c r="C3" t="s">
        <v>13</v>
      </c>
      <c r="D3" t="s">
        <v>14</v>
      </c>
      <c r="E3" t="s">
        <v>15</v>
      </c>
      <c r="F3">
        <v>19</v>
      </c>
      <c r="G3" t="s">
        <v>49</v>
      </c>
      <c r="H3">
        <v>47</v>
      </c>
      <c r="I3">
        <v>2873.83</v>
      </c>
      <c r="J3">
        <v>54602.77</v>
      </c>
    </row>
    <row r="4" spans="1:10" x14ac:dyDescent="0.35">
      <c r="A4" s="17">
        <v>44949</v>
      </c>
      <c r="B4" t="s">
        <v>12</v>
      </c>
      <c r="C4" t="s">
        <v>16</v>
      </c>
      <c r="D4" t="s">
        <v>17</v>
      </c>
      <c r="E4" t="s">
        <v>18</v>
      </c>
      <c r="F4">
        <v>1</v>
      </c>
      <c r="G4" t="s">
        <v>50</v>
      </c>
      <c r="H4">
        <v>21</v>
      </c>
      <c r="I4">
        <v>267.32</v>
      </c>
      <c r="J4">
        <v>267.32</v>
      </c>
    </row>
    <row r="5" spans="1:10" x14ac:dyDescent="0.35">
      <c r="A5" s="17">
        <v>45260</v>
      </c>
      <c r="B5" t="s">
        <v>12</v>
      </c>
      <c r="C5" t="s">
        <v>16</v>
      </c>
      <c r="D5" t="s">
        <v>19</v>
      </c>
      <c r="E5" t="s">
        <v>11</v>
      </c>
      <c r="F5">
        <v>9</v>
      </c>
      <c r="G5" t="s">
        <v>51</v>
      </c>
      <c r="H5">
        <v>41</v>
      </c>
      <c r="I5">
        <v>1378.65</v>
      </c>
      <c r="J5">
        <v>12407.85</v>
      </c>
    </row>
    <row r="6" spans="1:10" x14ac:dyDescent="0.35">
      <c r="A6" s="17">
        <v>45289</v>
      </c>
      <c r="B6" t="s">
        <v>20</v>
      </c>
      <c r="C6" t="s">
        <v>21</v>
      </c>
      <c r="D6" t="s">
        <v>22</v>
      </c>
      <c r="E6" t="s">
        <v>11</v>
      </c>
      <c r="F6">
        <v>9</v>
      </c>
      <c r="G6" t="s">
        <v>52</v>
      </c>
      <c r="H6">
        <v>31</v>
      </c>
      <c r="I6">
        <v>1161.02</v>
      </c>
      <c r="J6">
        <v>10449.18</v>
      </c>
    </row>
    <row r="7" spans="1:10" x14ac:dyDescent="0.35">
      <c r="A7" s="17">
        <v>44996</v>
      </c>
      <c r="B7" t="s">
        <v>8</v>
      </c>
      <c r="C7" t="s">
        <v>9</v>
      </c>
      <c r="D7" t="s">
        <v>23</v>
      </c>
      <c r="E7" t="s">
        <v>15</v>
      </c>
      <c r="F7">
        <v>5</v>
      </c>
      <c r="G7" t="s">
        <v>53</v>
      </c>
      <c r="H7">
        <v>40</v>
      </c>
      <c r="I7">
        <v>3732.82</v>
      </c>
      <c r="J7">
        <v>18664.099999999999</v>
      </c>
    </row>
    <row r="8" spans="1:10" x14ac:dyDescent="0.35">
      <c r="A8" s="17">
        <v>45250</v>
      </c>
      <c r="B8" t="s">
        <v>20</v>
      </c>
      <c r="C8" t="s">
        <v>21</v>
      </c>
      <c r="D8" t="s">
        <v>22</v>
      </c>
      <c r="E8" t="s">
        <v>24</v>
      </c>
      <c r="F8">
        <v>4</v>
      </c>
      <c r="G8" t="s">
        <v>54</v>
      </c>
      <c r="H8">
        <v>28</v>
      </c>
      <c r="I8">
        <v>961.38</v>
      </c>
      <c r="J8">
        <v>3845.52</v>
      </c>
    </row>
    <row r="9" spans="1:10" x14ac:dyDescent="0.35">
      <c r="A9" s="17">
        <v>45213</v>
      </c>
      <c r="B9" t="s">
        <v>20</v>
      </c>
      <c r="C9" t="s">
        <v>21</v>
      </c>
      <c r="D9" t="s">
        <v>22</v>
      </c>
      <c r="E9" s="18" t="s">
        <v>18</v>
      </c>
      <c r="F9">
        <v>14</v>
      </c>
      <c r="G9" t="s">
        <v>55</v>
      </c>
      <c r="H9">
        <v>23</v>
      </c>
      <c r="I9">
        <v>4457.21</v>
      </c>
      <c r="J9">
        <v>62400.94</v>
      </c>
    </row>
    <row r="10" spans="1:10" x14ac:dyDescent="0.35">
      <c r="A10" s="17">
        <v>44962</v>
      </c>
      <c r="B10" t="s">
        <v>12</v>
      </c>
      <c r="C10" t="s">
        <v>16</v>
      </c>
      <c r="D10" t="s">
        <v>25</v>
      </c>
      <c r="E10" t="s">
        <v>15</v>
      </c>
      <c r="F10">
        <v>6</v>
      </c>
      <c r="G10" t="s">
        <v>56</v>
      </c>
      <c r="H10">
        <v>25</v>
      </c>
      <c r="I10">
        <v>2463.6799999999998</v>
      </c>
      <c r="J10">
        <v>14782.08</v>
      </c>
    </row>
    <row r="11" spans="1:10" x14ac:dyDescent="0.35">
      <c r="A11" s="17">
        <v>45236</v>
      </c>
      <c r="B11" t="s">
        <v>12</v>
      </c>
      <c r="C11" t="s">
        <v>13</v>
      </c>
      <c r="D11" t="s">
        <v>26</v>
      </c>
      <c r="E11" t="s">
        <v>18</v>
      </c>
      <c r="F11">
        <v>13</v>
      </c>
      <c r="G11" t="s">
        <v>57</v>
      </c>
      <c r="H11">
        <v>31</v>
      </c>
      <c r="I11">
        <v>4226.47</v>
      </c>
      <c r="J11">
        <v>54944.11</v>
      </c>
    </row>
    <row r="12" spans="1:10" x14ac:dyDescent="0.35">
      <c r="A12" s="17">
        <v>45058</v>
      </c>
      <c r="B12" t="s">
        <v>12</v>
      </c>
      <c r="C12" t="s">
        <v>16</v>
      </c>
      <c r="D12" t="s">
        <v>19</v>
      </c>
      <c r="E12" t="s">
        <v>27</v>
      </c>
      <c r="F12">
        <v>11</v>
      </c>
      <c r="G12" t="s">
        <v>58</v>
      </c>
      <c r="H12">
        <v>16</v>
      </c>
      <c r="I12">
        <v>2852.22</v>
      </c>
      <c r="J12">
        <v>31374.42</v>
      </c>
    </row>
    <row r="13" spans="1:10" x14ac:dyDescent="0.35">
      <c r="A13" s="17">
        <v>44973</v>
      </c>
      <c r="B13" t="s">
        <v>20</v>
      </c>
      <c r="C13" t="s">
        <v>21</v>
      </c>
      <c r="D13" t="s">
        <v>22</v>
      </c>
      <c r="E13" t="s">
        <v>18</v>
      </c>
      <c r="F13">
        <v>2</v>
      </c>
      <c r="G13" t="s">
        <v>59</v>
      </c>
      <c r="H13">
        <v>44</v>
      </c>
      <c r="I13">
        <v>4059.61</v>
      </c>
      <c r="J13">
        <v>8119.22</v>
      </c>
    </row>
    <row r="14" spans="1:10" x14ac:dyDescent="0.35">
      <c r="A14" s="17">
        <v>45065</v>
      </c>
      <c r="B14" t="s">
        <v>20</v>
      </c>
      <c r="C14" t="s">
        <v>21</v>
      </c>
      <c r="D14" t="s">
        <v>22</v>
      </c>
      <c r="E14" t="s">
        <v>11</v>
      </c>
      <c r="F14">
        <v>13</v>
      </c>
      <c r="G14" t="s">
        <v>48</v>
      </c>
      <c r="H14">
        <v>22</v>
      </c>
      <c r="I14">
        <v>1965.63</v>
      </c>
      <c r="J14">
        <v>25553.19</v>
      </c>
    </row>
    <row r="15" spans="1:10" x14ac:dyDescent="0.35">
      <c r="A15" s="17">
        <v>45070</v>
      </c>
      <c r="B15" t="s">
        <v>20</v>
      </c>
      <c r="C15" t="s">
        <v>21</v>
      </c>
      <c r="D15" t="s">
        <v>22</v>
      </c>
      <c r="E15" t="s">
        <v>27</v>
      </c>
      <c r="F15">
        <v>4</v>
      </c>
      <c r="G15" t="s">
        <v>49</v>
      </c>
      <c r="H15">
        <v>42</v>
      </c>
      <c r="I15">
        <v>1020.23</v>
      </c>
      <c r="J15">
        <v>4080.92</v>
      </c>
    </row>
    <row r="16" spans="1:10" x14ac:dyDescent="0.35">
      <c r="A16" s="17">
        <v>45225</v>
      </c>
      <c r="B16" t="s">
        <v>20</v>
      </c>
      <c r="C16" t="s">
        <v>21</v>
      </c>
      <c r="D16" t="s">
        <v>22</v>
      </c>
      <c r="E16" t="s">
        <v>24</v>
      </c>
      <c r="F16">
        <v>16</v>
      </c>
      <c r="G16" t="s">
        <v>50</v>
      </c>
      <c r="H16">
        <v>30</v>
      </c>
      <c r="I16">
        <v>2178.7800000000002</v>
      </c>
      <c r="J16">
        <v>34860.480000000003</v>
      </c>
    </row>
    <row r="17" spans="1:12" x14ac:dyDescent="0.35">
      <c r="A17" s="17">
        <v>44995</v>
      </c>
      <c r="B17" t="s">
        <v>20</v>
      </c>
      <c r="C17" t="s">
        <v>21</v>
      </c>
      <c r="D17" t="s">
        <v>22</v>
      </c>
      <c r="E17" t="s">
        <v>27</v>
      </c>
      <c r="F17">
        <v>3</v>
      </c>
      <c r="G17" t="s">
        <v>51</v>
      </c>
      <c r="H17">
        <v>22</v>
      </c>
      <c r="I17">
        <v>4229.84</v>
      </c>
      <c r="J17">
        <v>12689.52</v>
      </c>
    </row>
    <row r="18" spans="1:12" x14ac:dyDescent="0.35">
      <c r="A18" s="17">
        <v>45226</v>
      </c>
      <c r="B18" t="s">
        <v>8</v>
      </c>
      <c r="C18" t="s">
        <v>28</v>
      </c>
      <c r="D18" t="s">
        <v>29</v>
      </c>
      <c r="E18" t="s">
        <v>11</v>
      </c>
      <c r="F18">
        <v>11</v>
      </c>
      <c r="G18" t="s">
        <v>52</v>
      </c>
      <c r="H18">
        <v>50</v>
      </c>
      <c r="I18">
        <v>255.3</v>
      </c>
      <c r="J18">
        <v>2808.3</v>
      </c>
    </row>
    <row r="19" spans="1:12" x14ac:dyDescent="0.35">
      <c r="A19" s="17">
        <v>45261</v>
      </c>
      <c r="B19" t="s">
        <v>8</v>
      </c>
      <c r="C19" t="s">
        <v>28</v>
      </c>
      <c r="D19" t="s">
        <v>30</v>
      </c>
      <c r="E19" t="s">
        <v>15</v>
      </c>
      <c r="F19">
        <v>1</v>
      </c>
      <c r="G19" t="s">
        <v>53</v>
      </c>
      <c r="H19">
        <v>39</v>
      </c>
      <c r="I19">
        <v>4557.0600000000004</v>
      </c>
      <c r="J19">
        <v>4557.0600000000004</v>
      </c>
    </row>
    <row r="20" spans="1:12" x14ac:dyDescent="0.35">
      <c r="A20" s="17">
        <v>44972</v>
      </c>
      <c r="B20" t="s">
        <v>8</v>
      </c>
      <c r="C20" t="s">
        <v>28</v>
      </c>
      <c r="D20" t="s">
        <v>29</v>
      </c>
      <c r="E20" t="s">
        <v>27</v>
      </c>
      <c r="F20">
        <v>10</v>
      </c>
      <c r="G20" t="s">
        <v>54</v>
      </c>
      <c r="H20">
        <v>31</v>
      </c>
      <c r="I20">
        <v>843.5</v>
      </c>
      <c r="J20">
        <v>8435</v>
      </c>
    </row>
    <row r="21" spans="1:12" x14ac:dyDescent="0.35">
      <c r="A21" s="17">
        <v>44998</v>
      </c>
      <c r="B21" t="s">
        <v>8</v>
      </c>
      <c r="C21" t="s">
        <v>9</v>
      </c>
      <c r="D21" t="s">
        <v>10</v>
      </c>
      <c r="E21" t="s">
        <v>11</v>
      </c>
      <c r="F21">
        <v>5</v>
      </c>
      <c r="G21" t="s">
        <v>55</v>
      </c>
      <c r="H21">
        <v>21</v>
      </c>
      <c r="I21">
        <v>4987.7</v>
      </c>
      <c r="J21">
        <v>24938.5</v>
      </c>
    </row>
    <row r="22" spans="1:12" x14ac:dyDescent="0.35">
      <c r="A22" s="17">
        <v>45095</v>
      </c>
      <c r="B22" t="s">
        <v>8</v>
      </c>
      <c r="C22" t="s">
        <v>28</v>
      </c>
      <c r="D22" t="s">
        <v>30</v>
      </c>
      <c r="E22" t="s">
        <v>15</v>
      </c>
      <c r="F22">
        <v>5</v>
      </c>
      <c r="G22" t="s">
        <v>56</v>
      </c>
      <c r="H22">
        <v>25</v>
      </c>
      <c r="I22">
        <v>3860.73</v>
      </c>
      <c r="J22">
        <v>19303.650000000001</v>
      </c>
    </row>
    <row r="23" spans="1:12" x14ac:dyDescent="0.35">
      <c r="A23" s="17">
        <v>45125</v>
      </c>
      <c r="B23" t="s">
        <v>8</v>
      </c>
      <c r="C23" t="s">
        <v>9</v>
      </c>
      <c r="D23" t="s">
        <v>10</v>
      </c>
      <c r="E23" t="s">
        <v>24</v>
      </c>
      <c r="F23">
        <v>14</v>
      </c>
      <c r="G23" t="s">
        <v>57</v>
      </c>
      <c r="H23">
        <v>44</v>
      </c>
      <c r="I23">
        <v>4649.53</v>
      </c>
      <c r="J23">
        <v>65093.42</v>
      </c>
    </row>
    <row r="24" spans="1:12" x14ac:dyDescent="0.35">
      <c r="A24" s="17">
        <v>45267</v>
      </c>
      <c r="B24" t="s">
        <v>20</v>
      </c>
      <c r="C24" t="s">
        <v>21</v>
      </c>
      <c r="D24" t="s">
        <v>22</v>
      </c>
      <c r="E24" t="s">
        <v>15</v>
      </c>
      <c r="F24">
        <v>3</v>
      </c>
      <c r="G24" t="s">
        <v>58</v>
      </c>
      <c r="H24">
        <v>36</v>
      </c>
      <c r="I24">
        <v>144.38999999999999</v>
      </c>
      <c r="J24">
        <v>433.17</v>
      </c>
    </row>
    <row r="25" spans="1:12" x14ac:dyDescent="0.35">
      <c r="A25" s="17">
        <v>45290</v>
      </c>
      <c r="B25" t="s">
        <v>12</v>
      </c>
      <c r="C25" t="s">
        <v>13</v>
      </c>
      <c r="D25" t="s">
        <v>26</v>
      </c>
      <c r="E25" t="s">
        <v>24</v>
      </c>
      <c r="F25">
        <v>15</v>
      </c>
      <c r="G25" t="s">
        <v>59</v>
      </c>
      <c r="H25">
        <v>55</v>
      </c>
      <c r="I25">
        <v>4402.43</v>
      </c>
      <c r="J25">
        <v>66036.45</v>
      </c>
    </row>
    <row r="26" spans="1:12" x14ac:dyDescent="0.35">
      <c r="A26" s="17">
        <v>45146</v>
      </c>
      <c r="B26" t="s">
        <v>8</v>
      </c>
      <c r="C26" t="s">
        <v>9</v>
      </c>
      <c r="D26" t="s">
        <v>31</v>
      </c>
      <c r="E26" t="s">
        <v>15</v>
      </c>
      <c r="F26">
        <v>8</v>
      </c>
      <c r="G26" t="s">
        <v>48</v>
      </c>
      <c r="H26">
        <v>42</v>
      </c>
      <c r="I26">
        <v>1461.31</v>
      </c>
      <c r="J26">
        <v>11690.48</v>
      </c>
    </row>
    <row r="27" spans="1:12" x14ac:dyDescent="0.35">
      <c r="A27" s="17">
        <v>44977</v>
      </c>
      <c r="B27" t="s">
        <v>8</v>
      </c>
      <c r="C27" t="s">
        <v>9</v>
      </c>
      <c r="D27" t="s">
        <v>23</v>
      </c>
      <c r="E27" t="s">
        <v>11</v>
      </c>
      <c r="F27">
        <v>9</v>
      </c>
      <c r="G27" t="s">
        <v>49</v>
      </c>
      <c r="H27">
        <v>47</v>
      </c>
      <c r="I27">
        <v>3318.1</v>
      </c>
      <c r="J27">
        <v>29862.9</v>
      </c>
    </row>
    <row r="28" spans="1:12" x14ac:dyDescent="0.35">
      <c r="A28" s="17">
        <v>45150</v>
      </c>
      <c r="B28" t="s">
        <v>8</v>
      </c>
      <c r="C28" t="s">
        <v>28</v>
      </c>
      <c r="D28" t="s">
        <v>32</v>
      </c>
      <c r="E28" t="s">
        <v>15</v>
      </c>
      <c r="F28">
        <v>13</v>
      </c>
      <c r="G28" t="s">
        <v>50</v>
      </c>
      <c r="H28">
        <v>24</v>
      </c>
      <c r="I28">
        <v>2475.98</v>
      </c>
      <c r="J28">
        <v>32187.74</v>
      </c>
    </row>
    <row r="29" spans="1:12" x14ac:dyDescent="0.35">
      <c r="A29" s="17">
        <v>44986</v>
      </c>
      <c r="B29" t="s">
        <v>12</v>
      </c>
      <c r="C29" t="s">
        <v>16</v>
      </c>
      <c r="D29" t="s">
        <v>17</v>
      </c>
      <c r="E29" t="s">
        <v>27</v>
      </c>
      <c r="F29">
        <v>3</v>
      </c>
      <c r="G29" t="s">
        <v>51</v>
      </c>
      <c r="H29">
        <v>45</v>
      </c>
      <c r="I29">
        <v>4132.17</v>
      </c>
      <c r="J29">
        <v>12396.51</v>
      </c>
    </row>
    <row r="30" spans="1:12" x14ac:dyDescent="0.35">
      <c r="A30" s="17">
        <v>45212</v>
      </c>
      <c r="B30" t="s">
        <v>12</v>
      </c>
      <c r="C30" t="s">
        <v>13</v>
      </c>
      <c r="D30" t="s">
        <v>14</v>
      </c>
      <c r="E30" t="s">
        <v>15</v>
      </c>
      <c r="F30">
        <v>12</v>
      </c>
      <c r="G30" t="s">
        <v>52</v>
      </c>
      <c r="H30">
        <v>54</v>
      </c>
      <c r="I30">
        <v>835.83</v>
      </c>
      <c r="J30">
        <v>10029.959999999999</v>
      </c>
    </row>
    <row r="31" spans="1:12" x14ac:dyDescent="0.35">
      <c r="A31" s="17">
        <v>45089</v>
      </c>
      <c r="B31" t="s">
        <v>20</v>
      </c>
      <c r="C31" t="s">
        <v>21</v>
      </c>
      <c r="D31" t="s">
        <v>22</v>
      </c>
      <c r="E31" t="s">
        <v>24</v>
      </c>
      <c r="F31">
        <v>12</v>
      </c>
      <c r="G31" t="s">
        <v>53</v>
      </c>
      <c r="H31">
        <v>16</v>
      </c>
      <c r="I31">
        <v>1377.41</v>
      </c>
      <c r="J31">
        <v>16528.919999999998</v>
      </c>
      <c r="L31" s="17"/>
    </row>
    <row r="32" spans="1:12" x14ac:dyDescent="0.35">
      <c r="A32" s="17">
        <v>45183</v>
      </c>
      <c r="B32" t="s">
        <v>12</v>
      </c>
      <c r="C32" t="s">
        <v>16</v>
      </c>
      <c r="D32" t="s">
        <v>25</v>
      </c>
      <c r="E32" t="s">
        <v>27</v>
      </c>
      <c r="F32">
        <v>2</v>
      </c>
      <c r="G32" t="s">
        <v>54</v>
      </c>
      <c r="H32">
        <v>16</v>
      </c>
      <c r="I32">
        <v>1983.93</v>
      </c>
      <c r="J32">
        <v>3967.86</v>
      </c>
      <c r="L32" s="17"/>
    </row>
    <row r="33" spans="1:16" x14ac:dyDescent="0.35">
      <c r="A33" s="17">
        <v>45169</v>
      </c>
      <c r="B33" t="s">
        <v>8</v>
      </c>
      <c r="C33" t="s">
        <v>9</v>
      </c>
      <c r="D33" t="s">
        <v>10</v>
      </c>
      <c r="E33" t="s">
        <v>24</v>
      </c>
      <c r="F33">
        <v>8</v>
      </c>
      <c r="G33" t="s">
        <v>55</v>
      </c>
      <c r="H33">
        <v>26</v>
      </c>
      <c r="I33">
        <v>4621.75</v>
      </c>
      <c r="J33">
        <v>36974</v>
      </c>
      <c r="L33" s="17"/>
    </row>
    <row r="34" spans="1:16" x14ac:dyDescent="0.35">
      <c r="A34" s="17">
        <v>45111</v>
      </c>
      <c r="B34" t="s">
        <v>12</v>
      </c>
      <c r="C34" t="s">
        <v>13</v>
      </c>
      <c r="D34" t="s">
        <v>33</v>
      </c>
      <c r="E34" t="s">
        <v>18</v>
      </c>
      <c r="F34">
        <v>8</v>
      </c>
      <c r="G34" t="s">
        <v>56</v>
      </c>
      <c r="H34">
        <v>23</v>
      </c>
      <c r="I34">
        <v>2342.02</v>
      </c>
      <c r="J34">
        <v>18736.16</v>
      </c>
      <c r="L34" s="17"/>
    </row>
    <row r="35" spans="1:16" x14ac:dyDescent="0.35">
      <c r="A35" s="17">
        <v>45146</v>
      </c>
      <c r="B35" t="s">
        <v>8</v>
      </c>
      <c r="C35" t="s">
        <v>9</v>
      </c>
      <c r="D35" t="s">
        <v>10</v>
      </c>
      <c r="E35" t="s">
        <v>24</v>
      </c>
      <c r="F35">
        <v>9</v>
      </c>
      <c r="G35" t="s">
        <v>57</v>
      </c>
      <c r="H35">
        <v>21</v>
      </c>
      <c r="I35">
        <v>489.27</v>
      </c>
      <c r="J35">
        <v>4403.43</v>
      </c>
      <c r="L35" s="17"/>
    </row>
    <row r="36" spans="1:16" x14ac:dyDescent="0.35">
      <c r="A36" s="17">
        <v>45219</v>
      </c>
      <c r="B36" t="s">
        <v>12</v>
      </c>
      <c r="C36" t="s">
        <v>16</v>
      </c>
      <c r="D36" t="s">
        <v>25</v>
      </c>
      <c r="E36" t="s">
        <v>24</v>
      </c>
      <c r="F36">
        <v>3</v>
      </c>
      <c r="G36" t="s">
        <v>58</v>
      </c>
      <c r="H36">
        <v>17</v>
      </c>
      <c r="I36">
        <v>2444.6</v>
      </c>
      <c r="J36">
        <v>7333.8</v>
      </c>
      <c r="L36" s="17"/>
    </row>
    <row r="37" spans="1:16" x14ac:dyDescent="0.35">
      <c r="A37" s="17">
        <v>45132</v>
      </c>
      <c r="B37" t="s">
        <v>12</v>
      </c>
      <c r="C37" t="s">
        <v>16</v>
      </c>
      <c r="D37" t="s">
        <v>17</v>
      </c>
      <c r="E37" t="s">
        <v>11</v>
      </c>
      <c r="F37">
        <v>5</v>
      </c>
      <c r="G37" t="s">
        <v>59</v>
      </c>
      <c r="H37">
        <v>55</v>
      </c>
      <c r="I37">
        <v>1346.45</v>
      </c>
      <c r="J37">
        <v>6732.25</v>
      </c>
      <c r="L37" s="17"/>
    </row>
    <row r="38" spans="1:16" x14ac:dyDescent="0.35">
      <c r="A38" s="17">
        <v>45257</v>
      </c>
      <c r="B38" t="s">
        <v>8</v>
      </c>
      <c r="C38" t="s">
        <v>9</v>
      </c>
      <c r="D38" t="s">
        <v>31</v>
      </c>
      <c r="E38" t="s">
        <v>24</v>
      </c>
      <c r="F38">
        <v>17</v>
      </c>
      <c r="G38" t="s">
        <v>48</v>
      </c>
      <c r="H38">
        <v>47</v>
      </c>
      <c r="I38">
        <v>1333.71</v>
      </c>
      <c r="J38">
        <v>22673.07</v>
      </c>
      <c r="L38" s="17"/>
      <c r="P38" s="18"/>
    </row>
    <row r="39" spans="1:16" x14ac:dyDescent="0.35">
      <c r="A39" s="17">
        <v>45230</v>
      </c>
      <c r="B39" t="s">
        <v>12</v>
      </c>
      <c r="C39" t="s">
        <v>13</v>
      </c>
      <c r="D39" t="s">
        <v>33</v>
      </c>
      <c r="E39" t="s">
        <v>27</v>
      </c>
      <c r="F39">
        <v>2</v>
      </c>
      <c r="G39" t="s">
        <v>49</v>
      </c>
      <c r="H39">
        <v>33</v>
      </c>
      <c r="I39">
        <v>2287.09</v>
      </c>
      <c r="J39">
        <v>4574.18</v>
      </c>
      <c r="L39" s="17"/>
    </row>
    <row r="40" spans="1:16" x14ac:dyDescent="0.35">
      <c r="A40" s="17">
        <v>45219</v>
      </c>
      <c r="B40" t="s">
        <v>8</v>
      </c>
      <c r="C40" t="s">
        <v>28</v>
      </c>
      <c r="D40" t="s">
        <v>29</v>
      </c>
      <c r="E40" t="s">
        <v>27</v>
      </c>
      <c r="F40">
        <v>12</v>
      </c>
      <c r="G40" t="s">
        <v>50</v>
      </c>
      <c r="H40">
        <v>24</v>
      </c>
      <c r="I40">
        <v>2384.1</v>
      </c>
      <c r="J40">
        <v>28609.200000000001</v>
      </c>
      <c r="L40" s="17"/>
    </row>
    <row r="41" spans="1:16" x14ac:dyDescent="0.35">
      <c r="A41" s="17">
        <v>45017</v>
      </c>
      <c r="B41" t="s">
        <v>8</v>
      </c>
      <c r="C41" t="s">
        <v>28</v>
      </c>
      <c r="D41" t="s">
        <v>30</v>
      </c>
      <c r="E41" t="s">
        <v>11</v>
      </c>
      <c r="F41">
        <v>2</v>
      </c>
      <c r="G41" t="s">
        <v>51</v>
      </c>
      <c r="H41">
        <v>55</v>
      </c>
      <c r="I41">
        <v>3037.55</v>
      </c>
      <c r="J41">
        <v>6075.1</v>
      </c>
      <c r="L41" s="17"/>
    </row>
    <row r="42" spans="1:16" x14ac:dyDescent="0.35">
      <c r="A42" s="17">
        <v>44941</v>
      </c>
      <c r="B42" t="s">
        <v>8</v>
      </c>
      <c r="C42" t="s">
        <v>9</v>
      </c>
      <c r="D42" t="s">
        <v>10</v>
      </c>
      <c r="E42" t="s">
        <v>11</v>
      </c>
      <c r="F42">
        <v>7</v>
      </c>
      <c r="G42" t="s">
        <v>52</v>
      </c>
      <c r="H42">
        <v>33</v>
      </c>
      <c r="I42">
        <v>3163.37</v>
      </c>
      <c r="J42">
        <v>22143.59</v>
      </c>
      <c r="L42" s="17"/>
    </row>
    <row r="43" spans="1:16" x14ac:dyDescent="0.35">
      <c r="A43" s="17">
        <v>45289</v>
      </c>
      <c r="B43" t="s">
        <v>8</v>
      </c>
      <c r="C43" t="s">
        <v>9</v>
      </c>
      <c r="D43" t="s">
        <v>31</v>
      </c>
      <c r="E43" t="s">
        <v>11</v>
      </c>
      <c r="F43">
        <v>13</v>
      </c>
      <c r="G43" t="s">
        <v>53</v>
      </c>
      <c r="H43">
        <v>41</v>
      </c>
      <c r="I43">
        <v>4985.82</v>
      </c>
      <c r="J43">
        <v>64815.66</v>
      </c>
      <c r="L43" s="17"/>
    </row>
    <row r="44" spans="1:16" x14ac:dyDescent="0.35">
      <c r="A44" s="17">
        <v>45189</v>
      </c>
      <c r="B44" t="s">
        <v>8</v>
      </c>
      <c r="C44" t="s">
        <v>28</v>
      </c>
      <c r="D44" t="s">
        <v>32</v>
      </c>
      <c r="E44" t="s">
        <v>24</v>
      </c>
      <c r="F44">
        <v>8</v>
      </c>
      <c r="G44" t="s">
        <v>54</v>
      </c>
      <c r="H44">
        <v>17</v>
      </c>
      <c r="I44">
        <v>285.94</v>
      </c>
      <c r="J44">
        <v>2287.52</v>
      </c>
      <c r="L44" s="17"/>
    </row>
    <row r="45" spans="1:16" x14ac:dyDescent="0.35">
      <c r="A45" s="17">
        <v>45264</v>
      </c>
      <c r="B45" t="s">
        <v>12</v>
      </c>
      <c r="C45" t="s">
        <v>13</v>
      </c>
      <c r="D45" t="s">
        <v>14</v>
      </c>
      <c r="E45" t="s">
        <v>24</v>
      </c>
      <c r="F45">
        <v>11</v>
      </c>
      <c r="G45" t="s">
        <v>55</v>
      </c>
      <c r="H45">
        <v>47</v>
      </c>
      <c r="I45">
        <v>1905.7</v>
      </c>
      <c r="J45">
        <v>20962.7</v>
      </c>
      <c r="L45" s="17"/>
    </row>
    <row r="46" spans="1:16" x14ac:dyDescent="0.35">
      <c r="A46" s="17">
        <v>44970</v>
      </c>
      <c r="B46" t="s">
        <v>12</v>
      </c>
      <c r="C46" t="s">
        <v>13</v>
      </c>
      <c r="D46" t="s">
        <v>26</v>
      </c>
      <c r="E46" t="s">
        <v>24</v>
      </c>
      <c r="F46">
        <v>20</v>
      </c>
      <c r="G46" t="s">
        <v>56</v>
      </c>
      <c r="H46">
        <v>30</v>
      </c>
      <c r="I46">
        <v>1310.3699999999999</v>
      </c>
      <c r="J46">
        <v>26207.4</v>
      </c>
      <c r="L46" s="17"/>
    </row>
    <row r="47" spans="1:16" x14ac:dyDescent="0.35">
      <c r="A47" s="17">
        <v>45021</v>
      </c>
      <c r="B47" t="s">
        <v>8</v>
      </c>
      <c r="C47" t="s">
        <v>28</v>
      </c>
      <c r="D47" t="s">
        <v>30</v>
      </c>
      <c r="E47" t="s">
        <v>18</v>
      </c>
      <c r="F47">
        <v>8</v>
      </c>
      <c r="G47" t="s">
        <v>57</v>
      </c>
      <c r="H47">
        <v>30</v>
      </c>
      <c r="I47">
        <v>1185.17</v>
      </c>
      <c r="J47">
        <v>9481.36</v>
      </c>
      <c r="L47" s="17"/>
    </row>
    <row r="48" spans="1:16" x14ac:dyDescent="0.35">
      <c r="A48" s="17">
        <v>45134</v>
      </c>
      <c r="B48" t="s">
        <v>20</v>
      </c>
      <c r="C48" t="s">
        <v>21</v>
      </c>
      <c r="D48" t="s">
        <v>22</v>
      </c>
      <c r="E48" t="s">
        <v>15</v>
      </c>
      <c r="F48">
        <v>6</v>
      </c>
      <c r="G48" t="s">
        <v>58</v>
      </c>
      <c r="H48">
        <v>26</v>
      </c>
      <c r="I48">
        <v>4100.9799999999996</v>
      </c>
      <c r="J48">
        <v>24605.88</v>
      </c>
      <c r="L48" s="17"/>
    </row>
    <row r="49" spans="1:12" x14ac:dyDescent="0.35">
      <c r="A49" s="17">
        <v>45210</v>
      </c>
      <c r="B49" t="s">
        <v>12</v>
      </c>
      <c r="C49" t="s">
        <v>13</v>
      </c>
      <c r="D49" t="s">
        <v>26</v>
      </c>
      <c r="E49" t="s">
        <v>18</v>
      </c>
      <c r="F49">
        <v>16</v>
      </c>
      <c r="G49" t="s">
        <v>59</v>
      </c>
      <c r="H49">
        <v>18</v>
      </c>
      <c r="I49">
        <v>2619.73</v>
      </c>
      <c r="J49">
        <v>41915.68</v>
      </c>
      <c r="L49" s="17"/>
    </row>
    <row r="50" spans="1:12" x14ac:dyDescent="0.35">
      <c r="A50" s="17">
        <v>45229</v>
      </c>
      <c r="B50" t="s">
        <v>12</v>
      </c>
      <c r="C50" t="s">
        <v>13</v>
      </c>
      <c r="D50" t="s">
        <v>26</v>
      </c>
      <c r="E50" t="s">
        <v>24</v>
      </c>
      <c r="F50">
        <v>5</v>
      </c>
      <c r="G50" t="s">
        <v>48</v>
      </c>
      <c r="H50">
        <v>32</v>
      </c>
      <c r="I50">
        <v>3103.12</v>
      </c>
      <c r="J50">
        <v>15515.6</v>
      </c>
      <c r="L50" s="17"/>
    </row>
    <row r="51" spans="1:12" x14ac:dyDescent="0.35">
      <c r="A51" s="17">
        <v>45166</v>
      </c>
      <c r="B51" t="s">
        <v>12</v>
      </c>
      <c r="C51" t="s">
        <v>16</v>
      </c>
      <c r="D51" t="s">
        <v>25</v>
      </c>
      <c r="E51" t="s">
        <v>24</v>
      </c>
      <c r="F51">
        <v>19</v>
      </c>
      <c r="G51" t="s">
        <v>49</v>
      </c>
      <c r="H51">
        <v>16</v>
      </c>
      <c r="I51">
        <v>3074.32</v>
      </c>
      <c r="J51">
        <v>58412.08</v>
      </c>
      <c r="L51" s="17"/>
    </row>
    <row r="52" spans="1:12" x14ac:dyDescent="0.35">
      <c r="A52" s="17">
        <v>45131</v>
      </c>
      <c r="B52" t="s">
        <v>12</v>
      </c>
      <c r="C52" t="s">
        <v>16</v>
      </c>
      <c r="D52" t="s">
        <v>25</v>
      </c>
      <c r="E52" t="s">
        <v>15</v>
      </c>
      <c r="F52">
        <v>20</v>
      </c>
      <c r="G52" t="s">
        <v>50</v>
      </c>
      <c r="H52">
        <v>44</v>
      </c>
      <c r="I52">
        <v>3331.04</v>
      </c>
      <c r="J52">
        <v>66620.800000000003</v>
      </c>
      <c r="L52" s="17"/>
    </row>
    <row r="53" spans="1:12" x14ac:dyDescent="0.35">
      <c r="A53" s="17">
        <v>45260</v>
      </c>
      <c r="B53" t="s">
        <v>20</v>
      </c>
      <c r="C53" t="s">
        <v>21</v>
      </c>
      <c r="D53" t="s">
        <v>22</v>
      </c>
      <c r="E53" t="s">
        <v>11</v>
      </c>
      <c r="F53">
        <v>7</v>
      </c>
      <c r="G53" t="s">
        <v>51</v>
      </c>
      <c r="H53">
        <v>37</v>
      </c>
      <c r="I53">
        <v>4813.28</v>
      </c>
      <c r="J53">
        <v>33692.959999999999</v>
      </c>
      <c r="L53" s="17"/>
    </row>
    <row r="54" spans="1:12" x14ac:dyDescent="0.35">
      <c r="A54" s="17">
        <v>45177</v>
      </c>
      <c r="B54" t="s">
        <v>8</v>
      </c>
      <c r="C54" t="s">
        <v>28</v>
      </c>
      <c r="D54" t="s">
        <v>29</v>
      </c>
      <c r="E54" t="s">
        <v>24</v>
      </c>
      <c r="F54">
        <v>18</v>
      </c>
      <c r="G54" t="s">
        <v>52</v>
      </c>
      <c r="H54">
        <v>30</v>
      </c>
      <c r="I54">
        <v>1376.52</v>
      </c>
      <c r="J54">
        <v>24777.360000000001</v>
      </c>
      <c r="L54" s="17"/>
    </row>
    <row r="55" spans="1:12" x14ac:dyDescent="0.35">
      <c r="A55" s="17">
        <v>45156</v>
      </c>
      <c r="B55" t="s">
        <v>8</v>
      </c>
      <c r="C55" t="s">
        <v>9</v>
      </c>
      <c r="D55" t="s">
        <v>10</v>
      </c>
      <c r="E55" t="s">
        <v>15</v>
      </c>
      <c r="F55">
        <v>12</v>
      </c>
      <c r="G55" t="s">
        <v>53</v>
      </c>
      <c r="H55">
        <v>32</v>
      </c>
      <c r="I55">
        <v>3400.71</v>
      </c>
      <c r="J55">
        <v>40808.519999999997</v>
      </c>
      <c r="L55" s="17"/>
    </row>
    <row r="56" spans="1:12" x14ac:dyDescent="0.35">
      <c r="A56" s="17">
        <v>45069</v>
      </c>
      <c r="B56" t="s">
        <v>12</v>
      </c>
      <c r="C56" t="s">
        <v>13</v>
      </c>
      <c r="D56" t="s">
        <v>26</v>
      </c>
      <c r="E56" t="s">
        <v>11</v>
      </c>
      <c r="F56">
        <v>2</v>
      </c>
      <c r="G56" t="s">
        <v>54</v>
      </c>
      <c r="H56">
        <v>19</v>
      </c>
      <c r="I56">
        <v>4762.71</v>
      </c>
      <c r="J56">
        <v>9525.42</v>
      </c>
      <c r="L56" s="17"/>
    </row>
    <row r="57" spans="1:12" x14ac:dyDescent="0.35">
      <c r="A57" s="17">
        <v>45249</v>
      </c>
      <c r="B57" t="s">
        <v>20</v>
      </c>
      <c r="C57" t="s">
        <v>21</v>
      </c>
      <c r="D57" t="s">
        <v>34</v>
      </c>
      <c r="E57" t="s">
        <v>15</v>
      </c>
      <c r="F57">
        <v>18</v>
      </c>
      <c r="G57" t="s">
        <v>55</v>
      </c>
      <c r="H57">
        <v>52</v>
      </c>
      <c r="I57">
        <v>2149.9899999999998</v>
      </c>
      <c r="J57">
        <v>38699.82</v>
      </c>
      <c r="L57" s="17"/>
    </row>
    <row r="58" spans="1:12" x14ac:dyDescent="0.35">
      <c r="A58" s="17">
        <v>44978</v>
      </c>
      <c r="B58" t="s">
        <v>8</v>
      </c>
      <c r="C58" t="s">
        <v>28</v>
      </c>
      <c r="D58" t="s">
        <v>29</v>
      </c>
      <c r="E58" t="s">
        <v>11</v>
      </c>
      <c r="F58">
        <v>13</v>
      </c>
      <c r="G58" t="s">
        <v>56</v>
      </c>
      <c r="H58">
        <v>20</v>
      </c>
      <c r="I58">
        <v>2665.15</v>
      </c>
      <c r="J58">
        <v>34646.949999999997</v>
      </c>
      <c r="L58" s="17"/>
    </row>
    <row r="59" spans="1:12" x14ac:dyDescent="0.35">
      <c r="A59" s="17">
        <v>45238</v>
      </c>
      <c r="B59" t="s">
        <v>20</v>
      </c>
      <c r="C59" t="s">
        <v>21</v>
      </c>
      <c r="D59" t="s">
        <v>22</v>
      </c>
      <c r="E59" t="s">
        <v>27</v>
      </c>
      <c r="F59">
        <v>15</v>
      </c>
      <c r="G59" t="s">
        <v>57</v>
      </c>
      <c r="H59">
        <v>39</v>
      </c>
      <c r="I59">
        <v>1543.85</v>
      </c>
      <c r="J59">
        <v>23157.75</v>
      </c>
      <c r="L59" s="17"/>
    </row>
    <row r="60" spans="1:12" x14ac:dyDescent="0.35">
      <c r="A60" s="17">
        <v>45143</v>
      </c>
      <c r="B60" t="s">
        <v>20</v>
      </c>
      <c r="C60" t="s">
        <v>21</v>
      </c>
      <c r="D60" t="s">
        <v>22</v>
      </c>
      <c r="E60" t="s">
        <v>15</v>
      </c>
      <c r="F60">
        <v>3</v>
      </c>
      <c r="G60" t="s">
        <v>58</v>
      </c>
      <c r="H60">
        <v>23</v>
      </c>
      <c r="I60">
        <v>3366.66</v>
      </c>
      <c r="J60">
        <v>10099.98</v>
      </c>
      <c r="L60" s="17"/>
    </row>
    <row r="61" spans="1:12" x14ac:dyDescent="0.35">
      <c r="A61" s="17">
        <v>45247</v>
      </c>
      <c r="B61" t="s">
        <v>8</v>
      </c>
      <c r="C61" t="s">
        <v>28</v>
      </c>
      <c r="D61" t="s">
        <v>32</v>
      </c>
      <c r="E61" t="s">
        <v>27</v>
      </c>
      <c r="F61">
        <v>19</v>
      </c>
      <c r="G61" t="s">
        <v>59</v>
      </c>
      <c r="H61">
        <v>25</v>
      </c>
      <c r="I61">
        <v>1809.9</v>
      </c>
      <c r="J61">
        <v>34388.1</v>
      </c>
      <c r="L61" s="17"/>
    </row>
    <row r="62" spans="1:12" x14ac:dyDescent="0.35">
      <c r="A62" s="17">
        <v>45002</v>
      </c>
      <c r="B62" t="s">
        <v>12</v>
      </c>
      <c r="C62" t="s">
        <v>13</v>
      </c>
      <c r="D62" t="s">
        <v>33</v>
      </c>
      <c r="E62" t="s">
        <v>11</v>
      </c>
      <c r="F62">
        <v>7</v>
      </c>
      <c r="G62" t="s">
        <v>48</v>
      </c>
      <c r="H62">
        <v>36</v>
      </c>
      <c r="I62">
        <v>1774.74</v>
      </c>
      <c r="J62">
        <v>12423.18</v>
      </c>
      <c r="L62" s="17"/>
    </row>
    <row r="63" spans="1:12" x14ac:dyDescent="0.35">
      <c r="A63" s="17">
        <v>45257</v>
      </c>
      <c r="B63" t="s">
        <v>8</v>
      </c>
      <c r="C63" t="s">
        <v>9</v>
      </c>
      <c r="D63" t="s">
        <v>31</v>
      </c>
      <c r="E63" t="s">
        <v>18</v>
      </c>
      <c r="F63">
        <v>1</v>
      </c>
      <c r="G63" t="s">
        <v>49</v>
      </c>
      <c r="H63">
        <v>50</v>
      </c>
      <c r="I63">
        <v>3459.33</v>
      </c>
      <c r="J63">
        <v>3459.33</v>
      </c>
      <c r="L63" s="17"/>
    </row>
    <row r="64" spans="1:12" x14ac:dyDescent="0.35">
      <c r="A64" s="17">
        <v>45247</v>
      </c>
      <c r="B64" t="s">
        <v>20</v>
      </c>
      <c r="C64" t="s">
        <v>21</v>
      </c>
      <c r="D64" t="s">
        <v>22</v>
      </c>
      <c r="E64" t="s">
        <v>27</v>
      </c>
      <c r="F64">
        <v>13</v>
      </c>
      <c r="G64" t="s">
        <v>50</v>
      </c>
      <c r="H64">
        <v>42</v>
      </c>
      <c r="I64">
        <v>4339.46</v>
      </c>
      <c r="J64">
        <v>56412.98</v>
      </c>
      <c r="L64" s="17"/>
    </row>
    <row r="65" spans="1:12" x14ac:dyDescent="0.35">
      <c r="A65" s="17">
        <v>44965</v>
      </c>
      <c r="B65" t="s">
        <v>12</v>
      </c>
      <c r="C65" t="s">
        <v>13</v>
      </c>
      <c r="D65" t="s">
        <v>14</v>
      </c>
      <c r="E65" t="s">
        <v>18</v>
      </c>
      <c r="F65">
        <v>17</v>
      </c>
      <c r="G65" t="s">
        <v>51</v>
      </c>
      <c r="H65">
        <v>22</v>
      </c>
      <c r="I65">
        <v>269.7</v>
      </c>
      <c r="J65">
        <v>4584.8999999999996</v>
      </c>
      <c r="L65" s="17"/>
    </row>
    <row r="66" spans="1:12" x14ac:dyDescent="0.35">
      <c r="A66" s="17">
        <v>45086</v>
      </c>
      <c r="B66" t="s">
        <v>12</v>
      </c>
      <c r="C66" t="s">
        <v>16</v>
      </c>
      <c r="D66" t="s">
        <v>17</v>
      </c>
      <c r="E66" t="s">
        <v>11</v>
      </c>
      <c r="F66">
        <v>18</v>
      </c>
      <c r="G66" t="s">
        <v>52</v>
      </c>
      <c r="H66">
        <v>54</v>
      </c>
      <c r="I66">
        <v>4103.6099999999997</v>
      </c>
      <c r="J66">
        <v>73864.98</v>
      </c>
      <c r="L66" s="17"/>
    </row>
    <row r="67" spans="1:12" x14ac:dyDescent="0.35">
      <c r="A67" s="17">
        <v>45069</v>
      </c>
      <c r="B67" t="s">
        <v>8</v>
      </c>
      <c r="C67" t="s">
        <v>9</v>
      </c>
      <c r="D67" t="s">
        <v>23</v>
      </c>
      <c r="E67" t="s">
        <v>15</v>
      </c>
      <c r="F67">
        <v>14</v>
      </c>
      <c r="G67" t="s">
        <v>53</v>
      </c>
      <c r="H67">
        <v>35</v>
      </c>
      <c r="I67">
        <v>2785.95</v>
      </c>
      <c r="J67">
        <v>39003.300000000003</v>
      </c>
      <c r="L67" s="17"/>
    </row>
    <row r="68" spans="1:12" x14ac:dyDescent="0.35">
      <c r="A68" s="17">
        <v>45062</v>
      </c>
      <c r="B68" t="s">
        <v>8</v>
      </c>
      <c r="C68" t="s">
        <v>9</v>
      </c>
      <c r="D68" t="s">
        <v>10</v>
      </c>
      <c r="E68" t="s">
        <v>11</v>
      </c>
      <c r="F68">
        <v>15</v>
      </c>
      <c r="G68" t="s">
        <v>54</v>
      </c>
      <c r="H68">
        <v>46</v>
      </c>
      <c r="I68">
        <v>2330.62</v>
      </c>
      <c r="J68">
        <v>34959.300000000003</v>
      </c>
      <c r="L68" s="17"/>
    </row>
    <row r="69" spans="1:12" x14ac:dyDescent="0.35">
      <c r="A69" s="17">
        <v>45107</v>
      </c>
      <c r="B69" t="s">
        <v>8</v>
      </c>
      <c r="C69" t="s">
        <v>9</v>
      </c>
      <c r="D69" t="s">
        <v>31</v>
      </c>
      <c r="E69" t="s">
        <v>18</v>
      </c>
      <c r="F69">
        <v>1</v>
      </c>
      <c r="G69" t="s">
        <v>55</v>
      </c>
      <c r="H69">
        <v>45</v>
      </c>
      <c r="I69">
        <v>3698.2</v>
      </c>
      <c r="J69">
        <v>3698.2</v>
      </c>
      <c r="L69" s="17"/>
    </row>
    <row r="70" spans="1:12" x14ac:dyDescent="0.35">
      <c r="A70" s="17">
        <v>45048</v>
      </c>
      <c r="B70" t="s">
        <v>12</v>
      </c>
      <c r="C70" t="s">
        <v>16</v>
      </c>
      <c r="D70" t="s">
        <v>25</v>
      </c>
      <c r="E70" t="s">
        <v>15</v>
      </c>
      <c r="F70">
        <v>16</v>
      </c>
      <c r="G70" t="s">
        <v>56</v>
      </c>
      <c r="H70">
        <v>46</v>
      </c>
      <c r="I70">
        <v>3586.87</v>
      </c>
      <c r="J70">
        <v>57389.919999999998</v>
      </c>
      <c r="L70" s="17"/>
    </row>
    <row r="71" spans="1:12" x14ac:dyDescent="0.35">
      <c r="A71" s="17">
        <v>45011</v>
      </c>
      <c r="B71" t="s">
        <v>12</v>
      </c>
      <c r="C71" t="s">
        <v>13</v>
      </c>
      <c r="D71" t="s">
        <v>26</v>
      </c>
      <c r="E71" t="s">
        <v>15</v>
      </c>
      <c r="F71">
        <v>4</v>
      </c>
      <c r="G71" t="s">
        <v>57</v>
      </c>
      <c r="H71">
        <v>28</v>
      </c>
      <c r="I71">
        <v>1434.97</v>
      </c>
      <c r="J71">
        <v>5739.88</v>
      </c>
      <c r="L71" s="17"/>
    </row>
    <row r="72" spans="1:12" x14ac:dyDescent="0.35">
      <c r="A72" s="17">
        <v>44935</v>
      </c>
      <c r="B72" t="s">
        <v>12</v>
      </c>
      <c r="C72" t="s">
        <v>16</v>
      </c>
      <c r="D72" t="s">
        <v>19</v>
      </c>
      <c r="E72" t="s">
        <v>15</v>
      </c>
      <c r="F72">
        <v>18</v>
      </c>
      <c r="G72" t="s">
        <v>58</v>
      </c>
      <c r="H72">
        <v>32</v>
      </c>
      <c r="I72">
        <v>4168.59</v>
      </c>
      <c r="J72">
        <v>75034.62</v>
      </c>
      <c r="L72" s="17"/>
    </row>
    <row r="73" spans="1:12" x14ac:dyDescent="0.35">
      <c r="A73" s="17">
        <v>45187</v>
      </c>
      <c r="B73" t="s">
        <v>12</v>
      </c>
      <c r="C73" t="s">
        <v>16</v>
      </c>
      <c r="D73" t="s">
        <v>19</v>
      </c>
      <c r="E73" t="s">
        <v>24</v>
      </c>
      <c r="F73">
        <v>7</v>
      </c>
      <c r="G73" t="s">
        <v>59</v>
      </c>
      <c r="H73">
        <v>50</v>
      </c>
      <c r="I73">
        <v>2706.33</v>
      </c>
      <c r="J73">
        <v>18944.310000000001</v>
      </c>
      <c r="L73" s="17"/>
    </row>
    <row r="74" spans="1:12" x14ac:dyDescent="0.35">
      <c r="A74" s="17">
        <v>45027</v>
      </c>
      <c r="B74" t="s">
        <v>8</v>
      </c>
      <c r="C74" t="s">
        <v>28</v>
      </c>
      <c r="D74" t="s">
        <v>30</v>
      </c>
      <c r="E74" t="s">
        <v>18</v>
      </c>
      <c r="F74">
        <v>6</v>
      </c>
      <c r="G74" t="s">
        <v>48</v>
      </c>
      <c r="H74">
        <v>52</v>
      </c>
      <c r="I74">
        <v>4042.16</v>
      </c>
      <c r="J74">
        <v>24252.959999999999</v>
      </c>
    </row>
    <row r="75" spans="1:12" x14ac:dyDescent="0.35">
      <c r="A75" s="17">
        <v>45199</v>
      </c>
      <c r="B75" t="s">
        <v>12</v>
      </c>
      <c r="C75" t="s">
        <v>16</v>
      </c>
      <c r="D75" t="s">
        <v>25</v>
      </c>
      <c r="E75" t="s">
        <v>24</v>
      </c>
      <c r="F75">
        <v>10</v>
      </c>
      <c r="G75" t="s">
        <v>49</v>
      </c>
      <c r="H75">
        <v>53</v>
      </c>
      <c r="I75">
        <v>4496.3900000000003</v>
      </c>
      <c r="J75">
        <v>44963.9</v>
      </c>
    </row>
    <row r="76" spans="1:12" x14ac:dyDescent="0.35">
      <c r="A76" s="17">
        <v>45278</v>
      </c>
      <c r="B76" t="s">
        <v>12</v>
      </c>
      <c r="C76" t="s">
        <v>16</v>
      </c>
      <c r="D76" t="s">
        <v>17</v>
      </c>
      <c r="E76" t="s">
        <v>18</v>
      </c>
      <c r="F76">
        <v>9</v>
      </c>
      <c r="G76" t="s">
        <v>50</v>
      </c>
      <c r="H76">
        <v>23</v>
      </c>
      <c r="I76">
        <v>4638.57</v>
      </c>
      <c r="J76">
        <v>41747.129999999997</v>
      </c>
    </row>
    <row r="77" spans="1:12" x14ac:dyDescent="0.35">
      <c r="A77" s="17">
        <v>45107</v>
      </c>
      <c r="B77" t="s">
        <v>8</v>
      </c>
      <c r="C77" t="s">
        <v>9</v>
      </c>
      <c r="D77" t="s">
        <v>23</v>
      </c>
      <c r="E77" t="s">
        <v>11</v>
      </c>
      <c r="F77">
        <v>16</v>
      </c>
      <c r="G77" t="s">
        <v>51</v>
      </c>
      <c r="H77">
        <v>51</v>
      </c>
      <c r="I77">
        <v>494.05</v>
      </c>
      <c r="J77">
        <v>7904.8</v>
      </c>
    </row>
    <row r="78" spans="1:12" x14ac:dyDescent="0.35">
      <c r="A78" s="17">
        <v>44932</v>
      </c>
      <c r="B78" t="s">
        <v>12</v>
      </c>
      <c r="C78" t="s">
        <v>13</v>
      </c>
      <c r="D78" t="s">
        <v>26</v>
      </c>
      <c r="E78" t="s">
        <v>27</v>
      </c>
      <c r="F78">
        <v>12</v>
      </c>
      <c r="G78" t="s">
        <v>52</v>
      </c>
      <c r="H78">
        <v>17</v>
      </c>
      <c r="I78">
        <v>1061.49</v>
      </c>
      <c r="J78">
        <v>12737.88</v>
      </c>
    </row>
    <row r="79" spans="1:12" x14ac:dyDescent="0.35">
      <c r="A79" s="17">
        <v>45257</v>
      </c>
      <c r="B79" t="s">
        <v>12</v>
      </c>
      <c r="C79" t="s">
        <v>13</v>
      </c>
      <c r="D79" t="s">
        <v>33</v>
      </c>
      <c r="E79" t="s">
        <v>18</v>
      </c>
      <c r="F79">
        <v>16</v>
      </c>
      <c r="G79" t="s">
        <v>53</v>
      </c>
      <c r="H79">
        <v>25</v>
      </c>
      <c r="I79">
        <v>795.17</v>
      </c>
      <c r="J79">
        <v>12722.72</v>
      </c>
    </row>
    <row r="80" spans="1:12" x14ac:dyDescent="0.35">
      <c r="A80" s="17">
        <v>45104</v>
      </c>
      <c r="B80" t="s">
        <v>12</v>
      </c>
      <c r="C80" t="s">
        <v>16</v>
      </c>
      <c r="D80" t="s">
        <v>17</v>
      </c>
      <c r="E80" t="s">
        <v>11</v>
      </c>
      <c r="F80">
        <v>14</v>
      </c>
      <c r="G80" t="s">
        <v>54</v>
      </c>
      <c r="H80">
        <v>19</v>
      </c>
      <c r="I80">
        <v>771.61</v>
      </c>
      <c r="J80">
        <v>10802.54</v>
      </c>
    </row>
    <row r="81" spans="1:10" x14ac:dyDescent="0.35">
      <c r="A81" s="17">
        <v>44934</v>
      </c>
      <c r="B81" t="s">
        <v>8</v>
      </c>
      <c r="C81" t="s">
        <v>9</v>
      </c>
      <c r="D81" t="s">
        <v>31</v>
      </c>
      <c r="E81" t="s">
        <v>11</v>
      </c>
      <c r="F81">
        <v>16</v>
      </c>
      <c r="G81" t="s">
        <v>55</v>
      </c>
      <c r="H81">
        <v>45</v>
      </c>
      <c r="I81">
        <v>3702.43</v>
      </c>
      <c r="J81">
        <v>59238.879999999997</v>
      </c>
    </row>
    <row r="82" spans="1:10" x14ac:dyDescent="0.35">
      <c r="A82" s="17">
        <v>45021</v>
      </c>
      <c r="B82" t="s">
        <v>12</v>
      </c>
      <c r="C82" t="s">
        <v>13</v>
      </c>
      <c r="D82" t="s">
        <v>14</v>
      </c>
      <c r="E82" t="s">
        <v>11</v>
      </c>
      <c r="F82">
        <v>4</v>
      </c>
      <c r="G82" t="s">
        <v>56</v>
      </c>
      <c r="H82">
        <v>51</v>
      </c>
      <c r="I82">
        <v>1456.19</v>
      </c>
      <c r="J82">
        <v>5824.76</v>
      </c>
    </row>
    <row r="83" spans="1:10" x14ac:dyDescent="0.35">
      <c r="A83" s="17">
        <v>45112</v>
      </c>
      <c r="B83" t="s">
        <v>12</v>
      </c>
      <c r="C83" t="s">
        <v>16</v>
      </c>
      <c r="D83" t="s">
        <v>25</v>
      </c>
      <c r="E83" t="s">
        <v>18</v>
      </c>
      <c r="F83">
        <v>14</v>
      </c>
      <c r="G83" t="s">
        <v>57</v>
      </c>
      <c r="H83">
        <v>54</v>
      </c>
      <c r="I83">
        <v>2808.58</v>
      </c>
      <c r="J83">
        <v>39320.120000000003</v>
      </c>
    </row>
    <row r="84" spans="1:10" x14ac:dyDescent="0.35">
      <c r="A84" s="17">
        <v>45208</v>
      </c>
      <c r="B84" t="s">
        <v>8</v>
      </c>
      <c r="C84" t="s">
        <v>9</v>
      </c>
      <c r="D84" t="s">
        <v>10</v>
      </c>
      <c r="E84" t="s">
        <v>11</v>
      </c>
      <c r="F84">
        <v>4</v>
      </c>
      <c r="G84" t="s">
        <v>58</v>
      </c>
      <c r="H84">
        <v>46</v>
      </c>
      <c r="I84">
        <v>1640.54</v>
      </c>
      <c r="J84">
        <v>6562.16</v>
      </c>
    </row>
    <row r="85" spans="1:10" x14ac:dyDescent="0.35">
      <c r="A85" s="17">
        <v>45239</v>
      </c>
      <c r="B85" t="s">
        <v>12</v>
      </c>
      <c r="C85" t="s">
        <v>16</v>
      </c>
      <c r="D85" t="s">
        <v>17</v>
      </c>
      <c r="E85" t="s">
        <v>11</v>
      </c>
      <c r="F85">
        <v>15</v>
      </c>
      <c r="G85" t="s">
        <v>59</v>
      </c>
      <c r="H85">
        <v>21</v>
      </c>
      <c r="I85">
        <v>3909.42</v>
      </c>
      <c r="J85">
        <v>58641.3</v>
      </c>
    </row>
    <row r="86" spans="1:10" x14ac:dyDescent="0.35">
      <c r="A86" s="17">
        <v>45155</v>
      </c>
      <c r="B86" t="s">
        <v>12</v>
      </c>
      <c r="C86" t="s">
        <v>13</v>
      </c>
      <c r="D86" t="s">
        <v>26</v>
      </c>
      <c r="E86" t="s">
        <v>15</v>
      </c>
      <c r="F86">
        <v>17</v>
      </c>
      <c r="G86" t="s">
        <v>48</v>
      </c>
      <c r="H86">
        <v>39</v>
      </c>
      <c r="I86">
        <v>4517.78</v>
      </c>
      <c r="J86">
        <v>76802.259999999995</v>
      </c>
    </row>
    <row r="87" spans="1:10" x14ac:dyDescent="0.35">
      <c r="A87" s="17">
        <v>45150</v>
      </c>
      <c r="B87" t="s">
        <v>8</v>
      </c>
      <c r="C87" t="s">
        <v>9</v>
      </c>
      <c r="D87" t="s">
        <v>31</v>
      </c>
      <c r="E87" t="s">
        <v>24</v>
      </c>
      <c r="F87">
        <v>5</v>
      </c>
      <c r="G87" t="s">
        <v>49</v>
      </c>
      <c r="H87">
        <v>29</v>
      </c>
      <c r="I87">
        <v>4198.97</v>
      </c>
      <c r="J87">
        <v>20994.85</v>
      </c>
    </row>
    <row r="88" spans="1:10" x14ac:dyDescent="0.35">
      <c r="A88" s="17">
        <v>45266</v>
      </c>
      <c r="B88" t="s">
        <v>8</v>
      </c>
      <c r="C88" t="s">
        <v>28</v>
      </c>
      <c r="D88" t="s">
        <v>30</v>
      </c>
      <c r="E88" t="s">
        <v>24</v>
      </c>
      <c r="F88">
        <v>14</v>
      </c>
      <c r="G88" t="s">
        <v>50</v>
      </c>
      <c r="H88">
        <v>46</v>
      </c>
      <c r="I88">
        <v>4839.1099999999997</v>
      </c>
      <c r="J88">
        <v>67747.539999999994</v>
      </c>
    </row>
    <row r="89" spans="1:10" x14ac:dyDescent="0.35">
      <c r="A89" s="17">
        <v>45042</v>
      </c>
      <c r="B89" t="s">
        <v>8</v>
      </c>
      <c r="C89" t="s">
        <v>9</v>
      </c>
      <c r="D89" t="s">
        <v>23</v>
      </c>
      <c r="E89" t="s">
        <v>11</v>
      </c>
      <c r="F89">
        <v>18</v>
      </c>
      <c r="G89" t="s">
        <v>51</v>
      </c>
      <c r="H89">
        <v>28</v>
      </c>
      <c r="I89">
        <v>4022.66</v>
      </c>
      <c r="J89">
        <v>72407.88</v>
      </c>
    </row>
    <row r="90" spans="1:10" x14ac:dyDescent="0.35">
      <c r="A90" s="17">
        <v>45137</v>
      </c>
      <c r="B90" t="s">
        <v>8</v>
      </c>
      <c r="C90" t="s">
        <v>28</v>
      </c>
      <c r="D90" t="s">
        <v>32</v>
      </c>
      <c r="E90" t="s">
        <v>27</v>
      </c>
      <c r="F90">
        <v>11</v>
      </c>
      <c r="G90" t="s">
        <v>52</v>
      </c>
      <c r="H90">
        <v>19</v>
      </c>
      <c r="I90">
        <v>1798.54</v>
      </c>
      <c r="J90">
        <v>19783.939999999999</v>
      </c>
    </row>
    <row r="91" spans="1:10" x14ac:dyDescent="0.35">
      <c r="A91" s="17">
        <v>45175</v>
      </c>
      <c r="B91" t="s">
        <v>8</v>
      </c>
      <c r="C91" t="s">
        <v>28</v>
      </c>
      <c r="D91" t="s">
        <v>30</v>
      </c>
      <c r="E91" t="s">
        <v>15</v>
      </c>
      <c r="F91">
        <v>10</v>
      </c>
      <c r="G91" t="s">
        <v>53</v>
      </c>
      <c r="H91">
        <v>18</v>
      </c>
      <c r="I91">
        <v>3205.57</v>
      </c>
      <c r="J91">
        <v>32055.7</v>
      </c>
    </row>
    <row r="92" spans="1:10" x14ac:dyDescent="0.35">
      <c r="A92" s="17">
        <v>45266</v>
      </c>
      <c r="B92" t="s">
        <v>12</v>
      </c>
      <c r="C92" t="s">
        <v>16</v>
      </c>
      <c r="D92" t="s">
        <v>25</v>
      </c>
      <c r="E92" t="s">
        <v>11</v>
      </c>
      <c r="F92">
        <v>5</v>
      </c>
      <c r="G92" t="s">
        <v>54</v>
      </c>
      <c r="H92">
        <v>51</v>
      </c>
      <c r="I92">
        <v>4987.84</v>
      </c>
      <c r="J92">
        <v>24939.200000000001</v>
      </c>
    </row>
    <row r="93" spans="1:10" x14ac:dyDescent="0.35">
      <c r="A93" s="17">
        <v>44946</v>
      </c>
      <c r="B93" t="s">
        <v>12</v>
      </c>
      <c r="C93" t="s">
        <v>16</v>
      </c>
      <c r="D93" t="s">
        <v>25</v>
      </c>
      <c r="E93" t="s">
        <v>24</v>
      </c>
      <c r="F93">
        <v>14</v>
      </c>
      <c r="G93" t="s">
        <v>55</v>
      </c>
      <c r="H93">
        <v>38</v>
      </c>
      <c r="I93">
        <v>1507.19</v>
      </c>
      <c r="J93">
        <v>21100.66</v>
      </c>
    </row>
    <row r="94" spans="1:10" x14ac:dyDescent="0.35">
      <c r="A94" s="17">
        <v>45219</v>
      </c>
      <c r="B94" t="s">
        <v>8</v>
      </c>
      <c r="C94" t="s">
        <v>9</v>
      </c>
      <c r="D94" t="s">
        <v>10</v>
      </c>
      <c r="E94" t="s">
        <v>11</v>
      </c>
      <c r="F94">
        <v>17</v>
      </c>
      <c r="G94" t="s">
        <v>56</v>
      </c>
      <c r="H94">
        <v>52</v>
      </c>
      <c r="I94">
        <v>3490.72</v>
      </c>
      <c r="J94">
        <v>59342.239999999998</v>
      </c>
    </row>
    <row r="95" spans="1:10" x14ac:dyDescent="0.35">
      <c r="A95" s="17">
        <v>45026</v>
      </c>
      <c r="B95" t="s">
        <v>12</v>
      </c>
      <c r="C95" t="s">
        <v>16</v>
      </c>
      <c r="D95" t="s">
        <v>25</v>
      </c>
      <c r="E95" t="s">
        <v>15</v>
      </c>
      <c r="F95">
        <v>5</v>
      </c>
      <c r="G95" t="s">
        <v>57</v>
      </c>
      <c r="H95">
        <v>28</v>
      </c>
      <c r="I95">
        <v>3786.28</v>
      </c>
      <c r="J95">
        <v>18931.400000000001</v>
      </c>
    </row>
    <row r="96" spans="1:10" x14ac:dyDescent="0.35">
      <c r="A96" s="17">
        <v>44974</v>
      </c>
      <c r="B96" t="s">
        <v>12</v>
      </c>
      <c r="C96" t="s">
        <v>13</v>
      </c>
      <c r="D96" t="s">
        <v>26</v>
      </c>
      <c r="E96" t="s">
        <v>18</v>
      </c>
      <c r="F96">
        <v>10</v>
      </c>
      <c r="G96" t="s">
        <v>58</v>
      </c>
      <c r="H96">
        <v>22</v>
      </c>
      <c r="I96">
        <v>4196.24</v>
      </c>
      <c r="J96">
        <v>41962.400000000001</v>
      </c>
    </row>
    <row r="97" spans="1:10" x14ac:dyDescent="0.35">
      <c r="A97" s="17">
        <v>44974</v>
      </c>
      <c r="B97" t="s">
        <v>12</v>
      </c>
      <c r="C97" t="s">
        <v>13</v>
      </c>
      <c r="D97" t="s">
        <v>33</v>
      </c>
      <c r="E97" t="s">
        <v>18</v>
      </c>
      <c r="F97">
        <v>4</v>
      </c>
      <c r="G97" t="s">
        <v>59</v>
      </c>
      <c r="H97">
        <v>45</v>
      </c>
      <c r="I97">
        <v>1493.04</v>
      </c>
      <c r="J97">
        <v>5972.16</v>
      </c>
    </row>
    <row r="98" spans="1:10" x14ac:dyDescent="0.35">
      <c r="A98" s="17">
        <v>45224</v>
      </c>
      <c r="B98" t="s">
        <v>20</v>
      </c>
      <c r="C98" t="s">
        <v>21</v>
      </c>
      <c r="D98" t="s">
        <v>35</v>
      </c>
      <c r="E98" t="s">
        <v>24</v>
      </c>
      <c r="F98">
        <v>16</v>
      </c>
      <c r="G98" t="s">
        <v>48</v>
      </c>
      <c r="H98">
        <v>42</v>
      </c>
      <c r="I98">
        <v>2502.5700000000002</v>
      </c>
      <c r="J98">
        <v>40041.120000000003</v>
      </c>
    </row>
    <row r="99" spans="1:10" x14ac:dyDescent="0.35">
      <c r="A99" s="17">
        <v>45052</v>
      </c>
      <c r="B99" t="s">
        <v>12</v>
      </c>
      <c r="C99" t="s">
        <v>16</v>
      </c>
      <c r="D99" t="s">
        <v>25</v>
      </c>
      <c r="E99" t="s">
        <v>18</v>
      </c>
      <c r="F99">
        <v>19</v>
      </c>
      <c r="G99" t="s">
        <v>49</v>
      </c>
      <c r="H99">
        <v>27</v>
      </c>
      <c r="I99">
        <v>548.70000000000005</v>
      </c>
      <c r="J99">
        <v>10425.299999999999</v>
      </c>
    </row>
    <row r="100" spans="1:10" x14ac:dyDescent="0.35">
      <c r="A100" s="17">
        <v>45149</v>
      </c>
      <c r="B100" t="s">
        <v>12</v>
      </c>
      <c r="C100" t="s">
        <v>16</v>
      </c>
      <c r="D100" t="s">
        <v>19</v>
      </c>
      <c r="E100" t="s">
        <v>15</v>
      </c>
      <c r="F100">
        <v>19</v>
      </c>
      <c r="G100" t="s">
        <v>50</v>
      </c>
      <c r="H100">
        <v>31</v>
      </c>
      <c r="I100">
        <v>1309.6500000000001</v>
      </c>
      <c r="J100">
        <v>24883.35</v>
      </c>
    </row>
    <row r="101" spans="1:10" x14ac:dyDescent="0.35">
      <c r="A101" s="17">
        <v>45130</v>
      </c>
      <c r="B101" t="s">
        <v>8</v>
      </c>
      <c r="C101" t="s">
        <v>9</v>
      </c>
      <c r="D101" t="s">
        <v>23</v>
      </c>
      <c r="E101" t="s">
        <v>11</v>
      </c>
      <c r="F101">
        <v>2</v>
      </c>
      <c r="G101" t="s">
        <v>51</v>
      </c>
      <c r="H101">
        <v>46</v>
      </c>
      <c r="I101">
        <v>741.33</v>
      </c>
      <c r="J101">
        <v>1482.66</v>
      </c>
    </row>
    <row r="102" spans="1:10" x14ac:dyDescent="0.35">
      <c r="A102" s="17">
        <v>45150</v>
      </c>
      <c r="B102" t="s">
        <v>8</v>
      </c>
      <c r="C102" t="s">
        <v>9</v>
      </c>
      <c r="D102" t="s">
        <v>10</v>
      </c>
      <c r="E102" t="s">
        <v>24</v>
      </c>
      <c r="F102">
        <v>3</v>
      </c>
      <c r="G102" t="s">
        <v>52</v>
      </c>
      <c r="H102">
        <v>25</v>
      </c>
      <c r="I102">
        <v>3957.38</v>
      </c>
      <c r="J102">
        <v>11872.14</v>
      </c>
    </row>
    <row r="103" spans="1:10" x14ac:dyDescent="0.35">
      <c r="A103" s="17">
        <v>44939</v>
      </c>
      <c r="B103" t="s">
        <v>8</v>
      </c>
      <c r="C103" t="s">
        <v>9</v>
      </c>
      <c r="D103" t="s">
        <v>31</v>
      </c>
      <c r="E103" t="s">
        <v>15</v>
      </c>
      <c r="F103">
        <v>18</v>
      </c>
      <c r="G103" t="s">
        <v>53</v>
      </c>
      <c r="H103">
        <v>22</v>
      </c>
      <c r="I103">
        <v>2777.65</v>
      </c>
      <c r="J103">
        <v>49997.7</v>
      </c>
    </row>
    <row r="104" spans="1:10" x14ac:dyDescent="0.35">
      <c r="A104" s="17">
        <v>45078</v>
      </c>
      <c r="B104" t="s">
        <v>8</v>
      </c>
      <c r="C104" t="s">
        <v>28</v>
      </c>
      <c r="D104" t="s">
        <v>32</v>
      </c>
      <c r="E104" t="s">
        <v>18</v>
      </c>
      <c r="F104">
        <v>15</v>
      </c>
      <c r="G104" t="s">
        <v>54</v>
      </c>
      <c r="H104">
        <v>39</v>
      </c>
      <c r="I104">
        <v>2586.8000000000002</v>
      </c>
      <c r="J104">
        <v>38802</v>
      </c>
    </row>
    <row r="105" spans="1:10" x14ac:dyDescent="0.35">
      <c r="A105" s="17">
        <v>45184</v>
      </c>
      <c r="B105" t="s">
        <v>12</v>
      </c>
      <c r="C105" t="s">
        <v>13</v>
      </c>
      <c r="D105" t="s">
        <v>14</v>
      </c>
      <c r="E105" t="s">
        <v>15</v>
      </c>
      <c r="F105">
        <v>13</v>
      </c>
      <c r="G105" t="s">
        <v>55</v>
      </c>
      <c r="H105">
        <v>42</v>
      </c>
      <c r="I105">
        <v>4337.22</v>
      </c>
      <c r="J105">
        <v>56383.86</v>
      </c>
    </row>
    <row r="106" spans="1:10" x14ac:dyDescent="0.35">
      <c r="A106" s="17">
        <v>45195</v>
      </c>
      <c r="B106" t="s">
        <v>12</v>
      </c>
      <c r="C106" t="s">
        <v>16</v>
      </c>
      <c r="D106" t="s">
        <v>17</v>
      </c>
      <c r="E106" t="s">
        <v>18</v>
      </c>
      <c r="F106">
        <v>5</v>
      </c>
      <c r="G106" t="s">
        <v>56</v>
      </c>
      <c r="H106">
        <v>34</v>
      </c>
      <c r="I106">
        <v>4499.88</v>
      </c>
      <c r="J106">
        <v>22499.4</v>
      </c>
    </row>
    <row r="107" spans="1:10" x14ac:dyDescent="0.35">
      <c r="A107" s="17">
        <v>45244</v>
      </c>
      <c r="B107" t="s">
        <v>8</v>
      </c>
      <c r="C107" t="s">
        <v>9</v>
      </c>
      <c r="D107" t="s">
        <v>23</v>
      </c>
      <c r="E107" t="s">
        <v>11</v>
      </c>
      <c r="F107">
        <v>13</v>
      </c>
      <c r="G107" t="s">
        <v>57</v>
      </c>
      <c r="H107">
        <v>53</v>
      </c>
      <c r="I107">
        <v>4357.0200000000004</v>
      </c>
      <c r="J107">
        <v>56641.26</v>
      </c>
    </row>
    <row r="108" spans="1:10" x14ac:dyDescent="0.35">
      <c r="A108" s="17">
        <v>44949</v>
      </c>
      <c r="B108" t="s">
        <v>8</v>
      </c>
      <c r="C108" t="s">
        <v>9</v>
      </c>
      <c r="D108" t="s">
        <v>10</v>
      </c>
      <c r="E108" t="s">
        <v>15</v>
      </c>
      <c r="F108">
        <v>9</v>
      </c>
      <c r="G108" t="s">
        <v>58</v>
      </c>
      <c r="H108">
        <v>21</v>
      </c>
      <c r="I108">
        <v>808.93</v>
      </c>
      <c r="J108">
        <v>7280.37</v>
      </c>
    </row>
    <row r="109" spans="1:10" x14ac:dyDescent="0.35">
      <c r="A109" s="17">
        <v>44962</v>
      </c>
      <c r="B109" t="s">
        <v>8</v>
      </c>
      <c r="C109" t="s">
        <v>9</v>
      </c>
      <c r="D109" t="s">
        <v>31</v>
      </c>
      <c r="E109" t="s">
        <v>11</v>
      </c>
      <c r="F109">
        <v>9</v>
      </c>
      <c r="G109" t="s">
        <v>59</v>
      </c>
      <c r="H109">
        <v>25</v>
      </c>
      <c r="I109">
        <v>2267.7199999999998</v>
      </c>
      <c r="J109">
        <v>20409.48</v>
      </c>
    </row>
    <row r="110" spans="1:10" x14ac:dyDescent="0.35">
      <c r="A110" s="17">
        <v>45206</v>
      </c>
      <c r="B110" t="s">
        <v>12</v>
      </c>
      <c r="C110" t="s">
        <v>13</v>
      </c>
      <c r="D110" t="s">
        <v>33</v>
      </c>
      <c r="E110" t="s">
        <v>27</v>
      </c>
      <c r="F110">
        <v>13</v>
      </c>
      <c r="G110" t="s">
        <v>48</v>
      </c>
      <c r="H110">
        <v>36</v>
      </c>
      <c r="I110">
        <v>2238.96</v>
      </c>
      <c r="J110">
        <v>29106.48</v>
      </c>
    </row>
    <row r="111" spans="1:10" x14ac:dyDescent="0.35">
      <c r="A111" s="17">
        <v>45183</v>
      </c>
      <c r="B111" t="s">
        <v>8</v>
      </c>
      <c r="C111" t="s">
        <v>28</v>
      </c>
      <c r="D111" t="s">
        <v>32</v>
      </c>
      <c r="E111" t="s">
        <v>11</v>
      </c>
      <c r="F111">
        <v>3</v>
      </c>
      <c r="G111" t="s">
        <v>49</v>
      </c>
      <c r="H111">
        <v>20</v>
      </c>
      <c r="I111">
        <v>4195.66</v>
      </c>
      <c r="J111">
        <v>12586.98</v>
      </c>
    </row>
    <row r="112" spans="1:10" x14ac:dyDescent="0.35">
      <c r="A112" s="17">
        <v>45046</v>
      </c>
      <c r="B112" t="s">
        <v>20</v>
      </c>
      <c r="C112" t="s">
        <v>21</v>
      </c>
      <c r="D112" t="s">
        <v>34</v>
      </c>
      <c r="E112" t="s">
        <v>24</v>
      </c>
      <c r="F112">
        <v>6</v>
      </c>
      <c r="G112" t="s">
        <v>50</v>
      </c>
      <c r="H112">
        <v>46</v>
      </c>
      <c r="I112">
        <v>1508.35</v>
      </c>
      <c r="J112">
        <v>9050.1</v>
      </c>
    </row>
    <row r="113" spans="1:10" x14ac:dyDescent="0.35">
      <c r="A113" s="17">
        <v>44953</v>
      </c>
      <c r="B113" t="s">
        <v>20</v>
      </c>
      <c r="C113" t="s">
        <v>21</v>
      </c>
      <c r="D113" t="s">
        <v>34</v>
      </c>
      <c r="E113" t="s">
        <v>24</v>
      </c>
      <c r="F113">
        <v>8</v>
      </c>
      <c r="G113" t="s">
        <v>51</v>
      </c>
      <c r="H113">
        <v>22</v>
      </c>
      <c r="I113">
        <v>1314.71</v>
      </c>
      <c r="J113">
        <v>10517.68</v>
      </c>
    </row>
    <row r="114" spans="1:10" x14ac:dyDescent="0.35">
      <c r="A114" s="17">
        <v>45009</v>
      </c>
      <c r="B114" t="s">
        <v>8</v>
      </c>
      <c r="C114" t="s">
        <v>28</v>
      </c>
      <c r="D114" t="s">
        <v>32</v>
      </c>
      <c r="E114" t="s">
        <v>18</v>
      </c>
      <c r="F114">
        <v>11</v>
      </c>
      <c r="G114" t="s">
        <v>52</v>
      </c>
      <c r="H114">
        <v>25</v>
      </c>
      <c r="I114">
        <v>1435.18</v>
      </c>
      <c r="J114">
        <v>15786.98</v>
      </c>
    </row>
    <row r="115" spans="1:10" x14ac:dyDescent="0.35">
      <c r="A115" s="17">
        <v>45274</v>
      </c>
      <c r="B115" t="s">
        <v>8</v>
      </c>
      <c r="C115" t="s">
        <v>28</v>
      </c>
      <c r="D115" t="s">
        <v>32</v>
      </c>
      <c r="E115" t="s">
        <v>24</v>
      </c>
      <c r="F115">
        <v>11</v>
      </c>
      <c r="G115" t="s">
        <v>53</v>
      </c>
      <c r="H115">
        <v>53</v>
      </c>
      <c r="I115">
        <v>4188.37</v>
      </c>
      <c r="J115">
        <v>46072.07</v>
      </c>
    </row>
    <row r="116" spans="1:10" x14ac:dyDescent="0.35">
      <c r="A116" s="17">
        <v>45068</v>
      </c>
      <c r="B116" t="s">
        <v>20</v>
      </c>
      <c r="C116" t="s">
        <v>21</v>
      </c>
      <c r="D116" t="s">
        <v>34</v>
      </c>
      <c r="E116" t="s">
        <v>24</v>
      </c>
      <c r="F116">
        <v>1</v>
      </c>
      <c r="G116" t="s">
        <v>54</v>
      </c>
      <c r="H116">
        <v>35</v>
      </c>
      <c r="I116">
        <v>4859.6499999999996</v>
      </c>
      <c r="J116">
        <v>4859.6499999999996</v>
      </c>
    </row>
    <row r="117" spans="1:10" x14ac:dyDescent="0.35">
      <c r="A117" s="17">
        <v>45062</v>
      </c>
      <c r="B117" t="s">
        <v>12</v>
      </c>
      <c r="C117" t="s">
        <v>13</v>
      </c>
      <c r="D117" t="s">
        <v>33</v>
      </c>
      <c r="E117" t="s">
        <v>15</v>
      </c>
      <c r="F117">
        <v>18</v>
      </c>
      <c r="G117" t="s">
        <v>55</v>
      </c>
      <c r="H117">
        <v>24</v>
      </c>
      <c r="I117">
        <v>3913.42</v>
      </c>
      <c r="J117">
        <v>70441.56</v>
      </c>
    </row>
    <row r="118" spans="1:10" x14ac:dyDescent="0.35">
      <c r="A118" s="17">
        <v>45029</v>
      </c>
      <c r="B118" t="s">
        <v>12</v>
      </c>
      <c r="C118" t="s">
        <v>13</v>
      </c>
      <c r="D118" t="s">
        <v>33</v>
      </c>
      <c r="E118" t="s">
        <v>27</v>
      </c>
      <c r="F118">
        <v>8</v>
      </c>
      <c r="G118" t="s">
        <v>56</v>
      </c>
      <c r="H118">
        <v>35</v>
      </c>
      <c r="I118">
        <v>4402.3599999999997</v>
      </c>
      <c r="J118">
        <v>35218.879999999997</v>
      </c>
    </row>
    <row r="119" spans="1:10" x14ac:dyDescent="0.35">
      <c r="A119" s="17">
        <v>45092</v>
      </c>
      <c r="B119" t="s">
        <v>8</v>
      </c>
      <c r="C119" t="s">
        <v>9</v>
      </c>
      <c r="D119" t="s">
        <v>10</v>
      </c>
      <c r="E119" t="s">
        <v>15</v>
      </c>
      <c r="F119">
        <v>19</v>
      </c>
      <c r="G119" t="s">
        <v>57</v>
      </c>
      <c r="H119">
        <v>48</v>
      </c>
      <c r="I119">
        <v>1965.12</v>
      </c>
      <c r="J119">
        <v>37337.279999999999</v>
      </c>
    </row>
    <row r="120" spans="1:10" x14ac:dyDescent="0.35">
      <c r="A120" s="17">
        <v>45154</v>
      </c>
      <c r="B120" t="s">
        <v>8</v>
      </c>
      <c r="C120" t="s">
        <v>28</v>
      </c>
      <c r="D120" t="s">
        <v>32</v>
      </c>
      <c r="E120" t="s">
        <v>24</v>
      </c>
      <c r="F120">
        <v>11</v>
      </c>
      <c r="G120" t="s">
        <v>58</v>
      </c>
      <c r="H120">
        <v>26</v>
      </c>
      <c r="I120">
        <v>2522.63</v>
      </c>
      <c r="J120">
        <v>27748.93</v>
      </c>
    </row>
    <row r="121" spans="1:10" x14ac:dyDescent="0.35">
      <c r="A121" s="17">
        <v>45188</v>
      </c>
      <c r="B121" t="s">
        <v>8</v>
      </c>
      <c r="C121" t="s">
        <v>28</v>
      </c>
      <c r="D121" t="s">
        <v>30</v>
      </c>
      <c r="E121" t="s">
        <v>27</v>
      </c>
      <c r="F121">
        <v>19</v>
      </c>
      <c r="G121" t="s">
        <v>59</v>
      </c>
      <c r="H121">
        <v>28</v>
      </c>
      <c r="I121">
        <v>2493.0300000000002</v>
      </c>
      <c r="J121">
        <v>47367.57</v>
      </c>
    </row>
    <row r="122" spans="1:10" x14ac:dyDescent="0.35">
      <c r="A122" s="17">
        <v>45268</v>
      </c>
      <c r="B122" t="s">
        <v>12</v>
      </c>
      <c r="C122" t="s">
        <v>13</v>
      </c>
      <c r="D122" t="s">
        <v>33</v>
      </c>
      <c r="E122" t="s">
        <v>18</v>
      </c>
      <c r="F122">
        <v>16</v>
      </c>
      <c r="G122" t="s">
        <v>48</v>
      </c>
      <c r="H122">
        <v>30</v>
      </c>
      <c r="I122">
        <v>3895.18</v>
      </c>
      <c r="J122">
        <v>62322.879999999997</v>
      </c>
    </row>
    <row r="123" spans="1:10" x14ac:dyDescent="0.35">
      <c r="A123" s="17">
        <v>45166</v>
      </c>
      <c r="B123" t="s">
        <v>12</v>
      </c>
      <c r="C123" t="s">
        <v>13</v>
      </c>
      <c r="D123" t="s">
        <v>33</v>
      </c>
      <c r="E123" t="s">
        <v>15</v>
      </c>
      <c r="F123">
        <v>2</v>
      </c>
      <c r="G123" t="s">
        <v>49</v>
      </c>
      <c r="H123">
        <v>54</v>
      </c>
      <c r="I123">
        <v>1827.28</v>
      </c>
      <c r="J123">
        <v>3654.56</v>
      </c>
    </row>
    <row r="124" spans="1:10" x14ac:dyDescent="0.35">
      <c r="A124" s="17">
        <v>44952</v>
      </c>
      <c r="B124" t="s">
        <v>8</v>
      </c>
      <c r="C124" t="s">
        <v>28</v>
      </c>
      <c r="D124" t="s">
        <v>29</v>
      </c>
      <c r="E124" t="s">
        <v>27</v>
      </c>
      <c r="F124">
        <v>13</v>
      </c>
      <c r="G124" t="s">
        <v>50</v>
      </c>
      <c r="H124">
        <v>51</v>
      </c>
      <c r="I124">
        <v>1753.48</v>
      </c>
      <c r="J124">
        <v>22795.24</v>
      </c>
    </row>
    <row r="125" spans="1:10" x14ac:dyDescent="0.35">
      <c r="A125" s="17">
        <v>45124</v>
      </c>
      <c r="B125" t="s">
        <v>12</v>
      </c>
      <c r="C125" t="s">
        <v>13</v>
      </c>
      <c r="D125" t="s">
        <v>33</v>
      </c>
      <c r="E125" t="s">
        <v>24</v>
      </c>
      <c r="F125">
        <v>16</v>
      </c>
      <c r="G125" t="s">
        <v>51</v>
      </c>
      <c r="H125">
        <v>25</v>
      </c>
      <c r="I125">
        <v>971.39</v>
      </c>
      <c r="J125">
        <v>15542.24</v>
      </c>
    </row>
    <row r="126" spans="1:10" x14ac:dyDescent="0.35">
      <c r="A126" s="17">
        <v>45214</v>
      </c>
      <c r="B126" t="s">
        <v>12</v>
      </c>
      <c r="C126" t="s">
        <v>16</v>
      </c>
      <c r="D126" t="s">
        <v>19</v>
      </c>
      <c r="E126" t="s">
        <v>27</v>
      </c>
      <c r="F126">
        <v>15</v>
      </c>
      <c r="G126" t="s">
        <v>52</v>
      </c>
      <c r="H126">
        <v>46</v>
      </c>
      <c r="I126">
        <v>346.45</v>
      </c>
      <c r="J126">
        <v>5196.75</v>
      </c>
    </row>
    <row r="127" spans="1:10" x14ac:dyDescent="0.35">
      <c r="A127" s="17">
        <v>45249</v>
      </c>
      <c r="B127" t="s">
        <v>8</v>
      </c>
      <c r="C127" t="s">
        <v>28</v>
      </c>
      <c r="D127" t="s">
        <v>30</v>
      </c>
      <c r="E127" t="s">
        <v>11</v>
      </c>
      <c r="F127">
        <v>12</v>
      </c>
      <c r="G127" t="s">
        <v>53</v>
      </c>
      <c r="H127">
        <v>44</v>
      </c>
      <c r="I127">
        <v>186.62</v>
      </c>
      <c r="J127">
        <v>2239.44</v>
      </c>
    </row>
    <row r="128" spans="1:10" x14ac:dyDescent="0.35">
      <c r="A128" s="17">
        <v>45010</v>
      </c>
      <c r="B128" t="s">
        <v>20</v>
      </c>
      <c r="C128" t="s">
        <v>21</v>
      </c>
      <c r="D128" t="s">
        <v>22</v>
      </c>
      <c r="E128" t="s">
        <v>18</v>
      </c>
      <c r="F128">
        <v>4</v>
      </c>
      <c r="G128" t="s">
        <v>54</v>
      </c>
      <c r="H128">
        <v>31</v>
      </c>
      <c r="I128">
        <v>431.75</v>
      </c>
      <c r="J128">
        <v>1727</v>
      </c>
    </row>
    <row r="129" spans="1:10" x14ac:dyDescent="0.35">
      <c r="A129" s="17">
        <v>45290</v>
      </c>
      <c r="B129" t="s">
        <v>12</v>
      </c>
      <c r="C129" t="s">
        <v>13</v>
      </c>
      <c r="D129" t="s">
        <v>26</v>
      </c>
      <c r="E129" t="s">
        <v>24</v>
      </c>
      <c r="F129">
        <v>19</v>
      </c>
      <c r="G129" t="s">
        <v>55</v>
      </c>
      <c r="H129">
        <v>20</v>
      </c>
      <c r="I129">
        <v>4411.57</v>
      </c>
      <c r="J129">
        <v>83819.83</v>
      </c>
    </row>
    <row r="130" spans="1:10" x14ac:dyDescent="0.35">
      <c r="A130" s="17">
        <v>44943</v>
      </c>
      <c r="B130" t="s">
        <v>12</v>
      </c>
      <c r="C130" t="s">
        <v>13</v>
      </c>
      <c r="D130" t="s">
        <v>14</v>
      </c>
      <c r="E130" t="s">
        <v>27</v>
      </c>
      <c r="F130">
        <v>8</v>
      </c>
      <c r="G130" t="s">
        <v>56</v>
      </c>
      <c r="H130">
        <v>34</v>
      </c>
      <c r="I130">
        <v>918.76</v>
      </c>
      <c r="J130">
        <v>7350.08</v>
      </c>
    </row>
    <row r="131" spans="1:10" x14ac:dyDescent="0.35">
      <c r="A131" s="17">
        <v>45096</v>
      </c>
      <c r="B131" t="s">
        <v>8</v>
      </c>
      <c r="C131" t="s">
        <v>28</v>
      </c>
      <c r="D131" t="s">
        <v>32</v>
      </c>
      <c r="E131" t="s">
        <v>11</v>
      </c>
      <c r="F131">
        <v>13</v>
      </c>
      <c r="G131" t="s">
        <v>57</v>
      </c>
      <c r="H131">
        <v>40</v>
      </c>
      <c r="I131">
        <v>1767.86</v>
      </c>
      <c r="J131">
        <v>22982.18</v>
      </c>
    </row>
    <row r="132" spans="1:10" x14ac:dyDescent="0.35">
      <c r="A132" s="17">
        <v>45167</v>
      </c>
      <c r="B132" t="s">
        <v>12</v>
      </c>
      <c r="C132" t="s">
        <v>13</v>
      </c>
      <c r="D132" t="s">
        <v>33</v>
      </c>
      <c r="E132" t="s">
        <v>24</v>
      </c>
      <c r="F132">
        <v>13</v>
      </c>
      <c r="G132" t="s">
        <v>58</v>
      </c>
      <c r="H132">
        <v>50</v>
      </c>
      <c r="I132">
        <v>4650.74</v>
      </c>
      <c r="J132">
        <v>60459.62</v>
      </c>
    </row>
    <row r="133" spans="1:10" x14ac:dyDescent="0.35">
      <c r="A133" s="17">
        <v>45142</v>
      </c>
      <c r="B133" t="s">
        <v>12</v>
      </c>
      <c r="C133" t="s">
        <v>13</v>
      </c>
      <c r="D133" t="s">
        <v>33</v>
      </c>
      <c r="E133" t="s">
        <v>24</v>
      </c>
      <c r="F133">
        <v>3</v>
      </c>
      <c r="G133" t="s">
        <v>59</v>
      </c>
      <c r="H133">
        <v>38</v>
      </c>
      <c r="I133">
        <v>4876.51</v>
      </c>
      <c r="J133">
        <v>14629.53</v>
      </c>
    </row>
    <row r="134" spans="1:10" x14ac:dyDescent="0.35">
      <c r="A134" s="17">
        <v>45200</v>
      </c>
      <c r="B134" t="s">
        <v>12</v>
      </c>
      <c r="C134" t="s">
        <v>13</v>
      </c>
      <c r="D134" t="s">
        <v>33</v>
      </c>
      <c r="E134" t="s">
        <v>18</v>
      </c>
      <c r="F134">
        <v>16</v>
      </c>
      <c r="G134" t="s">
        <v>48</v>
      </c>
      <c r="H134">
        <v>40</v>
      </c>
      <c r="I134">
        <v>4354.03</v>
      </c>
      <c r="J134">
        <v>69664.479999999996</v>
      </c>
    </row>
    <row r="135" spans="1:10" x14ac:dyDescent="0.35">
      <c r="A135" s="17">
        <v>45212</v>
      </c>
      <c r="B135" t="s">
        <v>12</v>
      </c>
      <c r="C135" t="s">
        <v>16</v>
      </c>
      <c r="D135" t="s">
        <v>17</v>
      </c>
      <c r="E135" t="s">
        <v>11</v>
      </c>
      <c r="F135">
        <v>16</v>
      </c>
      <c r="G135" t="s">
        <v>49</v>
      </c>
      <c r="H135">
        <v>50</v>
      </c>
      <c r="I135">
        <v>2682.3</v>
      </c>
      <c r="J135">
        <v>42916.800000000003</v>
      </c>
    </row>
    <row r="136" spans="1:10" x14ac:dyDescent="0.35">
      <c r="A136" s="17">
        <v>45010</v>
      </c>
      <c r="B136" t="s">
        <v>8</v>
      </c>
      <c r="C136" t="s">
        <v>9</v>
      </c>
      <c r="D136" t="s">
        <v>31</v>
      </c>
      <c r="E136" t="s">
        <v>11</v>
      </c>
      <c r="F136">
        <v>16</v>
      </c>
      <c r="G136" t="s">
        <v>50</v>
      </c>
      <c r="H136">
        <v>20</v>
      </c>
      <c r="I136">
        <v>328.65</v>
      </c>
      <c r="J136">
        <v>5258.4</v>
      </c>
    </row>
    <row r="137" spans="1:10" x14ac:dyDescent="0.35">
      <c r="A137" s="17">
        <v>45251</v>
      </c>
      <c r="B137" t="s">
        <v>8</v>
      </c>
      <c r="C137" t="s">
        <v>9</v>
      </c>
      <c r="D137" t="s">
        <v>23</v>
      </c>
      <c r="E137" t="s">
        <v>15</v>
      </c>
      <c r="F137">
        <v>13</v>
      </c>
      <c r="G137" t="s">
        <v>51</v>
      </c>
      <c r="H137">
        <v>30</v>
      </c>
      <c r="I137">
        <v>1198.5</v>
      </c>
      <c r="J137">
        <v>15580.5</v>
      </c>
    </row>
    <row r="138" spans="1:10" x14ac:dyDescent="0.35">
      <c r="A138" s="17">
        <v>45116</v>
      </c>
      <c r="B138" t="s">
        <v>20</v>
      </c>
      <c r="C138" t="s">
        <v>21</v>
      </c>
      <c r="D138" t="s">
        <v>22</v>
      </c>
      <c r="E138" t="s">
        <v>15</v>
      </c>
      <c r="F138">
        <v>17</v>
      </c>
      <c r="G138" t="s">
        <v>52</v>
      </c>
      <c r="H138">
        <v>36</v>
      </c>
      <c r="I138">
        <v>3679.89</v>
      </c>
      <c r="J138">
        <v>62558.13</v>
      </c>
    </row>
    <row r="139" spans="1:10" x14ac:dyDescent="0.35">
      <c r="A139" s="17">
        <v>45080</v>
      </c>
      <c r="B139" t="s">
        <v>12</v>
      </c>
      <c r="C139" t="s">
        <v>16</v>
      </c>
      <c r="D139" t="s">
        <v>17</v>
      </c>
      <c r="E139" t="s">
        <v>15</v>
      </c>
      <c r="F139">
        <v>1</v>
      </c>
      <c r="G139" t="s">
        <v>53</v>
      </c>
      <c r="H139">
        <v>39</v>
      </c>
      <c r="I139">
        <v>696.38</v>
      </c>
      <c r="J139">
        <v>696.38</v>
      </c>
    </row>
    <row r="140" spans="1:10" x14ac:dyDescent="0.35">
      <c r="A140" s="17">
        <v>45089</v>
      </c>
      <c r="B140" t="s">
        <v>12</v>
      </c>
      <c r="C140" t="s">
        <v>16</v>
      </c>
      <c r="D140" t="s">
        <v>17</v>
      </c>
      <c r="E140" t="s">
        <v>11</v>
      </c>
      <c r="F140">
        <v>13</v>
      </c>
      <c r="G140" t="s">
        <v>54</v>
      </c>
      <c r="H140">
        <v>34</v>
      </c>
      <c r="I140">
        <v>3551.21</v>
      </c>
      <c r="J140">
        <v>46165.73</v>
      </c>
    </row>
    <row r="141" spans="1:10" x14ac:dyDescent="0.35">
      <c r="A141" s="17">
        <v>45231</v>
      </c>
      <c r="B141" t="s">
        <v>12</v>
      </c>
      <c r="C141" t="s">
        <v>16</v>
      </c>
      <c r="D141" t="s">
        <v>25</v>
      </c>
      <c r="E141" t="s">
        <v>27</v>
      </c>
      <c r="F141">
        <v>18</v>
      </c>
      <c r="G141" t="s">
        <v>55</v>
      </c>
      <c r="H141">
        <v>46</v>
      </c>
      <c r="I141">
        <v>262.12</v>
      </c>
      <c r="J141">
        <v>4718.16</v>
      </c>
    </row>
    <row r="142" spans="1:10" x14ac:dyDescent="0.35">
      <c r="A142" s="17">
        <v>45266</v>
      </c>
      <c r="B142" t="s">
        <v>12</v>
      </c>
      <c r="C142" t="s">
        <v>13</v>
      </c>
      <c r="D142" t="s">
        <v>14</v>
      </c>
      <c r="E142" t="s">
        <v>27</v>
      </c>
      <c r="F142">
        <v>16</v>
      </c>
      <c r="G142" t="s">
        <v>56</v>
      </c>
      <c r="H142">
        <v>54</v>
      </c>
      <c r="I142">
        <v>3897.57</v>
      </c>
      <c r="J142">
        <v>62361.120000000003</v>
      </c>
    </row>
    <row r="143" spans="1:10" x14ac:dyDescent="0.35">
      <c r="A143" s="17">
        <v>45033</v>
      </c>
      <c r="B143" t="s">
        <v>12</v>
      </c>
      <c r="C143" t="s">
        <v>13</v>
      </c>
      <c r="D143" t="s">
        <v>26</v>
      </c>
      <c r="E143" t="s">
        <v>15</v>
      </c>
      <c r="F143">
        <v>1</v>
      </c>
      <c r="G143" t="s">
        <v>57</v>
      </c>
      <c r="H143">
        <v>33</v>
      </c>
      <c r="I143">
        <v>3042.8</v>
      </c>
      <c r="J143">
        <v>3042.8</v>
      </c>
    </row>
    <row r="144" spans="1:10" x14ac:dyDescent="0.35">
      <c r="A144" s="17">
        <v>45258</v>
      </c>
      <c r="B144" t="s">
        <v>8</v>
      </c>
      <c r="C144" t="s">
        <v>28</v>
      </c>
      <c r="D144" t="s">
        <v>32</v>
      </c>
      <c r="E144" t="s">
        <v>24</v>
      </c>
      <c r="F144">
        <v>20</v>
      </c>
      <c r="G144" t="s">
        <v>58</v>
      </c>
      <c r="H144">
        <v>45</v>
      </c>
      <c r="I144">
        <v>4066.74</v>
      </c>
      <c r="J144">
        <v>81334.8</v>
      </c>
    </row>
    <row r="145" spans="1:10" x14ac:dyDescent="0.35">
      <c r="A145" s="17">
        <v>45210</v>
      </c>
      <c r="B145" t="s">
        <v>12</v>
      </c>
      <c r="C145" t="s">
        <v>13</v>
      </c>
      <c r="D145" t="s">
        <v>33</v>
      </c>
      <c r="E145" t="s">
        <v>11</v>
      </c>
      <c r="F145">
        <v>11</v>
      </c>
      <c r="G145" t="s">
        <v>59</v>
      </c>
      <c r="H145">
        <v>26</v>
      </c>
      <c r="I145">
        <v>4066.2</v>
      </c>
      <c r="J145">
        <v>44728.2</v>
      </c>
    </row>
    <row r="146" spans="1:10" x14ac:dyDescent="0.35">
      <c r="A146" s="17">
        <v>44999</v>
      </c>
      <c r="B146" t="s">
        <v>12</v>
      </c>
      <c r="C146" t="s">
        <v>13</v>
      </c>
      <c r="D146" t="s">
        <v>14</v>
      </c>
      <c r="E146" t="s">
        <v>24</v>
      </c>
      <c r="F146">
        <v>19</v>
      </c>
      <c r="G146" t="s">
        <v>48</v>
      </c>
      <c r="H146">
        <v>18</v>
      </c>
      <c r="I146">
        <v>1398.49</v>
      </c>
      <c r="J146">
        <v>26571.31</v>
      </c>
    </row>
    <row r="147" spans="1:10" x14ac:dyDescent="0.35">
      <c r="A147" s="17">
        <v>45108</v>
      </c>
      <c r="B147" t="s">
        <v>8</v>
      </c>
      <c r="C147" t="s">
        <v>9</v>
      </c>
      <c r="D147" t="s">
        <v>10</v>
      </c>
      <c r="E147" t="s">
        <v>24</v>
      </c>
      <c r="F147">
        <v>11</v>
      </c>
      <c r="G147" t="s">
        <v>49</v>
      </c>
      <c r="H147">
        <v>52</v>
      </c>
      <c r="I147">
        <v>3969.39</v>
      </c>
      <c r="J147">
        <v>43663.29</v>
      </c>
    </row>
    <row r="148" spans="1:10" x14ac:dyDescent="0.35">
      <c r="A148" s="17">
        <v>45264</v>
      </c>
      <c r="B148" t="s">
        <v>12</v>
      </c>
      <c r="C148" t="s">
        <v>16</v>
      </c>
      <c r="D148" t="s">
        <v>19</v>
      </c>
      <c r="E148" t="s">
        <v>24</v>
      </c>
      <c r="F148">
        <v>7</v>
      </c>
      <c r="G148" t="s">
        <v>50</v>
      </c>
      <c r="H148">
        <v>37</v>
      </c>
      <c r="I148">
        <v>4720.63</v>
      </c>
      <c r="J148">
        <v>33044.410000000003</v>
      </c>
    </row>
    <row r="149" spans="1:10" x14ac:dyDescent="0.35">
      <c r="A149" s="17">
        <v>45214</v>
      </c>
      <c r="B149" t="s">
        <v>8</v>
      </c>
      <c r="C149" t="s">
        <v>28</v>
      </c>
      <c r="D149" t="s">
        <v>32</v>
      </c>
      <c r="E149" t="s">
        <v>15</v>
      </c>
      <c r="F149">
        <v>1</v>
      </c>
      <c r="G149" t="s">
        <v>51</v>
      </c>
      <c r="H149">
        <v>50</v>
      </c>
      <c r="I149">
        <v>3658.84</v>
      </c>
      <c r="J149">
        <v>3658.84</v>
      </c>
    </row>
    <row r="150" spans="1:10" x14ac:dyDescent="0.35">
      <c r="A150" s="17">
        <v>45083</v>
      </c>
      <c r="B150" t="s">
        <v>8</v>
      </c>
      <c r="C150" t="s">
        <v>9</v>
      </c>
      <c r="D150" t="s">
        <v>23</v>
      </c>
      <c r="E150" t="s">
        <v>15</v>
      </c>
      <c r="F150">
        <v>1</v>
      </c>
      <c r="G150" t="s">
        <v>52</v>
      </c>
      <c r="H150">
        <v>47</v>
      </c>
      <c r="I150">
        <v>4681.07</v>
      </c>
      <c r="J150">
        <v>4681.07</v>
      </c>
    </row>
    <row r="151" spans="1:10" x14ac:dyDescent="0.35">
      <c r="A151" s="17">
        <v>45246</v>
      </c>
      <c r="B151" t="s">
        <v>12</v>
      </c>
      <c r="C151" t="s">
        <v>16</v>
      </c>
      <c r="D151" t="s">
        <v>25</v>
      </c>
      <c r="E151" t="s">
        <v>11</v>
      </c>
      <c r="F151">
        <v>11</v>
      </c>
      <c r="G151" t="s">
        <v>53</v>
      </c>
      <c r="H151">
        <v>47</v>
      </c>
      <c r="I151">
        <v>4089.16</v>
      </c>
      <c r="J151">
        <v>44980.76</v>
      </c>
    </row>
    <row r="152" spans="1:10" x14ac:dyDescent="0.35">
      <c r="A152" s="17">
        <v>45275</v>
      </c>
      <c r="B152" t="s">
        <v>20</v>
      </c>
      <c r="C152" t="s">
        <v>21</v>
      </c>
      <c r="D152" t="s">
        <v>22</v>
      </c>
      <c r="E152" t="s">
        <v>24</v>
      </c>
      <c r="F152">
        <v>13</v>
      </c>
      <c r="G152" t="s">
        <v>54</v>
      </c>
      <c r="H152">
        <v>19</v>
      </c>
      <c r="I152">
        <v>3069.28</v>
      </c>
      <c r="J152">
        <v>39900.639999999999</v>
      </c>
    </row>
    <row r="153" spans="1:10" x14ac:dyDescent="0.35">
      <c r="A153" s="17">
        <v>44992</v>
      </c>
      <c r="B153" t="s">
        <v>12</v>
      </c>
      <c r="C153" t="s">
        <v>16</v>
      </c>
      <c r="D153" t="s">
        <v>19</v>
      </c>
      <c r="E153" t="s">
        <v>15</v>
      </c>
      <c r="F153">
        <v>4</v>
      </c>
      <c r="G153" t="s">
        <v>55</v>
      </c>
      <c r="H153">
        <v>27</v>
      </c>
      <c r="I153">
        <v>1385.95</v>
      </c>
      <c r="J153">
        <v>5543.8</v>
      </c>
    </row>
    <row r="154" spans="1:10" x14ac:dyDescent="0.35">
      <c r="A154" s="17">
        <v>45112</v>
      </c>
      <c r="B154" t="s">
        <v>12</v>
      </c>
      <c r="C154" t="s">
        <v>16</v>
      </c>
      <c r="D154" t="s">
        <v>25</v>
      </c>
      <c r="E154" t="s">
        <v>15</v>
      </c>
      <c r="F154">
        <v>14</v>
      </c>
      <c r="G154" t="s">
        <v>56</v>
      </c>
      <c r="H154">
        <v>29</v>
      </c>
      <c r="I154">
        <v>1770.36</v>
      </c>
      <c r="J154">
        <v>24785.040000000001</v>
      </c>
    </row>
    <row r="155" spans="1:10" x14ac:dyDescent="0.35">
      <c r="A155" s="17">
        <v>44979</v>
      </c>
      <c r="B155" t="s">
        <v>20</v>
      </c>
      <c r="C155" t="s">
        <v>21</v>
      </c>
      <c r="D155" t="s">
        <v>35</v>
      </c>
      <c r="E155" t="s">
        <v>27</v>
      </c>
      <c r="F155">
        <v>3</v>
      </c>
      <c r="G155" t="s">
        <v>57</v>
      </c>
      <c r="H155">
        <v>22</v>
      </c>
      <c r="I155">
        <v>4020.68</v>
      </c>
      <c r="J155">
        <v>12062.04</v>
      </c>
    </row>
    <row r="156" spans="1:10" x14ac:dyDescent="0.35">
      <c r="A156" s="17">
        <v>45004</v>
      </c>
      <c r="B156" t="s">
        <v>8</v>
      </c>
      <c r="C156" t="s">
        <v>9</v>
      </c>
      <c r="D156" t="s">
        <v>23</v>
      </c>
      <c r="E156" t="s">
        <v>27</v>
      </c>
      <c r="F156">
        <v>9</v>
      </c>
      <c r="G156" t="s">
        <v>58</v>
      </c>
      <c r="H156">
        <v>34</v>
      </c>
      <c r="I156">
        <v>4953.3999999999996</v>
      </c>
      <c r="J156">
        <v>44580.6</v>
      </c>
    </row>
    <row r="157" spans="1:10" x14ac:dyDescent="0.35">
      <c r="A157" s="17">
        <v>45239</v>
      </c>
      <c r="B157" t="s">
        <v>8</v>
      </c>
      <c r="C157" t="s">
        <v>28</v>
      </c>
      <c r="D157" t="s">
        <v>30</v>
      </c>
      <c r="E157" t="s">
        <v>27</v>
      </c>
      <c r="F157">
        <v>7</v>
      </c>
      <c r="G157" t="s">
        <v>59</v>
      </c>
      <c r="H157">
        <v>35</v>
      </c>
      <c r="I157">
        <v>1729.24</v>
      </c>
      <c r="J157">
        <v>12104.68</v>
      </c>
    </row>
    <row r="158" spans="1:10" x14ac:dyDescent="0.35">
      <c r="A158" s="17">
        <v>45255</v>
      </c>
      <c r="B158" t="s">
        <v>12</v>
      </c>
      <c r="C158" t="s">
        <v>13</v>
      </c>
      <c r="D158" t="s">
        <v>14</v>
      </c>
      <c r="E158" t="s">
        <v>18</v>
      </c>
      <c r="F158">
        <v>15</v>
      </c>
      <c r="G158" t="s">
        <v>48</v>
      </c>
      <c r="H158">
        <v>28</v>
      </c>
      <c r="I158">
        <v>534.41999999999996</v>
      </c>
      <c r="J158">
        <v>8016.3</v>
      </c>
    </row>
    <row r="159" spans="1:10" x14ac:dyDescent="0.35">
      <c r="A159" s="17">
        <v>45186</v>
      </c>
      <c r="B159" t="s">
        <v>20</v>
      </c>
      <c r="C159" t="s">
        <v>21</v>
      </c>
      <c r="D159" t="s">
        <v>35</v>
      </c>
      <c r="E159" t="s">
        <v>18</v>
      </c>
      <c r="F159">
        <v>12</v>
      </c>
      <c r="G159" t="s">
        <v>49</v>
      </c>
      <c r="H159">
        <v>26</v>
      </c>
      <c r="I159">
        <v>4378.41</v>
      </c>
      <c r="J159">
        <v>52540.92</v>
      </c>
    </row>
    <row r="160" spans="1:10" x14ac:dyDescent="0.35">
      <c r="A160" s="17">
        <v>44981</v>
      </c>
      <c r="B160" t="s">
        <v>12</v>
      </c>
      <c r="C160" t="s">
        <v>13</v>
      </c>
      <c r="D160" t="s">
        <v>33</v>
      </c>
      <c r="E160" t="s">
        <v>18</v>
      </c>
      <c r="F160">
        <v>16</v>
      </c>
      <c r="G160" t="s">
        <v>50</v>
      </c>
      <c r="H160">
        <v>30</v>
      </c>
      <c r="I160">
        <v>3931.95</v>
      </c>
      <c r="J160">
        <v>62911.199999999997</v>
      </c>
    </row>
    <row r="161" spans="1:10" x14ac:dyDescent="0.35">
      <c r="A161" s="17">
        <v>45286</v>
      </c>
      <c r="B161" t="s">
        <v>12</v>
      </c>
      <c r="C161" t="s">
        <v>16</v>
      </c>
      <c r="D161" t="s">
        <v>25</v>
      </c>
      <c r="E161" t="s">
        <v>15</v>
      </c>
      <c r="F161">
        <v>20</v>
      </c>
      <c r="G161" t="s">
        <v>51</v>
      </c>
      <c r="H161">
        <v>19</v>
      </c>
      <c r="I161">
        <v>3751.01</v>
      </c>
      <c r="J161">
        <v>75020.2</v>
      </c>
    </row>
    <row r="162" spans="1:10" x14ac:dyDescent="0.35">
      <c r="A162" s="17">
        <v>45008</v>
      </c>
      <c r="B162" t="s">
        <v>20</v>
      </c>
      <c r="C162" t="s">
        <v>21</v>
      </c>
      <c r="D162" t="s">
        <v>34</v>
      </c>
      <c r="E162" t="s">
        <v>15</v>
      </c>
      <c r="F162">
        <v>20</v>
      </c>
      <c r="G162" t="s">
        <v>52</v>
      </c>
      <c r="H162">
        <v>24</v>
      </c>
      <c r="I162">
        <v>2580.02</v>
      </c>
      <c r="J162">
        <v>51600.4</v>
      </c>
    </row>
    <row r="163" spans="1:10" x14ac:dyDescent="0.35">
      <c r="A163" s="17">
        <v>45223</v>
      </c>
      <c r="B163" t="s">
        <v>12</v>
      </c>
      <c r="C163" t="s">
        <v>13</v>
      </c>
      <c r="D163" t="s">
        <v>33</v>
      </c>
      <c r="E163" t="s">
        <v>15</v>
      </c>
      <c r="F163">
        <v>3</v>
      </c>
      <c r="G163" t="s">
        <v>53</v>
      </c>
      <c r="H163">
        <v>24</v>
      </c>
      <c r="I163">
        <v>468.7</v>
      </c>
      <c r="J163">
        <v>1406.1</v>
      </c>
    </row>
    <row r="164" spans="1:10" x14ac:dyDescent="0.35">
      <c r="A164" s="17">
        <v>45010</v>
      </c>
      <c r="B164" t="s">
        <v>20</v>
      </c>
      <c r="C164" t="s">
        <v>21</v>
      </c>
      <c r="D164" t="s">
        <v>35</v>
      </c>
      <c r="E164" t="s">
        <v>15</v>
      </c>
      <c r="F164">
        <v>6</v>
      </c>
      <c r="G164" t="s">
        <v>54</v>
      </c>
      <c r="H164">
        <v>26</v>
      </c>
      <c r="I164">
        <v>3125.31</v>
      </c>
      <c r="J164">
        <v>18751.86</v>
      </c>
    </row>
    <row r="165" spans="1:10" x14ac:dyDescent="0.35">
      <c r="A165" s="17">
        <v>45077</v>
      </c>
      <c r="B165" t="s">
        <v>8</v>
      </c>
      <c r="C165" t="s">
        <v>28</v>
      </c>
      <c r="D165" t="s">
        <v>30</v>
      </c>
      <c r="E165" t="s">
        <v>15</v>
      </c>
      <c r="F165">
        <v>19</v>
      </c>
      <c r="G165" t="s">
        <v>55</v>
      </c>
      <c r="H165">
        <v>55</v>
      </c>
      <c r="I165">
        <v>1641.98</v>
      </c>
      <c r="J165">
        <v>31197.62</v>
      </c>
    </row>
    <row r="166" spans="1:10" x14ac:dyDescent="0.35">
      <c r="A166" s="17">
        <v>45203</v>
      </c>
      <c r="B166" t="s">
        <v>12</v>
      </c>
      <c r="C166" t="s">
        <v>16</v>
      </c>
      <c r="D166" t="s">
        <v>25</v>
      </c>
      <c r="E166" t="s">
        <v>15</v>
      </c>
      <c r="F166">
        <v>17</v>
      </c>
      <c r="G166" t="s">
        <v>56</v>
      </c>
      <c r="H166">
        <v>25</v>
      </c>
      <c r="I166">
        <v>463.54</v>
      </c>
      <c r="J166">
        <v>7880.18</v>
      </c>
    </row>
    <row r="167" spans="1:10" x14ac:dyDescent="0.35">
      <c r="A167" s="17">
        <v>45180</v>
      </c>
      <c r="B167" t="s">
        <v>12</v>
      </c>
      <c r="C167" t="s">
        <v>13</v>
      </c>
      <c r="D167" t="s">
        <v>33</v>
      </c>
      <c r="E167" t="s">
        <v>15</v>
      </c>
      <c r="F167">
        <v>17</v>
      </c>
      <c r="G167" t="s">
        <v>57</v>
      </c>
      <c r="H167">
        <v>44</v>
      </c>
      <c r="I167">
        <v>4088.77</v>
      </c>
      <c r="J167">
        <v>69509.09</v>
      </c>
    </row>
    <row r="168" spans="1:10" x14ac:dyDescent="0.35">
      <c r="A168" s="17">
        <v>45202</v>
      </c>
      <c r="B168" t="s">
        <v>12</v>
      </c>
      <c r="C168" t="s">
        <v>13</v>
      </c>
      <c r="D168" t="s">
        <v>14</v>
      </c>
      <c r="E168" t="s">
        <v>27</v>
      </c>
      <c r="F168">
        <v>17</v>
      </c>
      <c r="G168" t="s">
        <v>58</v>
      </c>
      <c r="H168">
        <v>32</v>
      </c>
      <c r="I168">
        <v>1194.33</v>
      </c>
      <c r="J168">
        <v>20303.61</v>
      </c>
    </row>
    <row r="169" spans="1:10" x14ac:dyDescent="0.35">
      <c r="A169" s="17">
        <v>45283</v>
      </c>
      <c r="B169" t="s">
        <v>8</v>
      </c>
      <c r="C169" t="s">
        <v>28</v>
      </c>
      <c r="D169" t="s">
        <v>29</v>
      </c>
      <c r="E169" t="s">
        <v>27</v>
      </c>
      <c r="F169">
        <v>14</v>
      </c>
      <c r="G169" t="s">
        <v>59</v>
      </c>
      <c r="H169">
        <v>18</v>
      </c>
      <c r="I169">
        <v>1215.6199999999999</v>
      </c>
      <c r="J169">
        <v>17018.68</v>
      </c>
    </row>
    <row r="170" spans="1:10" x14ac:dyDescent="0.35">
      <c r="A170" s="17">
        <v>45062</v>
      </c>
      <c r="B170" t="s">
        <v>12</v>
      </c>
      <c r="C170" t="s">
        <v>16</v>
      </c>
      <c r="D170" t="s">
        <v>17</v>
      </c>
      <c r="E170" t="s">
        <v>11</v>
      </c>
      <c r="F170">
        <v>5</v>
      </c>
      <c r="G170" t="s">
        <v>48</v>
      </c>
      <c r="H170">
        <v>25</v>
      </c>
      <c r="I170">
        <v>4619.16</v>
      </c>
      <c r="J170">
        <v>23095.8</v>
      </c>
    </row>
    <row r="171" spans="1:10" x14ac:dyDescent="0.35">
      <c r="A171" s="17">
        <v>44965</v>
      </c>
      <c r="B171" t="s">
        <v>12</v>
      </c>
      <c r="C171" t="s">
        <v>13</v>
      </c>
      <c r="D171" t="s">
        <v>33</v>
      </c>
      <c r="E171" t="s">
        <v>11</v>
      </c>
      <c r="F171">
        <v>6</v>
      </c>
      <c r="G171" t="s">
        <v>49</v>
      </c>
      <c r="H171">
        <v>52</v>
      </c>
      <c r="I171">
        <v>3277.95</v>
      </c>
      <c r="J171">
        <v>19667.7</v>
      </c>
    </row>
    <row r="172" spans="1:10" x14ac:dyDescent="0.35">
      <c r="A172" s="17">
        <v>44929</v>
      </c>
      <c r="B172" t="s">
        <v>8</v>
      </c>
      <c r="C172" t="s">
        <v>28</v>
      </c>
      <c r="D172" t="s">
        <v>29</v>
      </c>
      <c r="E172" t="s">
        <v>24</v>
      </c>
      <c r="F172">
        <v>11</v>
      </c>
      <c r="G172" t="s">
        <v>50</v>
      </c>
      <c r="H172">
        <v>47</v>
      </c>
      <c r="I172">
        <v>4205.55</v>
      </c>
      <c r="J172">
        <v>46261.05</v>
      </c>
    </row>
    <row r="173" spans="1:10" x14ac:dyDescent="0.35">
      <c r="A173" s="17">
        <v>45209</v>
      </c>
      <c r="B173" t="s">
        <v>8</v>
      </c>
      <c r="C173" t="s">
        <v>9</v>
      </c>
      <c r="D173" t="s">
        <v>10</v>
      </c>
      <c r="E173" t="s">
        <v>18</v>
      </c>
      <c r="F173">
        <v>5</v>
      </c>
      <c r="G173" t="s">
        <v>51</v>
      </c>
      <c r="H173">
        <v>32</v>
      </c>
      <c r="I173">
        <v>800.88</v>
      </c>
      <c r="J173">
        <v>4004.4</v>
      </c>
    </row>
    <row r="174" spans="1:10" x14ac:dyDescent="0.35">
      <c r="A174" s="17">
        <v>45116</v>
      </c>
      <c r="B174" t="s">
        <v>12</v>
      </c>
      <c r="C174" t="s">
        <v>16</v>
      </c>
      <c r="D174" t="s">
        <v>17</v>
      </c>
      <c r="E174" t="s">
        <v>27</v>
      </c>
      <c r="F174">
        <v>4</v>
      </c>
      <c r="G174" t="s">
        <v>52</v>
      </c>
      <c r="H174">
        <v>49</v>
      </c>
      <c r="I174">
        <v>3022.72</v>
      </c>
      <c r="J174">
        <v>12090.88</v>
      </c>
    </row>
    <row r="175" spans="1:10" x14ac:dyDescent="0.35">
      <c r="A175" s="17">
        <v>45285</v>
      </c>
      <c r="B175" t="s">
        <v>8</v>
      </c>
      <c r="C175" t="s">
        <v>28</v>
      </c>
      <c r="D175" t="s">
        <v>30</v>
      </c>
      <c r="E175" t="s">
        <v>11</v>
      </c>
      <c r="F175">
        <v>2</v>
      </c>
      <c r="G175" t="s">
        <v>53</v>
      </c>
      <c r="H175">
        <v>46</v>
      </c>
      <c r="I175">
        <v>2171.79</v>
      </c>
      <c r="J175">
        <v>4343.58</v>
      </c>
    </row>
    <row r="176" spans="1:10" x14ac:dyDescent="0.35">
      <c r="A176" s="17">
        <v>45012</v>
      </c>
      <c r="B176" t="s">
        <v>20</v>
      </c>
      <c r="C176" t="s">
        <v>21</v>
      </c>
      <c r="D176" t="s">
        <v>22</v>
      </c>
      <c r="E176" t="s">
        <v>11</v>
      </c>
      <c r="F176">
        <v>9</v>
      </c>
      <c r="G176" t="s">
        <v>54</v>
      </c>
      <c r="H176">
        <v>41</v>
      </c>
      <c r="I176">
        <v>1667.06</v>
      </c>
      <c r="J176">
        <v>15003.54</v>
      </c>
    </row>
    <row r="177" spans="1:10" x14ac:dyDescent="0.35">
      <c r="A177" s="17">
        <v>45104</v>
      </c>
      <c r="B177" t="s">
        <v>8</v>
      </c>
      <c r="C177" t="s">
        <v>28</v>
      </c>
      <c r="D177" t="s">
        <v>30</v>
      </c>
      <c r="E177" t="s">
        <v>18</v>
      </c>
      <c r="F177">
        <v>6</v>
      </c>
      <c r="G177" t="s">
        <v>55</v>
      </c>
      <c r="H177">
        <v>32</v>
      </c>
      <c r="I177">
        <v>1985.97</v>
      </c>
      <c r="J177">
        <v>11915.82</v>
      </c>
    </row>
    <row r="178" spans="1:10" x14ac:dyDescent="0.35">
      <c r="A178" s="17">
        <v>44950</v>
      </c>
      <c r="B178" t="s">
        <v>8</v>
      </c>
      <c r="C178" t="s">
        <v>9</v>
      </c>
      <c r="D178" t="s">
        <v>23</v>
      </c>
      <c r="E178" t="s">
        <v>11</v>
      </c>
      <c r="F178">
        <v>15</v>
      </c>
      <c r="G178" t="s">
        <v>56</v>
      </c>
      <c r="H178">
        <v>17</v>
      </c>
      <c r="I178">
        <v>2706.66</v>
      </c>
      <c r="J178">
        <v>40599.9</v>
      </c>
    </row>
    <row r="179" spans="1:10" x14ac:dyDescent="0.35">
      <c r="A179" s="17">
        <v>45193</v>
      </c>
      <c r="B179" t="s">
        <v>12</v>
      </c>
      <c r="C179" t="s">
        <v>16</v>
      </c>
      <c r="D179" t="s">
        <v>25</v>
      </c>
      <c r="E179" t="s">
        <v>24</v>
      </c>
      <c r="F179">
        <v>16</v>
      </c>
      <c r="G179" t="s">
        <v>57</v>
      </c>
      <c r="H179">
        <v>25</v>
      </c>
      <c r="I179">
        <v>2793.48</v>
      </c>
      <c r="J179">
        <v>44695.68</v>
      </c>
    </row>
    <row r="180" spans="1:10" x14ac:dyDescent="0.35">
      <c r="A180" s="17">
        <v>45162</v>
      </c>
      <c r="B180" t="s">
        <v>8</v>
      </c>
      <c r="C180" t="s">
        <v>28</v>
      </c>
      <c r="D180" t="s">
        <v>30</v>
      </c>
      <c r="E180" t="s">
        <v>15</v>
      </c>
      <c r="F180">
        <v>16</v>
      </c>
      <c r="G180" t="s">
        <v>58</v>
      </c>
      <c r="H180">
        <v>44</v>
      </c>
      <c r="I180">
        <v>2666.78</v>
      </c>
      <c r="J180">
        <v>42668.480000000003</v>
      </c>
    </row>
    <row r="181" spans="1:10" x14ac:dyDescent="0.35">
      <c r="A181" s="17">
        <v>45245</v>
      </c>
      <c r="B181" t="s">
        <v>20</v>
      </c>
      <c r="C181" t="s">
        <v>21</v>
      </c>
      <c r="D181" t="s">
        <v>34</v>
      </c>
      <c r="E181" t="s">
        <v>18</v>
      </c>
      <c r="F181">
        <v>13</v>
      </c>
      <c r="G181" t="s">
        <v>59</v>
      </c>
      <c r="H181">
        <v>37</v>
      </c>
      <c r="I181">
        <v>864.09</v>
      </c>
      <c r="J181">
        <v>11233.17</v>
      </c>
    </row>
    <row r="182" spans="1:10" x14ac:dyDescent="0.35">
      <c r="A182" s="17">
        <v>44976</v>
      </c>
      <c r="B182" t="s">
        <v>8</v>
      </c>
      <c r="C182" t="s">
        <v>28</v>
      </c>
      <c r="D182" t="s">
        <v>32</v>
      </c>
      <c r="E182" t="s">
        <v>15</v>
      </c>
      <c r="F182">
        <v>19</v>
      </c>
      <c r="G182" t="s">
        <v>48</v>
      </c>
      <c r="H182">
        <v>18</v>
      </c>
      <c r="I182">
        <v>3649.75</v>
      </c>
      <c r="J182">
        <v>69345.25</v>
      </c>
    </row>
    <row r="183" spans="1:10" x14ac:dyDescent="0.35">
      <c r="A183" s="17">
        <v>45013</v>
      </c>
      <c r="B183" t="s">
        <v>8</v>
      </c>
      <c r="C183" t="s">
        <v>28</v>
      </c>
      <c r="D183" t="s">
        <v>30</v>
      </c>
      <c r="E183" t="s">
        <v>15</v>
      </c>
      <c r="F183">
        <v>10</v>
      </c>
      <c r="G183" t="s">
        <v>49</v>
      </c>
      <c r="H183">
        <v>39</v>
      </c>
      <c r="I183">
        <v>4718.03</v>
      </c>
      <c r="J183">
        <v>47180.3</v>
      </c>
    </row>
    <row r="184" spans="1:10" x14ac:dyDescent="0.35">
      <c r="A184" s="17">
        <v>45160</v>
      </c>
      <c r="B184" t="s">
        <v>8</v>
      </c>
      <c r="C184" t="s">
        <v>9</v>
      </c>
      <c r="D184" t="s">
        <v>23</v>
      </c>
      <c r="E184" t="s">
        <v>24</v>
      </c>
      <c r="F184">
        <v>5</v>
      </c>
      <c r="G184" t="s">
        <v>50</v>
      </c>
      <c r="H184">
        <v>24</v>
      </c>
      <c r="I184">
        <v>4386.2</v>
      </c>
      <c r="J184">
        <v>21931</v>
      </c>
    </row>
    <row r="185" spans="1:10" x14ac:dyDescent="0.35">
      <c r="A185" s="17">
        <v>45110</v>
      </c>
      <c r="B185" t="s">
        <v>12</v>
      </c>
      <c r="C185" t="s">
        <v>16</v>
      </c>
      <c r="D185" t="s">
        <v>19</v>
      </c>
      <c r="E185" t="s">
        <v>18</v>
      </c>
      <c r="F185">
        <v>3</v>
      </c>
      <c r="G185" t="s">
        <v>51</v>
      </c>
      <c r="H185">
        <v>31</v>
      </c>
      <c r="I185">
        <v>2966.4</v>
      </c>
      <c r="J185">
        <v>8899.2000000000007</v>
      </c>
    </row>
    <row r="186" spans="1:10" x14ac:dyDescent="0.35">
      <c r="A186" s="17">
        <v>45243</v>
      </c>
      <c r="B186" t="s">
        <v>8</v>
      </c>
      <c r="C186" t="s">
        <v>9</v>
      </c>
      <c r="D186" t="s">
        <v>10</v>
      </c>
      <c r="E186" t="s">
        <v>24</v>
      </c>
      <c r="F186">
        <v>12</v>
      </c>
      <c r="G186" t="s">
        <v>52</v>
      </c>
      <c r="H186">
        <v>32</v>
      </c>
      <c r="I186">
        <v>3074.45</v>
      </c>
      <c r="J186">
        <v>36893.4</v>
      </c>
    </row>
    <row r="187" spans="1:10" x14ac:dyDescent="0.35">
      <c r="A187" s="17">
        <v>45118</v>
      </c>
      <c r="B187" t="s">
        <v>12</v>
      </c>
      <c r="C187" t="s">
        <v>16</v>
      </c>
      <c r="D187" t="s">
        <v>25</v>
      </c>
      <c r="E187" t="s">
        <v>18</v>
      </c>
      <c r="F187">
        <v>10</v>
      </c>
      <c r="G187" t="s">
        <v>53</v>
      </c>
      <c r="H187">
        <v>43</v>
      </c>
      <c r="I187">
        <v>3122.59</v>
      </c>
      <c r="J187">
        <v>31225.9</v>
      </c>
    </row>
    <row r="188" spans="1:10" x14ac:dyDescent="0.35">
      <c r="A188" s="17">
        <v>45264</v>
      </c>
      <c r="B188" t="s">
        <v>12</v>
      </c>
      <c r="C188" t="s">
        <v>13</v>
      </c>
      <c r="D188" t="s">
        <v>14</v>
      </c>
      <c r="E188" t="s">
        <v>11</v>
      </c>
      <c r="F188">
        <v>10</v>
      </c>
      <c r="G188" t="s">
        <v>54</v>
      </c>
      <c r="H188">
        <v>33</v>
      </c>
      <c r="I188">
        <v>3964.05</v>
      </c>
      <c r="J188">
        <v>39640.5</v>
      </c>
    </row>
    <row r="189" spans="1:10" x14ac:dyDescent="0.35">
      <c r="A189" s="17">
        <v>44942</v>
      </c>
      <c r="B189" t="s">
        <v>8</v>
      </c>
      <c r="C189" t="s">
        <v>28</v>
      </c>
      <c r="D189" t="s">
        <v>32</v>
      </c>
      <c r="E189" t="s">
        <v>27</v>
      </c>
      <c r="F189">
        <v>18</v>
      </c>
      <c r="G189" t="s">
        <v>55</v>
      </c>
      <c r="H189">
        <v>49</v>
      </c>
      <c r="I189">
        <v>3561.06</v>
      </c>
      <c r="J189">
        <v>64099.08</v>
      </c>
    </row>
    <row r="190" spans="1:10" x14ac:dyDescent="0.35">
      <c r="A190" s="17">
        <v>45270</v>
      </c>
      <c r="B190" t="s">
        <v>8</v>
      </c>
      <c r="C190" t="s">
        <v>28</v>
      </c>
      <c r="D190" t="s">
        <v>32</v>
      </c>
      <c r="E190" t="s">
        <v>27</v>
      </c>
      <c r="F190">
        <v>4</v>
      </c>
      <c r="G190" t="s">
        <v>56</v>
      </c>
      <c r="H190">
        <v>48</v>
      </c>
      <c r="I190">
        <v>1208.21</v>
      </c>
      <c r="J190">
        <v>4832.84</v>
      </c>
    </row>
    <row r="191" spans="1:10" x14ac:dyDescent="0.35">
      <c r="A191" s="17">
        <v>45252</v>
      </c>
      <c r="B191" t="s">
        <v>20</v>
      </c>
      <c r="C191" t="s">
        <v>21</v>
      </c>
      <c r="D191" t="s">
        <v>22</v>
      </c>
      <c r="E191" t="s">
        <v>11</v>
      </c>
      <c r="F191">
        <v>9</v>
      </c>
      <c r="G191" t="s">
        <v>57</v>
      </c>
      <c r="H191">
        <v>26</v>
      </c>
      <c r="I191">
        <v>3552.02</v>
      </c>
      <c r="J191">
        <v>31968.18</v>
      </c>
    </row>
    <row r="192" spans="1:10" x14ac:dyDescent="0.35">
      <c r="A192" s="17">
        <v>45286</v>
      </c>
      <c r="B192" t="s">
        <v>8</v>
      </c>
      <c r="C192" t="s">
        <v>28</v>
      </c>
      <c r="D192" t="s">
        <v>30</v>
      </c>
      <c r="E192" t="s">
        <v>15</v>
      </c>
      <c r="F192">
        <v>14</v>
      </c>
      <c r="G192" t="s">
        <v>58</v>
      </c>
      <c r="H192">
        <v>49</v>
      </c>
      <c r="I192">
        <v>2260.17</v>
      </c>
      <c r="J192">
        <v>31642.38</v>
      </c>
    </row>
    <row r="193" spans="1:10" x14ac:dyDescent="0.35">
      <c r="A193" s="17">
        <v>45286</v>
      </c>
      <c r="B193" t="s">
        <v>12</v>
      </c>
      <c r="C193" t="s">
        <v>16</v>
      </c>
      <c r="D193" t="s">
        <v>25</v>
      </c>
      <c r="E193" t="s">
        <v>24</v>
      </c>
      <c r="F193">
        <v>7</v>
      </c>
      <c r="G193" t="s">
        <v>59</v>
      </c>
      <c r="H193">
        <v>37</v>
      </c>
      <c r="I193">
        <v>2557.77</v>
      </c>
      <c r="J193">
        <v>17904.39</v>
      </c>
    </row>
    <row r="194" spans="1:10" x14ac:dyDescent="0.35">
      <c r="A194" s="17">
        <v>45243</v>
      </c>
      <c r="B194" t="s">
        <v>12</v>
      </c>
      <c r="C194" t="s">
        <v>13</v>
      </c>
      <c r="D194" t="s">
        <v>14</v>
      </c>
      <c r="E194" t="s">
        <v>11</v>
      </c>
      <c r="F194">
        <v>2</v>
      </c>
      <c r="G194" t="s">
        <v>48</v>
      </c>
      <c r="H194">
        <v>20</v>
      </c>
      <c r="I194">
        <v>2914.14</v>
      </c>
      <c r="J194">
        <v>5828.28</v>
      </c>
    </row>
    <row r="195" spans="1:10" x14ac:dyDescent="0.35">
      <c r="A195" s="17">
        <v>45269</v>
      </c>
      <c r="B195" t="s">
        <v>20</v>
      </c>
      <c r="C195" t="s">
        <v>21</v>
      </c>
      <c r="D195" t="s">
        <v>35</v>
      </c>
      <c r="E195" t="s">
        <v>11</v>
      </c>
      <c r="F195">
        <v>12</v>
      </c>
      <c r="G195" t="s">
        <v>49</v>
      </c>
      <c r="H195">
        <v>28</v>
      </c>
      <c r="I195">
        <v>2726.43</v>
      </c>
      <c r="J195">
        <v>32717.16</v>
      </c>
    </row>
    <row r="196" spans="1:10" x14ac:dyDescent="0.35">
      <c r="A196" s="17">
        <v>45261</v>
      </c>
      <c r="B196" t="s">
        <v>12</v>
      </c>
      <c r="C196" t="s">
        <v>13</v>
      </c>
      <c r="D196" t="s">
        <v>33</v>
      </c>
      <c r="E196" t="s">
        <v>15</v>
      </c>
      <c r="F196">
        <v>10</v>
      </c>
      <c r="G196" t="s">
        <v>50</v>
      </c>
      <c r="H196">
        <v>44</v>
      </c>
      <c r="I196">
        <v>3950.06</v>
      </c>
      <c r="J196">
        <v>39500.6</v>
      </c>
    </row>
    <row r="197" spans="1:10" x14ac:dyDescent="0.35">
      <c r="A197" s="17">
        <v>45110</v>
      </c>
      <c r="B197" t="s">
        <v>12</v>
      </c>
      <c r="C197" t="s">
        <v>16</v>
      </c>
      <c r="D197" t="s">
        <v>19</v>
      </c>
      <c r="E197" t="s">
        <v>15</v>
      </c>
      <c r="F197">
        <v>3</v>
      </c>
      <c r="G197" t="s">
        <v>51</v>
      </c>
      <c r="H197">
        <v>32</v>
      </c>
      <c r="I197">
        <v>4999.6899999999996</v>
      </c>
      <c r="J197">
        <v>14999.07</v>
      </c>
    </row>
    <row r="198" spans="1:10" x14ac:dyDescent="0.35">
      <c r="A198" s="17">
        <v>45209</v>
      </c>
      <c r="B198" t="s">
        <v>8</v>
      </c>
      <c r="C198" t="s">
        <v>9</v>
      </c>
      <c r="D198" t="s">
        <v>10</v>
      </c>
      <c r="E198" t="s">
        <v>11</v>
      </c>
      <c r="F198">
        <v>15</v>
      </c>
      <c r="G198" t="s">
        <v>52</v>
      </c>
      <c r="H198">
        <v>25</v>
      </c>
      <c r="I198">
        <v>4657.82</v>
      </c>
      <c r="J198">
        <v>69867.3</v>
      </c>
    </row>
    <row r="199" spans="1:10" x14ac:dyDescent="0.35">
      <c r="A199" s="17">
        <v>45108</v>
      </c>
      <c r="B199" t="s">
        <v>12</v>
      </c>
      <c r="C199" t="s">
        <v>16</v>
      </c>
      <c r="D199" t="s">
        <v>25</v>
      </c>
      <c r="E199" t="s">
        <v>24</v>
      </c>
      <c r="F199">
        <v>2</v>
      </c>
      <c r="G199" t="s">
        <v>53</v>
      </c>
      <c r="H199">
        <v>34</v>
      </c>
      <c r="I199">
        <v>4997.2299999999996</v>
      </c>
      <c r="J199">
        <v>9994.4599999999991</v>
      </c>
    </row>
    <row r="200" spans="1:10" x14ac:dyDescent="0.35">
      <c r="A200" s="17">
        <v>45128</v>
      </c>
      <c r="B200" t="s">
        <v>12</v>
      </c>
      <c r="C200" t="s">
        <v>16</v>
      </c>
      <c r="D200" t="s">
        <v>25</v>
      </c>
      <c r="E200" t="s">
        <v>15</v>
      </c>
      <c r="F200">
        <v>15</v>
      </c>
      <c r="G200" t="s">
        <v>54</v>
      </c>
      <c r="H200">
        <v>30</v>
      </c>
      <c r="I200">
        <v>4579.29</v>
      </c>
      <c r="J200">
        <v>68689.350000000006</v>
      </c>
    </row>
    <row r="201" spans="1:10" x14ac:dyDescent="0.35">
      <c r="A201" s="17">
        <v>45245</v>
      </c>
      <c r="B201" t="s">
        <v>8</v>
      </c>
      <c r="C201" t="s">
        <v>28</v>
      </c>
      <c r="D201" t="s">
        <v>32</v>
      </c>
      <c r="E201" t="s">
        <v>27</v>
      </c>
      <c r="F201">
        <v>5</v>
      </c>
      <c r="G201" t="s">
        <v>55</v>
      </c>
      <c r="H201">
        <v>55</v>
      </c>
      <c r="I201">
        <v>3619.58</v>
      </c>
      <c r="J201">
        <v>18097.900000000001</v>
      </c>
    </row>
    <row r="202" spans="1:10" x14ac:dyDescent="0.35">
      <c r="A202" s="17">
        <v>45279</v>
      </c>
      <c r="B202" t="s">
        <v>12</v>
      </c>
      <c r="C202" t="s">
        <v>16</v>
      </c>
      <c r="D202" t="s">
        <v>19</v>
      </c>
      <c r="E202" t="s">
        <v>18</v>
      </c>
      <c r="F202">
        <v>11</v>
      </c>
      <c r="G202" t="s">
        <v>56</v>
      </c>
      <c r="H202">
        <v>28</v>
      </c>
      <c r="I202">
        <v>1389.59</v>
      </c>
      <c r="J202">
        <v>15285.49</v>
      </c>
    </row>
    <row r="203" spans="1:10" x14ac:dyDescent="0.35">
      <c r="A203" s="17">
        <v>45284</v>
      </c>
      <c r="B203" t="s">
        <v>12</v>
      </c>
      <c r="C203" t="s">
        <v>16</v>
      </c>
      <c r="D203" t="s">
        <v>25</v>
      </c>
      <c r="E203" t="s">
        <v>24</v>
      </c>
      <c r="F203">
        <v>9</v>
      </c>
      <c r="G203" t="s">
        <v>57</v>
      </c>
      <c r="H203">
        <v>47</v>
      </c>
      <c r="I203">
        <v>1302.45</v>
      </c>
      <c r="J203">
        <v>11722.05</v>
      </c>
    </row>
    <row r="204" spans="1:10" x14ac:dyDescent="0.35">
      <c r="A204" s="17">
        <v>45193</v>
      </c>
      <c r="B204" t="s">
        <v>8</v>
      </c>
      <c r="C204" t="s">
        <v>28</v>
      </c>
      <c r="D204" t="s">
        <v>32</v>
      </c>
      <c r="E204" t="s">
        <v>11</v>
      </c>
      <c r="F204">
        <v>10</v>
      </c>
      <c r="G204" t="s">
        <v>58</v>
      </c>
      <c r="H204">
        <v>24</v>
      </c>
      <c r="I204">
        <v>743.68</v>
      </c>
      <c r="J204">
        <v>7436.8</v>
      </c>
    </row>
    <row r="205" spans="1:10" x14ac:dyDescent="0.35">
      <c r="A205" s="17">
        <v>45213</v>
      </c>
      <c r="B205" t="s">
        <v>12</v>
      </c>
      <c r="C205" t="s">
        <v>16</v>
      </c>
      <c r="D205" t="s">
        <v>17</v>
      </c>
      <c r="E205" t="s">
        <v>18</v>
      </c>
      <c r="F205">
        <v>5</v>
      </c>
      <c r="G205" t="s">
        <v>59</v>
      </c>
      <c r="H205">
        <v>38</v>
      </c>
      <c r="I205">
        <v>1445.72</v>
      </c>
      <c r="J205">
        <v>7228.6</v>
      </c>
    </row>
    <row r="206" spans="1:10" x14ac:dyDescent="0.35">
      <c r="A206" s="17">
        <v>45112</v>
      </c>
      <c r="B206" t="s">
        <v>20</v>
      </c>
      <c r="C206" t="s">
        <v>21</v>
      </c>
      <c r="D206" t="s">
        <v>22</v>
      </c>
      <c r="E206" t="s">
        <v>27</v>
      </c>
      <c r="F206">
        <v>10</v>
      </c>
      <c r="G206" t="s">
        <v>48</v>
      </c>
      <c r="H206">
        <v>19</v>
      </c>
      <c r="I206">
        <v>3411.13</v>
      </c>
      <c r="J206">
        <v>34111.300000000003</v>
      </c>
    </row>
    <row r="207" spans="1:10" x14ac:dyDescent="0.35">
      <c r="A207" s="17">
        <v>44999</v>
      </c>
      <c r="B207" t="s">
        <v>20</v>
      </c>
      <c r="C207" t="s">
        <v>21</v>
      </c>
      <c r="D207" t="s">
        <v>22</v>
      </c>
      <c r="E207" t="s">
        <v>11</v>
      </c>
      <c r="F207">
        <v>20</v>
      </c>
      <c r="G207" t="s">
        <v>49</v>
      </c>
      <c r="H207">
        <v>40</v>
      </c>
      <c r="I207">
        <v>3069.92</v>
      </c>
      <c r="J207">
        <v>61398.400000000001</v>
      </c>
    </row>
    <row r="208" spans="1:10" x14ac:dyDescent="0.35">
      <c r="A208" s="17">
        <v>44993</v>
      </c>
      <c r="B208" t="s">
        <v>20</v>
      </c>
      <c r="C208" t="s">
        <v>21</v>
      </c>
      <c r="D208" t="s">
        <v>34</v>
      </c>
      <c r="E208" t="s">
        <v>27</v>
      </c>
      <c r="F208">
        <v>11</v>
      </c>
      <c r="G208" t="s">
        <v>50</v>
      </c>
      <c r="H208">
        <v>49</v>
      </c>
      <c r="I208">
        <v>377.1</v>
      </c>
      <c r="J208">
        <v>4148.1000000000004</v>
      </c>
    </row>
    <row r="209" spans="1:10" x14ac:dyDescent="0.35">
      <c r="A209" s="17">
        <v>45080</v>
      </c>
      <c r="B209" t="s">
        <v>12</v>
      </c>
      <c r="C209" t="s">
        <v>13</v>
      </c>
      <c r="D209" t="s">
        <v>33</v>
      </c>
      <c r="E209" t="s">
        <v>15</v>
      </c>
      <c r="F209">
        <v>9</v>
      </c>
      <c r="G209" t="s">
        <v>51</v>
      </c>
      <c r="H209">
        <v>31</v>
      </c>
      <c r="I209">
        <v>203.38</v>
      </c>
      <c r="J209">
        <v>1830.42</v>
      </c>
    </row>
    <row r="210" spans="1:10" x14ac:dyDescent="0.35">
      <c r="A210" s="17">
        <v>45021</v>
      </c>
      <c r="B210" t="s">
        <v>12</v>
      </c>
      <c r="C210" t="s">
        <v>13</v>
      </c>
      <c r="D210" t="s">
        <v>26</v>
      </c>
      <c r="E210" t="s">
        <v>18</v>
      </c>
      <c r="F210">
        <v>6</v>
      </c>
      <c r="G210" t="s">
        <v>52</v>
      </c>
      <c r="H210">
        <v>32</v>
      </c>
      <c r="I210">
        <v>3457.43</v>
      </c>
      <c r="J210">
        <v>20744.580000000002</v>
      </c>
    </row>
    <row r="211" spans="1:10" x14ac:dyDescent="0.35">
      <c r="A211" s="17">
        <v>45154</v>
      </c>
      <c r="B211" t="s">
        <v>8</v>
      </c>
      <c r="C211" t="s">
        <v>9</v>
      </c>
      <c r="D211" t="s">
        <v>23</v>
      </c>
      <c r="E211" t="s">
        <v>24</v>
      </c>
      <c r="F211">
        <v>11</v>
      </c>
      <c r="G211" t="s">
        <v>53</v>
      </c>
      <c r="H211">
        <v>23</v>
      </c>
      <c r="I211">
        <v>3646.35</v>
      </c>
      <c r="J211">
        <v>40109.85</v>
      </c>
    </row>
    <row r="212" spans="1:10" x14ac:dyDescent="0.35">
      <c r="A212" s="17">
        <v>44997</v>
      </c>
      <c r="B212" t="s">
        <v>12</v>
      </c>
      <c r="C212" t="s">
        <v>13</v>
      </c>
      <c r="D212" t="s">
        <v>26</v>
      </c>
      <c r="E212" t="s">
        <v>11</v>
      </c>
      <c r="F212">
        <v>6</v>
      </c>
      <c r="G212" t="s">
        <v>54</v>
      </c>
      <c r="H212">
        <v>25</v>
      </c>
      <c r="I212">
        <v>827.78</v>
      </c>
      <c r="J212">
        <v>4966.68</v>
      </c>
    </row>
    <row r="213" spans="1:10" x14ac:dyDescent="0.35">
      <c r="A213" s="17">
        <v>44985</v>
      </c>
      <c r="B213" t="s">
        <v>12</v>
      </c>
      <c r="C213" t="s">
        <v>13</v>
      </c>
      <c r="D213" t="s">
        <v>26</v>
      </c>
      <c r="E213" t="s">
        <v>11</v>
      </c>
      <c r="F213">
        <v>18</v>
      </c>
      <c r="G213" t="s">
        <v>55</v>
      </c>
      <c r="H213">
        <v>39</v>
      </c>
      <c r="I213">
        <v>3102.47</v>
      </c>
      <c r="J213">
        <v>55844.46</v>
      </c>
    </row>
    <row r="214" spans="1:10" x14ac:dyDescent="0.35">
      <c r="A214" s="17">
        <v>44975</v>
      </c>
      <c r="B214" t="s">
        <v>8</v>
      </c>
      <c r="C214" t="s">
        <v>28</v>
      </c>
      <c r="D214" t="s">
        <v>29</v>
      </c>
      <c r="E214" t="s">
        <v>11</v>
      </c>
      <c r="F214">
        <v>9</v>
      </c>
      <c r="G214" t="s">
        <v>56</v>
      </c>
      <c r="H214">
        <v>35</v>
      </c>
      <c r="I214">
        <v>2677.7</v>
      </c>
      <c r="J214">
        <v>24099.3</v>
      </c>
    </row>
    <row r="215" spans="1:10" x14ac:dyDescent="0.35">
      <c r="A215" s="17">
        <v>45037</v>
      </c>
      <c r="B215" t="s">
        <v>12</v>
      </c>
      <c r="C215" t="s">
        <v>13</v>
      </c>
      <c r="D215" t="s">
        <v>26</v>
      </c>
      <c r="E215" t="s">
        <v>11</v>
      </c>
      <c r="F215">
        <v>17</v>
      </c>
      <c r="G215" t="s">
        <v>57</v>
      </c>
      <c r="H215">
        <v>49</v>
      </c>
      <c r="I215">
        <v>1071.3</v>
      </c>
      <c r="J215">
        <v>18212.099999999999</v>
      </c>
    </row>
    <row r="216" spans="1:10" x14ac:dyDescent="0.35">
      <c r="A216" s="17">
        <v>45113</v>
      </c>
      <c r="B216" t="s">
        <v>12</v>
      </c>
      <c r="C216" t="s">
        <v>16</v>
      </c>
      <c r="D216" t="s">
        <v>25</v>
      </c>
      <c r="E216" t="s">
        <v>18</v>
      </c>
      <c r="F216">
        <v>9</v>
      </c>
      <c r="G216" t="s">
        <v>58</v>
      </c>
      <c r="H216">
        <v>29</v>
      </c>
      <c r="I216">
        <v>3395.02</v>
      </c>
      <c r="J216">
        <v>30555.18</v>
      </c>
    </row>
    <row r="217" spans="1:10" x14ac:dyDescent="0.35">
      <c r="A217" s="17">
        <v>45161</v>
      </c>
      <c r="B217" t="s">
        <v>12</v>
      </c>
      <c r="C217" t="s">
        <v>16</v>
      </c>
      <c r="D217" t="s">
        <v>25</v>
      </c>
      <c r="E217" t="s">
        <v>18</v>
      </c>
      <c r="F217">
        <v>12</v>
      </c>
      <c r="G217" t="s">
        <v>59</v>
      </c>
      <c r="H217">
        <v>16</v>
      </c>
      <c r="I217">
        <v>3932.48</v>
      </c>
      <c r="J217">
        <v>47189.760000000002</v>
      </c>
    </row>
    <row r="218" spans="1:10" x14ac:dyDescent="0.35">
      <c r="A218" s="17">
        <v>45158</v>
      </c>
      <c r="B218" t="s">
        <v>8</v>
      </c>
      <c r="C218" t="s">
        <v>9</v>
      </c>
      <c r="D218" t="s">
        <v>23</v>
      </c>
      <c r="E218" t="s">
        <v>11</v>
      </c>
      <c r="F218">
        <v>2</v>
      </c>
      <c r="G218" t="s">
        <v>48</v>
      </c>
      <c r="H218">
        <v>54</v>
      </c>
      <c r="I218">
        <v>3385.43</v>
      </c>
      <c r="J218">
        <v>6770.86</v>
      </c>
    </row>
    <row r="219" spans="1:10" x14ac:dyDescent="0.35">
      <c r="A219" s="17">
        <v>44941</v>
      </c>
      <c r="B219" t="s">
        <v>12</v>
      </c>
      <c r="C219" t="s">
        <v>13</v>
      </c>
      <c r="D219" t="s">
        <v>26</v>
      </c>
      <c r="E219" t="s">
        <v>15</v>
      </c>
      <c r="F219">
        <v>7</v>
      </c>
      <c r="G219" t="s">
        <v>49</v>
      </c>
      <c r="H219">
        <v>16</v>
      </c>
      <c r="I219">
        <v>3070.09</v>
      </c>
      <c r="J219">
        <v>21490.63</v>
      </c>
    </row>
    <row r="220" spans="1:10" x14ac:dyDescent="0.35">
      <c r="A220" s="17">
        <v>44929</v>
      </c>
      <c r="B220" t="s">
        <v>8</v>
      </c>
      <c r="C220" t="s">
        <v>28</v>
      </c>
      <c r="D220" t="s">
        <v>32</v>
      </c>
      <c r="E220" t="s">
        <v>15</v>
      </c>
      <c r="F220">
        <v>12</v>
      </c>
      <c r="G220" t="s">
        <v>50</v>
      </c>
      <c r="H220">
        <v>55</v>
      </c>
      <c r="I220">
        <v>1169.8399999999999</v>
      </c>
      <c r="J220">
        <v>14038.08</v>
      </c>
    </row>
    <row r="221" spans="1:10" x14ac:dyDescent="0.35">
      <c r="A221" s="17">
        <v>45134</v>
      </c>
      <c r="B221" t="s">
        <v>8</v>
      </c>
      <c r="C221" t="s">
        <v>9</v>
      </c>
      <c r="D221" t="s">
        <v>23</v>
      </c>
      <c r="E221" t="s">
        <v>27</v>
      </c>
      <c r="F221">
        <v>12</v>
      </c>
      <c r="G221" t="s">
        <v>51</v>
      </c>
      <c r="H221">
        <v>23</v>
      </c>
      <c r="I221">
        <v>1333.81</v>
      </c>
      <c r="J221">
        <v>16005.72</v>
      </c>
    </row>
    <row r="222" spans="1:10" x14ac:dyDescent="0.35">
      <c r="A222" s="17">
        <v>44966</v>
      </c>
      <c r="B222" t="s">
        <v>12</v>
      </c>
      <c r="C222" t="s">
        <v>16</v>
      </c>
      <c r="D222" t="s">
        <v>19</v>
      </c>
      <c r="E222" t="s">
        <v>18</v>
      </c>
      <c r="F222">
        <v>1</v>
      </c>
      <c r="G222" t="s">
        <v>52</v>
      </c>
      <c r="H222">
        <v>43</v>
      </c>
      <c r="I222">
        <v>3964.37</v>
      </c>
      <c r="J222">
        <v>3964.37</v>
      </c>
    </row>
    <row r="223" spans="1:10" x14ac:dyDescent="0.35">
      <c r="A223" s="17">
        <v>45104</v>
      </c>
      <c r="B223" t="s">
        <v>12</v>
      </c>
      <c r="C223" t="s">
        <v>13</v>
      </c>
      <c r="D223" t="s">
        <v>26</v>
      </c>
      <c r="E223" t="s">
        <v>27</v>
      </c>
      <c r="F223">
        <v>8</v>
      </c>
      <c r="G223" t="s">
        <v>53</v>
      </c>
      <c r="H223">
        <v>25</v>
      </c>
      <c r="I223">
        <v>720.07</v>
      </c>
      <c r="J223">
        <v>5760.56</v>
      </c>
    </row>
    <row r="224" spans="1:10" x14ac:dyDescent="0.35">
      <c r="A224" s="17">
        <v>45177</v>
      </c>
      <c r="B224" t="s">
        <v>20</v>
      </c>
      <c r="C224" t="s">
        <v>21</v>
      </c>
      <c r="D224" t="s">
        <v>22</v>
      </c>
      <c r="E224" t="s">
        <v>24</v>
      </c>
      <c r="F224">
        <v>17</v>
      </c>
      <c r="G224" t="s">
        <v>54</v>
      </c>
      <c r="H224">
        <v>49</v>
      </c>
      <c r="I224">
        <v>4033.84</v>
      </c>
      <c r="J224">
        <v>68575.28</v>
      </c>
    </row>
    <row r="225" spans="1:10" x14ac:dyDescent="0.35">
      <c r="A225" s="17">
        <v>44935</v>
      </c>
      <c r="B225" t="s">
        <v>20</v>
      </c>
      <c r="C225" t="s">
        <v>21</v>
      </c>
      <c r="D225" t="s">
        <v>22</v>
      </c>
      <c r="E225" t="s">
        <v>27</v>
      </c>
      <c r="F225">
        <v>16</v>
      </c>
      <c r="G225" t="s">
        <v>55</v>
      </c>
      <c r="H225">
        <v>29</v>
      </c>
      <c r="I225">
        <v>3625.28</v>
      </c>
      <c r="J225">
        <v>58004.480000000003</v>
      </c>
    </row>
    <row r="226" spans="1:10" x14ac:dyDescent="0.35">
      <c r="A226" s="17">
        <v>45118</v>
      </c>
      <c r="B226" t="s">
        <v>12</v>
      </c>
      <c r="C226" t="s">
        <v>13</v>
      </c>
      <c r="D226" t="s">
        <v>14</v>
      </c>
      <c r="E226" t="s">
        <v>27</v>
      </c>
      <c r="F226">
        <v>9</v>
      </c>
      <c r="G226" t="s">
        <v>56</v>
      </c>
      <c r="H226">
        <v>21</v>
      </c>
      <c r="I226">
        <v>773.71</v>
      </c>
      <c r="J226">
        <v>6963.39</v>
      </c>
    </row>
    <row r="227" spans="1:10" x14ac:dyDescent="0.35">
      <c r="A227" s="17">
        <v>45055</v>
      </c>
      <c r="B227" t="s">
        <v>12</v>
      </c>
      <c r="C227" t="s">
        <v>13</v>
      </c>
      <c r="D227" t="s">
        <v>26</v>
      </c>
      <c r="E227" t="s">
        <v>27</v>
      </c>
      <c r="F227">
        <v>18</v>
      </c>
      <c r="G227" t="s">
        <v>57</v>
      </c>
      <c r="H227">
        <v>27</v>
      </c>
      <c r="I227">
        <v>696.83</v>
      </c>
      <c r="J227">
        <v>12542.94</v>
      </c>
    </row>
    <row r="228" spans="1:10" x14ac:dyDescent="0.35">
      <c r="A228" s="17">
        <v>45031</v>
      </c>
      <c r="B228" t="s">
        <v>12</v>
      </c>
      <c r="C228" t="s">
        <v>16</v>
      </c>
      <c r="D228" t="s">
        <v>19</v>
      </c>
      <c r="E228" t="s">
        <v>24</v>
      </c>
      <c r="F228">
        <v>13</v>
      </c>
      <c r="G228" t="s">
        <v>58</v>
      </c>
      <c r="H228">
        <v>39</v>
      </c>
      <c r="I228">
        <v>1466.66</v>
      </c>
      <c r="J228">
        <v>19066.580000000002</v>
      </c>
    </row>
    <row r="229" spans="1:10" x14ac:dyDescent="0.35">
      <c r="A229" s="17">
        <v>45146</v>
      </c>
      <c r="B229" t="s">
        <v>8</v>
      </c>
      <c r="C229" t="s">
        <v>28</v>
      </c>
      <c r="D229" t="s">
        <v>30</v>
      </c>
      <c r="E229" t="s">
        <v>18</v>
      </c>
      <c r="F229">
        <v>8</v>
      </c>
      <c r="G229" t="s">
        <v>59</v>
      </c>
      <c r="H229">
        <v>46</v>
      </c>
      <c r="I229">
        <v>1927.88</v>
      </c>
      <c r="J229">
        <v>15423.04</v>
      </c>
    </row>
    <row r="230" spans="1:10" x14ac:dyDescent="0.35">
      <c r="A230" s="17">
        <v>45187</v>
      </c>
      <c r="B230" t="s">
        <v>12</v>
      </c>
      <c r="C230" t="s">
        <v>16</v>
      </c>
      <c r="D230" t="s">
        <v>19</v>
      </c>
      <c r="E230" t="s">
        <v>18</v>
      </c>
      <c r="F230">
        <v>12</v>
      </c>
      <c r="G230" t="s">
        <v>48</v>
      </c>
      <c r="H230">
        <v>27</v>
      </c>
      <c r="I230">
        <v>1947.14</v>
      </c>
      <c r="J230">
        <v>23365.68</v>
      </c>
    </row>
    <row r="231" spans="1:10" x14ac:dyDescent="0.35">
      <c r="A231" s="17">
        <v>45029</v>
      </c>
      <c r="B231" t="s">
        <v>12</v>
      </c>
      <c r="C231" t="s">
        <v>16</v>
      </c>
      <c r="D231" t="s">
        <v>25</v>
      </c>
      <c r="E231" t="s">
        <v>24</v>
      </c>
      <c r="F231">
        <v>1</v>
      </c>
      <c r="G231" t="s">
        <v>49</v>
      </c>
      <c r="H231">
        <v>31</v>
      </c>
      <c r="I231">
        <v>632.39</v>
      </c>
      <c r="J231">
        <v>632.39</v>
      </c>
    </row>
    <row r="232" spans="1:10" x14ac:dyDescent="0.35">
      <c r="A232" s="17">
        <v>45059</v>
      </c>
      <c r="B232" t="s">
        <v>20</v>
      </c>
      <c r="C232" t="s">
        <v>21</v>
      </c>
      <c r="D232" t="s">
        <v>22</v>
      </c>
      <c r="E232" t="s">
        <v>18</v>
      </c>
      <c r="F232">
        <v>10</v>
      </c>
      <c r="G232" t="s">
        <v>50</v>
      </c>
      <c r="H232">
        <v>30</v>
      </c>
      <c r="I232">
        <v>4092.05</v>
      </c>
      <c r="J232">
        <v>40920.5</v>
      </c>
    </row>
    <row r="233" spans="1:10" x14ac:dyDescent="0.35">
      <c r="A233" s="17">
        <v>44986</v>
      </c>
      <c r="B233" t="s">
        <v>8</v>
      </c>
      <c r="C233" t="s">
        <v>28</v>
      </c>
      <c r="D233" t="s">
        <v>30</v>
      </c>
      <c r="E233" t="s">
        <v>27</v>
      </c>
      <c r="F233">
        <v>6</v>
      </c>
      <c r="G233" t="s">
        <v>51</v>
      </c>
      <c r="H233">
        <v>44</v>
      </c>
      <c r="I233">
        <v>2609.65</v>
      </c>
      <c r="J233">
        <v>15657.9</v>
      </c>
    </row>
    <row r="234" spans="1:10" x14ac:dyDescent="0.35">
      <c r="A234" s="17">
        <v>44978</v>
      </c>
      <c r="B234" t="s">
        <v>20</v>
      </c>
      <c r="C234" t="s">
        <v>21</v>
      </c>
      <c r="D234" t="s">
        <v>22</v>
      </c>
      <c r="E234" t="s">
        <v>18</v>
      </c>
      <c r="F234">
        <v>6</v>
      </c>
      <c r="G234" t="s">
        <v>52</v>
      </c>
      <c r="H234">
        <v>36</v>
      </c>
      <c r="I234">
        <v>4219.6099999999997</v>
      </c>
      <c r="J234">
        <v>25317.66</v>
      </c>
    </row>
    <row r="235" spans="1:10" x14ac:dyDescent="0.35">
      <c r="A235" s="17">
        <v>45081</v>
      </c>
      <c r="B235" t="s">
        <v>12</v>
      </c>
      <c r="C235" t="s">
        <v>16</v>
      </c>
      <c r="D235" t="s">
        <v>19</v>
      </c>
      <c r="E235" t="s">
        <v>15</v>
      </c>
      <c r="F235">
        <v>11</v>
      </c>
      <c r="G235" t="s">
        <v>53</v>
      </c>
      <c r="H235">
        <v>42</v>
      </c>
      <c r="I235">
        <v>1703.12</v>
      </c>
      <c r="J235">
        <v>18734.32</v>
      </c>
    </row>
    <row r="236" spans="1:10" x14ac:dyDescent="0.35">
      <c r="A236" s="17">
        <v>44928</v>
      </c>
      <c r="B236" t="s">
        <v>8</v>
      </c>
      <c r="C236" t="s">
        <v>28</v>
      </c>
      <c r="D236" t="s">
        <v>29</v>
      </c>
      <c r="E236" t="s">
        <v>18</v>
      </c>
      <c r="F236">
        <v>11</v>
      </c>
      <c r="G236" t="s">
        <v>54</v>
      </c>
      <c r="H236">
        <v>44</v>
      </c>
      <c r="I236">
        <v>548.91999999999996</v>
      </c>
      <c r="J236">
        <v>6038.12</v>
      </c>
    </row>
    <row r="237" spans="1:10" x14ac:dyDescent="0.35">
      <c r="A237" s="17">
        <v>45092</v>
      </c>
      <c r="B237" t="s">
        <v>12</v>
      </c>
      <c r="C237" t="s">
        <v>16</v>
      </c>
      <c r="D237" t="s">
        <v>19</v>
      </c>
      <c r="E237" t="s">
        <v>18</v>
      </c>
      <c r="F237">
        <v>20</v>
      </c>
      <c r="G237" t="s">
        <v>55</v>
      </c>
      <c r="H237">
        <v>38</v>
      </c>
      <c r="I237">
        <v>3684.86</v>
      </c>
      <c r="J237">
        <v>73697.2</v>
      </c>
    </row>
    <row r="238" spans="1:10" x14ac:dyDescent="0.35">
      <c r="A238" s="17">
        <v>45021</v>
      </c>
      <c r="B238" t="s">
        <v>8</v>
      </c>
      <c r="C238" t="s">
        <v>28</v>
      </c>
      <c r="D238" t="s">
        <v>30</v>
      </c>
      <c r="E238" t="s">
        <v>24</v>
      </c>
      <c r="F238">
        <v>13</v>
      </c>
      <c r="G238" t="s">
        <v>56</v>
      </c>
      <c r="H238">
        <v>22</v>
      </c>
      <c r="I238">
        <v>2351.59</v>
      </c>
      <c r="J238">
        <v>30570.67</v>
      </c>
    </row>
    <row r="239" spans="1:10" x14ac:dyDescent="0.35">
      <c r="A239" s="17">
        <v>45173</v>
      </c>
      <c r="B239" t="s">
        <v>12</v>
      </c>
      <c r="C239" t="s">
        <v>16</v>
      </c>
      <c r="D239" t="s">
        <v>25</v>
      </c>
      <c r="E239" t="s">
        <v>24</v>
      </c>
      <c r="F239">
        <v>8</v>
      </c>
      <c r="G239" t="s">
        <v>57</v>
      </c>
      <c r="H239">
        <v>22</v>
      </c>
      <c r="I239">
        <v>1410.46</v>
      </c>
      <c r="J239">
        <v>11283.68</v>
      </c>
    </row>
    <row r="240" spans="1:10" x14ac:dyDescent="0.35">
      <c r="A240" s="17">
        <v>45095</v>
      </c>
      <c r="B240" t="s">
        <v>12</v>
      </c>
      <c r="C240" t="s">
        <v>13</v>
      </c>
      <c r="D240" t="s">
        <v>33</v>
      </c>
      <c r="E240" t="s">
        <v>18</v>
      </c>
      <c r="F240">
        <v>2</v>
      </c>
      <c r="G240" t="s">
        <v>58</v>
      </c>
      <c r="H240">
        <v>36</v>
      </c>
      <c r="I240">
        <v>4032.05</v>
      </c>
      <c r="J240">
        <v>8064.1</v>
      </c>
    </row>
    <row r="241" spans="1:10" x14ac:dyDescent="0.35">
      <c r="A241" s="17">
        <v>45061</v>
      </c>
      <c r="B241" t="s">
        <v>12</v>
      </c>
      <c r="C241" t="s">
        <v>16</v>
      </c>
      <c r="D241" t="s">
        <v>19</v>
      </c>
      <c r="E241" t="s">
        <v>27</v>
      </c>
      <c r="F241">
        <v>16</v>
      </c>
      <c r="G241" t="s">
        <v>59</v>
      </c>
      <c r="H241">
        <v>42</v>
      </c>
      <c r="I241">
        <v>325.52</v>
      </c>
      <c r="J241">
        <v>5208.32</v>
      </c>
    </row>
    <row r="242" spans="1:10" x14ac:dyDescent="0.35">
      <c r="A242" s="17">
        <v>45112</v>
      </c>
      <c r="B242" t="s">
        <v>8</v>
      </c>
      <c r="C242" t="s">
        <v>28</v>
      </c>
      <c r="D242" t="s">
        <v>29</v>
      </c>
      <c r="E242" t="s">
        <v>11</v>
      </c>
      <c r="F242">
        <v>17</v>
      </c>
      <c r="G242" t="s">
        <v>48</v>
      </c>
      <c r="H242">
        <v>43</v>
      </c>
      <c r="I242">
        <v>4427.79</v>
      </c>
      <c r="J242">
        <v>75272.429999999993</v>
      </c>
    </row>
    <row r="243" spans="1:10" x14ac:dyDescent="0.35">
      <c r="A243" s="17">
        <v>45004</v>
      </c>
      <c r="B243" t="s">
        <v>12</v>
      </c>
      <c r="C243" t="s">
        <v>16</v>
      </c>
      <c r="D243" t="s">
        <v>25</v>
      </c>
      <c r="E243" t="s">
        <v>18</v>
      </c>
      <c r="F243">
        <v>6</v>
      </c>
      <c r="G243" t="s">
        <v>49</v>
      </c>
      <c r="H243">
        <v>55</v>
      </c>
      <c r="I243">
        <v>484.95</v>
      </c>
      <c r="J243">
        <v>2909.7</v>
      </c>
    </row>
    <row r="244" spans="1:10" x14ac:dyDescent="0.35">
      <c r="A244" s="17">
        <v>45047</v>
      </c>
      <c r="B244" t="s">
        <v>8</v>
      </c>
      <c r="C244" t="s">
        <v>9</v>
      </c>
      <c r="D244" t="s">
        <v>10</v>
      </c>
      <c r="E244" t="s">
        <v>18</v>
      </c>
      <c r="F244">
        <v>5</v>
      </c>
      <c r="G244" t="s">
        <v>50</v>
      </c>
      <c r="H244">
        <v>49</v>
      </c>
      <c r="I244">
        <v>1204.6400000000001</v>
      </c>
      <c r="J244">
        <v>6023.2</v>
      </c>
    </row>
    <row r="245" spans="1:10" x14ac:dyDescent="0.35">
      <c r="A245" s="17">
        <v>45042</v>
      </c>
      <c r="B245" t="s">
        <v>12</v>
      </c>
      <c r="C245" t="s">
        <v>13</v>
      </c>
      <c r="D245" t="s">
        <v>26</v>
      </c>
      <c r="E245" t="s">
        <v>15</v>
      </c>
      <c r="F245">
        <v>18</v>
      </c>
      <c r="G245" t="s">
        <v>51</v>
      </c>
      <c r="H245">
        <v>47</v>
      </c>
      <c r="I245">
        <v>1576.88</v>
      </c>
      <c r="J245">
        <v>28383.84</v>
      </c>
    </row>
    <row r="246" spans="1:10" x14ac:dyDescent="0.35">
      <c r="A246" s="17">
        <v>45265</v>
      </c>
      <c r="B246" t="s">
        <v>12</v>
      </c>
      <c r="C246" t="s">
        <v>16</v>
      </c>
      <c r="D246" t="s">
        <v>25</v>
      </c>
      <c r="E246" t="s">
        <v>27</v>
      </c>
      <c r="F246">
        <v>13</v>
      </c>
      <c r="G246" t="s">
        <v>52</v>
      </c>
      <c r="H246">
        <v>52</v>
      </c>
      <c r="I246">
        <v>3190.8</v>
      </c>
      <c r="J246">
        <v>41480.400000000001</v>
      </c>
    </row>
    <row r="247" spans="1:10" x14ac:dyDescent="0.35">
      <c r="A247" s="17">
        <v>45258</v>
      </c>
      <c r="B247" t="s">
        <v>12</v>
      </c>
      <c r="C247" t="s">
        <v>16</v>
      </c>
      <c r="D247" t="s">
        <v>19</v>
      </c>
      <c r="E247" t="s">
        <v>18</v>
      </c>
      <c r="F247">
        <v>13</v>
      </c>
      <c r="G247" t="s">
        <v>53</v>
      </c>
      <c r="H247">
        <v>38</v>
      </c>
      <c r="I247">
        <v>2347.66</v>
      </c>
      <c r="J247">
        <v>30519.58</v>
      </c>
    </row>
    <row r="248" spans="1:10" x14ac:dyDescent="0.35">
      <c r="A248" s="17">
        <v>44942</v>
      </c>
      <c r="B248" t="s">
        <v>8</v>
      </c>
      <c r="C248" t="s">
        <v>28</v>
      </c>
      <c r="D248" t="s">
        <v>30</v>
      </c>
      <c r="E248" t="s">
        <v>24</v>
      </c>
      <c r="F248">
        <v>18</v>
      </c>
      <c r="G248" t="s">
        <v>54</v>
      </c>
      <c r="H248">
        <v>44</v>
      </c>
      <c r="I248">
        <v>3524.11</v>
      </c>
      <c r="J248">
        <v>63433.98</v>
      </c>
    </row>
    <row r="249" spans="1:10" x14ac:dyDescent="0.35">
      <c r="A249" s="17">
        <v>45015</v>
      </c>
      <c r="B249" t="s">
        <v>8</v>
      </c>
      <c r="C249" t="s">
        <v>28</v>
      </c>
      <c r="D249" t="s">
        <v>30</v>
      </c>
      <c r="E249" t="s">
        <v>18</v>
      </c>
      <c r="F249">
        <v>9</v>
      </c>
      <c r="G249" t="s">
        <v>55</v>
      </c>
      <c r="H249">
        <v>29</v>
      </c>
      <c r="I249">
        <v>888.33</v>
      </c>
      <c r="J249">
        <v>7994.97</v>
      </c>
    </row>
    <row r="250" spans="1:10" x14ac:dyDescent="0.35">
      <c r="A250" s="17">
        <v>45113</v>
      </c>
      <c r="B250" t="s">
        <v>8</v>
      </c>
      <c r="C250" t="s">
        <v>28</v>
      </c>
      <c r="D250" t="s">
        <v>29</v>
      </c>
      <c r="E250" t="s">
        <v>18</v>
      </c>
      <c r="F250">
        <v>8</v>
      </c>
      <c r="G250" t="s">
        <v>56</v>
      </c>
      <c r="H250">
        <v>33</v>
      </c>
      <c r="I250">
        <v>1484.56</v>
      </c>
      <c r="J250">
        <v>11876.48</v>
      </c>
    </row>
    <row r="251" spans="1:10" x14ac:dyDescent="0.35">
      <c r="A251" s="17">
        <v>45177</v>
      </c>
      <c r="B251" t="s">
        <v>8</v>
      </c>
      <c r="C251" t="s">
        <v>9</v>
      </c>
      <c r="D251" t="s">
        <v>10</v>
      </c>
      <c r="E251" t="s">
        <v>27</v>
      </c>
      <c r="F251">
        <v>4</v>
      </c>
      <c r="G251" t="s">
        <v>57</v>
      </c>
      <c r="H251">
        <v>44</v>
      </c>
      <c r="I251">
        <v>3725.78</v>
      </c>
      <c r="J251">
        <v>14903.12</v>
      </c>
    </row>
    <row r="252" spans="1:10" x14ac:dyDescent="0.35">
      <c r="A252" s="17">
        <v>44939</v>
      </c>
      <c r="B252" t="s">
        <v>8</v>
      </c>
      <c r="C252" t="s">
        <v>9</v>
      </c>
      <c r="D252" t="s">
        <v>31</v>
      </c>
      <c r="E252" t="s">
        <v>11</v>
      </c>
      <c r="F252">
        <v>18</v>
      </c>
      <c r="G252" t="s">
        <v>58</v>
      </c>
      <c r="H252">
        <v>42</v>
      </c>
      <c r="I252">
        <v>4721.4399999999996</v>
      </c>
      <c r="J252">
        <v>84985.919999999998</v>
      </c>
    </row>
    <row r="253" spans="1:10" x14ac:dyDescent="0.35">
      <c r="A253" s="17">
        <v>45171</v>
      </c>
      <c r="B253" t="s">
        <v>12</v>
      </c>
      <c r="C253" t="s">
        <v>16</v>
      </c>
      <c r="D253" t="s">
        <v>19</v>
      </c>
      <c r="E253" t="s">
        <v>24</v>
      </c>
      <c r="F253">
        <v>15</v>
      </c>
      <c r="G253" t="s">
        <v>59</v>
      </c>
      <c r="H253">
        <v>19</v>
      </c>
      <c r="I253">
        <v>4426.4399999999996</v>
      </c>
      <c r="J253">
        <v>66396.600000000006</v>
      </c>
    </row>
    <row r="254" spans="1:10" x14ac:dyDescent="0.35">
      <c r="A254" s="17">
        <v>45052</v>
      </c>
      <c r="B254" t="s">
        <v>12</v>
      </c>
      <c r="C254" t="s">
        <v>13</v>
      </c>
      <c r="D254" t="s">
        <v>33</v>
      </c>
      <c r="E254" t="s">
        <v>15</v>
      </c>
      <c r="F254">
        <v>1</v>
      </c>
      <c r="G254" t="s">
        <v>48</v>
      </c>
      <c r="H254">
        <v>39</v>
      </c>
      <c r="I254">
        <v>1219.0999999999999</v>
      </c>
      <c r="J254">
        <v>1219.0999999999999</v>
      </c>
    </row>
    <row r="255" spans="1:10" x14ac:dyDescent="0.35">
      <c r="A255" s="17">
        <v>45152</v>
      </c>
      <c r="B255" t="s">
        <v>20</v>
      </c>
      <c r="C255" t="s">
        <v>21</v>
      </c>
      <c r="D255" t="s">
        <v>35</v>
      </c>
      <c r="E255" t="s">
        <v>15</v>
      </c>
      <c r="F255">
        <v>8</v>
      </c>
      <c r="G255" t="s">
        <v>49</v>
      </c>
      <c r="H255">
        <v>45</v>
      </c>
      <c r="I255">
        <v>2628.31</v>
      </c>
      <c r="J255">
        <v>21026.48</v>
      </c>
    </row>
    <row r="256" spans="1:10" x14ac:dyDescent="0.35">
      <c r="A256" s="17">
        <v>45272</v>
      </c>
      <c r="B256" t="s">
        <v>12</v>
      </c>
      <c r="C256" t="s">
        <v>13</v>
      </c>
      <c r="D256" t="s">
        <v>14</v>
      </c>
      <c r="E256" t="s">
        <v>27</v>
      </c>
      <c r="F256">
        <v>18</v>
      </c>
      <c r="G256" t="s">
        <v>50</v>
      </c>
      <c r="H256">
        <v>27</v>
      </c>
      <c r="I256">
        <v>2784.49</v>
      </c>
      <c r="J256">
        <v>50120.82</v>
      </c>
    </row>
    <row r="257" spans="1:10" x14ac:dyDescent="0.35">
      <c r="A257" s="17">
        <v>45156</v>
      </c>
      <c r="B257" t="s">
        <v>8</v>
      </c>
      <c r="C257" t="s">
        <v>28</v>
      </c>
      <c r="D257" t="s">
        <v>30</v>
      </c>
      <c r="E257" t="s">
        <v>18</v>
      </c>
      <c r="F257">
        <v>16</v>
      </c>
      <c r="G257" t="s">
        <v>51</v>
      </c>
      <c r="H257">
        <v>31</v>
      </c>
      <c r="I257">
        <v>1907.95</v>
      </c>
      <c r="J257">
        <v>30527.200000000001</v>
      </c>
    </row>
    <row r="258" spans="1:10" x14ac:dyDescent="0.35">
      <c r="A258" s="17">
        <v>45047</v>
      </c>
      <c r="B258" t="s">
        <v>12</v>
      </c>
      <c r="C258" t="s">
        <v>13</v>
      </c>
      <c r="D258" t="s">
        <v>26</v>
      </c>
      <c r="E258" t="s">
        <v>15</v>
      </c>
      <c r="F258">
        <v>15</v>
      </c>
      <c r="G258" t="s">
        <v>52</v>
      </c>
      <c r="H258">
        <v>33</v>
      </c>
      <c r="I258">
        <v>1712.05</v>
      </c>
      <c r="J258">
        <v>25680.75</v>
      </c>
    </row>
    <row r="259" spans="1:10" x14ac:dyDescent="0.35">
      <c r="A259" s="17">
        <v>44945</v>
      </c>
      <c r="B259" t="s">
        <v>8</v>
      </c>
      <c r="C259" t="s">
        <v>28</v>
      </c>
      <c r="D259" t="s">
        <v>30</v>
      </c>
      <c r="E259" t="s">
        <v>24</v>
      </c>
      <c r="F259">
        <v>15</v>
      </c>
      <c r="G259" t="s">
        <v>53</v>
      </c>
      <c r="H259">
        <v>26</v>
      </c>
      <c r="I259">
        <v>2167.91</v>
      </c>
      <c r="J259">
        <v>32518.65</v>
      </c>
    </row>
    <row r="260" spans="1:10" x14ac:dyDescent="0.35">
      <c r="A260" s="17">
        <v>45232</v>
      </c>
      <c r="B260" t="s">
        <v>12</v>
      </c>
      <c r="C260" t="s">
        <v>13</v>
      </c>
      <c r="D260" t="s">
        <v>14</v>
      </c>
      <c r="E260" t="s">
        <v>15</v>
      </c>
      <c r="F260">
        <v>9</v>
      </c>
      <c r="G260" t="s">
        <v>54</v>
      </c>
      <c r="H260">
        <v>52</v>
      </c>
      <c r="I260">
        <v>228.49</v>
      </c>
      <c r="J260">
        <v>2056.41</v>
      </c>
    </row>
    <row r="261" spans="1:10" x14ac:dyDescent="0.35">
      <c r="A261" s="17">
        <v>44953</v>
      </c>
      <c r="B261" t="s">
        <v>20</v>
      </c>
      <c r="C261" t="s">
        <v>21</v>
      </c>
      <c r="D261" t="s">
        <v>34</v>
      </c>
      <c r="E261" t="s">
        <v>24</v>
      </c>
      <c r="F261">
        <v>9</v>
      </c>
      <c r="G261" t="s">
        <v>55</v>
      </c>
      <c r="H261">
        <v>40</v>
      </c>
      <c r="I261">
        <v>3095.35</v>
      </c>
      <c r="J261">
        <v>27858.15</v>
      </c>
    </row>
    <row r="262" spans="1:10" x14ac:dyDescent="0.35">
      <c r="A262" s="17">
        <v>44955</v>
      </c>
      <c r="B262" t="s">
        <v>8</v>
      </c>
      <c r="C262" t="s">
        <v>28</v>
      </c>
      <c r="D262" t="s">
        <v>32</v>
      </c>
      <c r="E262" t="s">
        <v>27</v>
      </c>
      <c r="F262">
        <v>5</v>
      </c>
      <c r="G262" t="s">
        <v>56</v>
      </c>
      <c r="H262">
        <v>33</v>
      </c>
      <c r="I262">
        <v>714.68</v>
      </c>
      <c r="J262">
        <v>3573.4</v>
      </c>
    </row>
    <row r="263" spans="1:10" x14ac:dyDescent="0.35">
      <c r="A263" s="17">
        <v>45226</v>
      </c>
      <c r="B263" t="s">
        <v>12</v>
      </c>
      <c r="C263" t="s">
        <v>13</v>
      </c>
      <c r="D263" t="s">
        <v>14</v>
      </c>
      <c r="E263" t="s">
        <v>11</v>
      </c>
      <c r="F263">
        <v>15</v>
      </c>
      <c r="G263" t="s">
        <v>57</v>
      </c>
      <c r="H263">
        <v>20</v>
      </c>
      <c r="I263">
        <v>4545.26</v>
      </c>
      <c r="J263">
        <v>68178.899999999994</v>
      </c>
    </row>
    <row r="264" spans="1:10" x14ac:dyDescent="0.35">
      <c r="A264" s="17">
        <v>45212</v>
      </c>
      <c r="B264" t="s">
        <v>8</v>
      </c>
      <c r="C264" t="s">
        <v>28</v>
      </c>
      <c r="D264" t="s">
        <v>29</v>
      </c>
      <c r="E264" t="s">
        <v>27</v>
      </c>
      <c r="F264">
        <v>20</v>
      </c>
      <c r="G264" t="s">
        <v>58</v>
      </c>
      <c r="H264">
        <v>32</v>
      </c>
      <c r="I264">
        <v>2133.5300000000002</v>
      </c>
      <c r="J264">
        <v>42670.6</v>
      </c>
    </row>
    <row r="265" spans="1:10" x14ac:dyDescent="0.35">
      <c r="A265" s="17">
        <v>45033</v>
      </c>
      <c r="B265" t="s">
        <v>20</v>
      </c>
      <c r="C265" t="s">
        <v>21</v>
      </c>
      <c r="D265" t="s">
        <v>34</v>
      </c>
      <c r="E265" t="s">
        <v>15</v>
      </c>
      <c r="F265">
        <v>13</v>
      </c>
      <c r="G265" t="s">
        <v>59</v>
      </c>
      <c r="H265">
        <v>44</v>
      </c>
      <c r="I265">
        <v>993.43</v>
      </c>
      <c r="J265">
        <v>12914.59</v>
      </c>
    </row>
    <row r="266" spans="1:10" x14ac:dyDescent="0.35">
      <c r="A266" s="17">
        <v>45255</v>
      </c>
      <c r="B266" t="s">
        <v>12</v>
      </c>
      <c r="C266" t="s">
        <v>13</v>
      </c>
      <c r="D266" t="s">
        <v>26</v>
      </c>
      <c r="E266" t="s">
        <v>11</v>
      </c>
      <c r="F266">
        <v>15</v>
      </c>
      <c r="G266" t="s">
        <v>48</v>
      </c>
      <c r="H266">
        <v>25</v>
      </c>
      <c r="I266">
        <v>2081.27</v>
      </c>
      <c r="J266">
        <v>31219.05</v>
      </c>
    </row>
    <row r="267" spans="1:10" x14ac:dyDescent="0.35">
      <c r="A267" s="17">
        <v>45275</v>
      </c>
      <c r="B267" t="s">
        <v>12</v>
      </c>
      <c r="C267" t="s">
        <v>16</v>
      </c>
      <c r="D267" t="s">
        <v>19</v>
      </c>
      <c r="E267" t="s">
        <v>15</v>
      </c>
      <c r="F267">
        <v>12</v>
      </c>
      <c r="G267" t="s">
        <v>49</v>
      </c>
      <c r="H267">
        <v>18</v>
      </c>
      <c r="I267">
        <v>2882.46</v>
      </c>
      <c r="J267">
        <v>34589.519999999997</v>
      </c>
    </row>
    <row r="268" spans="1:10" x14ac:dyDescent="0.35">
      <c r="A268" s="17">
        <v>45254</v>
      </c>
      <c r="B268" t="s">
        <v>8</v>
      </c>
      <c r="C268" t="s">
        <v>28</v>
      </c>
      <c r="D268" t="s">
        <v>32</v>
      </c>
      <c r="E268" t="s">
        <v>24</v>
      </c>
      <c r="F268">
        <v>8</v>
      </c>
      <c r="G268" t="s">
        <v>50</v>
      </c>
      <c r="H268">
        <v>49</v>
      </c>
      <c r="I268">
        <v>4169.8999999999996</v>
      </c>
      <c r="J268">
        <v>33359.199999999997</v>
      </c>
    </row>
    <row r="269" spans="1:10" x14ac:dyDescent="0.35">
      <c r="A269" s="17">
        <v>45000</v>
      </c>
      <c r="B269" t="s">
        <v>20</v>
      </c>
      <c r="C269" t="s">
        <v>21</v>
      </c>
      <c r="D269" t="s">
        <v>34</v>
      </c>
      <c r="E269" t="s">
        <v>18</v>
      </c>
      <c r="F269">
        <v>6</v>
      </c>
      <c r="G269" t="s">
        <v>51</v>
      </c>
      <c r="H269">
        <v>34</v>
      </c>
      <c r="I269">
        <v>4364.67</v>
      </c>
      <c r="J269">
        <v>26188.02</v>
      </c>
    </row>
    <row r="270" spans="1:10" x14ac:dyDescent="0.35">
      <c r="A270" s="17">
        <v>44987</v>
      </c>
      <c r="B270" t="s">
        <v>12</v>
      </c>
      <c r="C270" t="s">
        <v>13</v>
      </c>
      <c r="D270" t="s">
        <v>33</v>
      </c>
      <c r="E270" t="s">
        <v>15</v>
      </c>
      <c r="F270">
        <v>17</v>
      </c>
      <c r="G270" t="s">
        <v>52</v>
      </c>
      <c r="H270">
        <v>39</v>
      </c>
      <c r="I270">
        <v>2924.72</v>
      </c>
      <c r="J270">
        <v>49720.24</v>
      </c>
    </row>
    <row r="271" spans="1:10" x14ac:dyDescent="0.35">
      <c r="A271" s="17">
        <v>44961</v>
      </c>
      <c r="B271" t="s">
        <v>8</v>
      </c>
      <c r="C271" t="s">
        <v>9</v>
      </c>
      <c r="D271" t="s">
        <v>23</v>
      </c>
      <c r="E271" t="s">
        <v>11</v>
      </c>
      <c r="F271">
        <v>8</v>
      </c>
      <c r="G271" t="s">
        <v>53</v>
      </c>
      <c r="H271">
        <v>49</v>
      </c>
      <c r="I271">
        <v>4290.04</v>
      </c>
      <c r="J271">
        <v>34320.32</v>
      </c>
    </row>
    <row r="272" spans="1:10" x14ac:dyDescent="0.35">
      <c r="A272" s="17">
        <v>45161</v>
      </c>
      <c r="B272" t="s">
        <v>12</v>
      </c>
      <c r="C272" t="s">
        <v>16</v>
      </c>
      <c r="D272" t="s">
        <v>25</v>
      </c>
      <c r="E272" t="s">
        <v>27</v>
      </c>
      <c r="F272">
        <v>19</v>
      </c>
      <c r="G272" t="s">
        <v>54</v>
      </c>
      <c r="H272">
        <v>17</v>
      </c>
      <c r="I272">
        <v>3336.46</v>
      </c>
      <c r="J272">
        <v>63392.74</v>
      </c>
    </row>
    <row r="273" spans="1:10" x14ac:dyDescent="0.35">
      <c r="A273" s="17">
        <v>45139</v>
      </c>
      <c r="B273" t="s">
        <v>12</v>
      </c>
      <c r="C273" t="s">
        <v>13</v>
      </c>
      <c r="D273" t="s">
        <v>26</v>
      </c>
      <c r="E273" t="s">
        <v>27</v>
      </c>
      <c r="F273">
        <v>20</v>
      </c>
      <c r="G273" t="s">
        <v>55</v>
      </c>
      <c r="H273">
        <v>20</v>
      </c>
      <c r="I273">
        <v>3728.46</v>
      </c>
      <c r="J273">
        <v>74569.2</v>
      </c>
    </row>
    <row r="274" spans="1:10" x14ac:dyDescent="0.35">
      <c r="A274" s="17">
        <v>45187</v>
      </c>
      <c r="B274" t="s">
        <v>20</v>
      </c>
      <c r="C274" t="s">
        <v>21</v>
      </c>
      <c r="D274" t="s">
        <v>34</v>
      </c>
      <c r="E274" t="s">
        <v>24</v>
      </c>
      <c r="F274">
        <v>20</v>
      </c>
      <c r="G274" t="s">
        <v>56</v>
      </c>
      <c r="H274">
        <v>24</v>
      </c>
      <c r="I274">
        <v>1592.52</v>
      </c>
      <c r="J274">
        <v>31850.400000000001</v>
      </c>
    </row>
    <row r="275" spans="1:10" x14ac:dyDescent="0.35">
      <c r="A275" s="17">
        <v>45117</v>
      </c>
      <c r="B275" t="s">
        <v>8</v>
      </c>
      <c r="C275" t="s">
        <v>9</v>
      </c>
      <c r="D275" t="s">
        <v>23</v>
      </c>
      <c r="E275" t="s">
        <v>18</v>
      </c>
      <c r="F275">
        <v>20</v>
      </c>
      <c r="G275" t="s">
        <v>57</v>
      </c>
      <c r="H275">
        <v>31</v>
      </c>
      <c r="I275">
        <v>2415.86</v>
      </c>
      <c r="J275">
        <v>48317.2</v>
      </c>
    </row>
    <row r="276" spans="1:10" x14ac:dyDescent="0.35">
      <c r="A276" s="17">
        <v>44971</v>
      </c>
      <c r="B276" t="s">
        <v>12</v>
      </c>
      <c r="C276" t="s">
        <v>16</v>
      </c>
      <c r="D276" t="s">
        <v>19</v>
      </c>
      <c r="E276" t="s">
        <v>11</v>
      </c>
      <c r="F276">
        <v>12</v>
      </c>
      <c r="G276" t="s">
        <v>58</v>
      </c>
      <c r="H276">
        <v>20</v>
      </c>
      <c r="I276">
        <v>2733.87</v>
      </c>
      <c r="J276">
        <v>32806.44</v>
      </c>
    </row>
    <row r="277" spans="1:10" x14ac:dyDescent="0.35">
      <c r="A277" s="17">
        <v>45081</v>
      </c>
      <c r="B277" t="s">
        <v>12</v>
      </c>
      <c r="C277" t="s">
        <v>16</v>
      </c>
      <c r="D277" t="s">
        <v>17</v>
      </c>
      <c r="E277" t="s">
        <v>15</v>
      </c>
      <c r="F277">
        <v>20</v>
      </c>
      <c r="G277" t="s">
        <v>59</v>
      </c>
      <c r="H277">
        <v>26</v>
      </c>
      <c r="I277">
        <v>4398.47</v>
      </c>
      <c r="J277">
        <v>87969.4</v>
      </c>
    </row>
    <row r="278" spans="1:10" x14ac:dyDescent="0.35">
      <c r="A278" s="17">
        <v>45068</v>
      </c>
      <c r="B278" t="s">
        <v>20</v>
      </c>
      <c r="C278" t="s">
        <v>21</v>
      </c>
      <c r="D278" t="s">
        <v>22</v>
      </c>
      <c r="E278" t="s">
        <v>11</v>
      </c>
      <c r="F278">
        <v>6</v>
      </c>
      <c r="G278" t="s">
        <v>48</v>
      </c>
      <c r="H278">
        <v>34</v>
      </c>
      <c r="I278">
        <v>1537.45</v>
      </c>
      <c r="J278">
        <v>9224.7000000000007</v>
      </c>
    </row>
    <row r="279" spans="1:10" x14ac:dyDescent="0.35">
      <c r="A279" s="17">
        <v>45247</v>
      </c>
      <c r="B279" t="s">
        <v>8</v>
      </c>
      <c r="C279" t="s">
        <v>28</v>
      </c>
      <c r="D279" t="s">
        <v>32</v>
      </c>
      <c r="E279" t="s">
        <v>15</v>
      </c>
      <c r="F279">
        <v>3</v>
      </c>
      <c r="G279" t="s">
        <v>49</v>
      </c>
      <c r="H279">
        <v>50</v>
      </c>
      <c r="I279">
        <v>1818.3</v>
      </c>
      <c r="J279">
        <v>5454.9</v>
      </c>
    </row>
    <row r="280" spans="1:10" x14ac:dyDescent="0.35">
      <c r="A280" s="17">
        <v>45228</v>
      </c>
      <c r="B280" t="s">
        <v>12</v>
      </c>
      <c r="C280" t="s">
        <v>16</v>
      </c>
      <c r="D280" t="s">
        <v>19</v>
      </c>
      <c r="E280" t="s">
        <v>18</v>
      </c>
      <c r="F280">
        <v>1</v>
      </c>
      <c r="G280" t="s">
        <v>50</v>
      </c>
      <c r="H280">
        <v>50</v>
      </c>
      <c r="I280">
        <v>1239.25</v>
      </c>
      <c r="J280">
        <v>1239.25</v>
      </c>
    </row>
    <row r="281" spans="1:10" x14ac:dyDescent="0.35">
      <c r="A281" s="17">
        <v>44961</v>
      </c>
      <c r="B281" t="s">
        <v>20</v>
      </c>
      <c r="C281" t="s">
        <v>21</v>
      </c>
      <c r="D281" t="s">
        <v>35</v>
      </c>
      <c r="E281" t="s">
        <v>27</v>
      </c>
      <c r="F281">
        <v>5</v>
      </c>
      <c r="G281" t="s">
        <v>51</v>
      </c>
      <c r="H281">
        <v>44</v>
      </c>
      <c r="I281">
        <v>968.86</v>
      </c>
      <c r="J281">
        <v>4844.3</v>
      </c>
    </row>
    <row r="282" spans="1:10" x14ac:dyDescent="0.35">
      <c r="A282" s="17">
        <v>45273</v>
      </c>
      <c r="B282" t="s">
        <v>8</v>
      </c>
      <c r="C282" t="s">
        <v>9</v>
      </c>
      <c r="D282" t="s">
        <v>10</v>
      </c>
      <c r="E282" t="s">
        <v>15</v>
      </c>
      <c r="F282">
        <v>11</v>
      </c>
      <c r="G282" t="s">
        <v>52</v>
      </c>
      <c r="H282">
        <v>47</v>
      </c>
      <c r="I282">
        <v>2097.48</v>
      </c>
      <c r="J282">
        <v>23072.28</v>
      </c>
    </row>
    <row r="283" spans="1:10" x14ac:dyDescent="0.35">
      <c r="A283" s="17">
        <v>45211</v>
      </c>
      <c r="B283" t="s">
        <v>20</v>
      </c>
      <c r="C283" t="s">
        <v>21</v>
      </c>
      <c r="D283" t="s">
        <v>35</v>
      </c>
      <c r="E283" t="s">
        <v>24</v>
      </c>
      <c r="F283">
        <v>14</v>
      </c>
      <c r="G283" t="s">
        <v>53</v>
      </c>
      <c r="H283">
        <v>43</v>
      </c>
      <c r="I283">
        <v>188.94</v>
      </c>
      <c r="J283">
        <v>2645.16</v>
      </c>
    </row>
    <row r="284" spans="1:10" x14ac:dyDescent="0.35">
      <c r="A284" s="17">
        <v>45026</v>
      </c>
      <c r="B284" t="s">
        <v>20</v>
      </c>
      <c r="C284" t="s">
        <v>21</v>
      </c>
      <c r="D284" t="s">
        <v>22</v>
      </c>
      <c r="E284" t="s">
        <v>27</v>
      </c>
      <c r="F284">
        <v>3</v>
      </c>
      <c r="G284" t="s">
        <v>54</v>
      </c>
      <c r="H284">
        <v>51</v>
      </c>
      <c r="I284">
        <v>4201.09</v>
      </c>
      <c r="J284">
        <v>12603.27</v>
      </c>
    </row>
    <row r="285" spans="1:10" x14ac:dyDescent="0.35">
      <c r="A285" s="17">
        <v>45050</v>
      </c>
      <c r="B285" t="s">
        <v>8</v>
      </c>
      <c r="C285" t="s">
        <v>9</v>
      </c>
      <c r="D285" t="s">
        <v>23</v>
      </c>
      <c r="E285" t="s">
        <v>18</v>
      </c>
      <c r="F285">
        <v>19</v>
      </c>
      <c r="G285" t="s">
        <v>55</v>
      </c>
      <c r="H285">
        <v>30</v>
      </c>
      <c r="I285">
        <v>430.16</v>
      </c>
      <c r="J285">
        <v>8173.04</v>
      </c>
    </row>
    <row r="286" spans="1:10" x14ac:dyDescent="0.35">
      <c r="A286" s="17">
        <v>45274</v>
      </c>
      <c r="B286" t="s">
        <v>20</v>
      </c>
      <c r="C286" t="s">
        <v>21</v>
      </c>
      <c r="D286" t="s">
        <v>22</v>
      </c>
      <c r="E286" t="s">
        <v>24</v>
      </c>
      <c r="F286">
        <v>5</v>
      </c>
      <c r="G286" t="s">
        <v>56</v>
      </c>
      <c r="H286">
        <v>36</v>
      </c>
      <c r="I286">
        <v>2957.2</v>
      </c>
      <c r="J286">
        <v>14786</v>
      </c>
    </row>
    <row r="287" spans="1:10" x14ac:dyDescent="0.35">
      <c r="A287" s="17">
        <v>44960</v>
      </c>
      <c r="B287" t="s">
        <v>12</v>
      </c>
      <c r="C287" t="s">
        <v>13</v>
      </c>
      <c r="D287" t="s">
        <v>33</v>
      </c>
      <c r="E287" t="s">
        <v>27</v>
      </c>
      <c r="F287">
        <v>7</v>
      </c>
      <c r="G287" t="s">
        <v>57</v>
      </c>
      <c r="H287">
        <v>53</v>
      </c>
      <c r="I287">
        <v>1164.5999999999999</v>
      </c>
      <c r="J287">
        <v>8152.2</v>
      </c>
    </row>
    <row r="288" spans="1:10" x14ac:dyDescent="0.35">
      <c r="A288" s="17">
        <v>44955</v>
      </c>
      <c r="B288" t="s">
        <v>12</v>
      </c>
      <c r="C288" t="s">
        <v>13</v>
      </c>
      <c r="D288" t="s">
        <v>26</v>
      </c>
      <c r="E288" t="s">
        <v>27</v>
      </c>
      <c r="F288">
        <v>2</v>
      </c>
      <c r="G288" t="s">
        <v>58</v>
      </c>
      <c r="H288">
        <v>34</v>
      </c>
      <c r="I288">
        <v>161.19</v>
      </c>
      <c r="J288">
        <v>322.38</v>
      </c>
    </row>
    <row r="289" spans="1:10" x14ac:dyDescent="0.35">
      <c r="A289" s="17">
        <v>45069</v>
      </c>
      <c r="B289" t="s">
        <v>12</v>
      </c>
      <c r="C289" t="s">
        <v>13</v>
      </c>
      <c r="D289" t="s">
        <v>14</v>
      </c>
      <c r="E289" t="s">
        <v>24</v>
      </c>
      <c r="F289">
        <v>4</v>
      </c>
      <c r="G289" t="s">
        <v>59</v>
      </c>
      <c r="H289">
        <v>33</v>
      </c>
      <c r="I289">
        <v>2689.7</v>
      </c>
      <c r="J289">
        <v>10758.8</v>
      </c>
    </row>
    <row r="290" spans="1:10" x14ac:dyDescent="0.35">
      <c r="A290" s="17">
        <v>45036</v>
      </c>
      <c r="B290" t="s">
        <v>8</v>
      </c>
      <c r="C290" t="s">
        <v>28</v>
      </c>
      <c r="D290" t="s">
        <v>30</v>
      </c>
      <c r="E290" t="s">
        <v>27</v>
      </c>
      <c r="F290">
        <v>16</v>
      </c>
      <c r="G290" t="s">
        <v>48</v>
      </c>
      <c r="H290">
        <v>48</v>
      </c>
      <c r="I290">
        <v>523.29999999999995</v>
      </c>
      <c r="J290">
        <v>8372.7999999999993</v>
      </c>
    </row>
    <row r="291" spans="1:10" x14ac:dyDescent="0.35">
      <c r="A291" s="17">
        <v>45233</v>
      </c>
      <c r="B291" t="s">
        <v>8</v>
      </c>
      <c r="C291" t="s">
        <v>28</v>
      </c>
      <c r="D291" t="s">
        <v>29</v>
      </c>
      <c r="E291" t="s">
        <v>27</v>
      </c>
      <c r="F291">
        <v>3</v>
      </c>
      <c r="G291" t="s">
        <v>49</v>
      </c>
      <c r="H291">
        <v>41</v>
      </c>
      <c r="I291">
        <v>884.5</v>
      </c>
      <c r="J291">
        <v>2653.5</v>
      </c>
    </row>
    <row r="292" spans="1:10" x14ac:dyDescent="0.35">
      <c r="A292" s="17">
        <v>45174</v>
      </c>
      <c r="B292" t="s">
        <v>20</v>
      </c>
      <c r="C292" t="s">
        <v>21</v>
      </c>
      <c r="D292" t="s">
        <v>34</v>
      </c>
      <c r="E292" t="s">
        <v>15</v>
      </c>
      <c r="F292">
        <v>13</v>
      </c>
      <c r="G292" t="s">
        <v>50</v>
      </c>
      <c r="H292">
        <v>42</v>
      </c>
      <c r="I292">
        <v>3724.27</v>
      </c>
      <c r="J292">
        <v>48415.51</v>
      </c>
    </row>
    <row r="293" spans="1:10" x14ac:dyDescent="0.35">
      <c r="A293" s="17">
        <v>45215</v>
      </c>
      <c r="B293" t="s">
        <v>8</v>
      </c>
      <c r="C293" t="s">
        <v>9</v>
      </c>
      <c r="D293" t="s">
        <v>23</v>
      </c>
      <c r="E293" t="s">
        <v>24</v>
      </c>
      <c r="F293">
        <v>9</v>
      </c>
      <c r="G293" t="s">
        <v>51</v>
      </c>
      <c r="H293">
        <v>48</v>
      </c>
      <c r="I293">
        <v>3678.86</v>
      </c>
      <c r="J293">
        <v>33109.74</v>
      </c>
    </row>
    <row r="294" spans="1:10" x14ac:dyDescent="0.35">
      <c r="A294" s="17">
        <v>45039</v>
      </c>
      <c r="B294" t="s">
        <v>12</v>
      </c>
      <c r="C294" t="s">
        <v>16</v>
      </c>
      <c r="D294" t="s">
        <v>19</v>
      </c>
      <c r="E294" t="s">
        <v>27</v>
      </c>
      <c r="F294">
        <v>3</v>
      </c>
      <c r="G294" t="s">
        <v>52</v>
      </c>
      <c r="H294">
        <v>52</v>
      </c>
      <c r="I294">
        <v>938.33</v>
      </c>
      <c r="J294">
        <v>2814.99</v>
      </c>
    </row>
    <row r="295" spans="1:10" x14ac:dyDescent="0.35">
      <c r="A295" s="17">
        <v>45015</v>
      </c>
      <c r="B295" t="s">
        <v>12</v>
      </c>
      <c r="C295" t="s">
        <v>16</v>
      </c>
      <c r="D295" t="s">
        <v>25</v>
      </c>
      <c r="E295" t="s">
        <v>27</v>
      </c>
      <c r="F295">
        <v>17</v>
      </c>
      <c r="G295" t="s">
        <v>53</v>
      </c>
      <c r="H295">
        <v>43</v>
      </c>
      <c r="I295">
        <v>2664.62</v>
      </c>
      <c r="J295">
        <v>45298.54</v>
      </c>
    </row>
    <row r="296" spans="1:10" x14ac:dyDescent="0.35">
      <c r="A296" s="17">
        <v>45121</v>
      </c>
      <c r="B296" t="s">
        <v>8</v>
      </c>
      <c r="C296" t="s">
        <v>9</v>
      </c>
      <c r="D296" t="s">
        <v>23</v>
      </c>
      <c r="E296" t="s">
        <v>11</v>
      </c>
      <c r="F296">
        <v>5</v>
      </c>
      <c r="G296" t="s">
        <v>54</v>
      </c>
      <c r="H296">
        <v>45</v>
      </c>
      <c r="I296">
        <v>4035.07</v>
      </c>
      <c r="J296">
        <v>20175.349999999999</v>
      </c>
    </row>
    <row r="297" spans="1:10" x14ac:dyDescent="0.35">
      <c r="A297" s="17">
        <v>45018</v>
      </c>
      <c r="B297" t="s">
        <v>20</v>
      </c>
      <c r="C297" t="s">
        <v>21</v>
      </c>
      <c r="D297" t="s">
        <v>35</v>
      </c>
      <c r="E297" t="s">
        <v>18</v>
      </c>
      <c r="F297">
        <v>20</v>
      </c>
      <c r="G297" t="s">
        <v>55</v>
      </c>
      <c r="H297">
        <v>43</v>
      </c>
      <c r="I297">
        <v>605.86</v>
      </c>
      <c r="J297">
        <v>12117.2</v>
      </c>
    </row>
    <row r="298" spans="1:10" x14ac:dyDescent="0.35">
      <c r="A298" s="17">
        <v>45070</v>
      </c>
      <c r="B298" t="s">
        <v>8</v>
      </c>
      <c r="C298" t="s">
        <v>9</v>
      </c>
      <c r="D298" t="s">
        <v>23</v>
      </c>
      <c r="E298" t="s">
        <v>24</v>
      </c>
      <c r="F298">
        <v>3</v>
      </c>
      <c r="G298" t="s">
        <v>56</v>
      </c>
      <c r="H298">
        <v>43</v>
      </c>
      <c r="I298">
        <v>2082</v>
      </c>
      <c r="J298">
        <v>6246</v>
      </c>
    </row>
    <row r="299" spans="1:10" x14ac:dyDescent="0.35">
      <c r="A299" s="17">
        <v>45185</v>
      </c>
      <c r="B299" t="s">
        <v>8</v>
      </c>
      <c r="C299" t="s">
        <v>9</v>
      </c>
      <c r="D299" t="s">
        <v>23</v>
      </c>
      <c r="E299" t="s">
        <v>18</v>
      </c>
      <c r="F299">
        <v>8</v>
      </c>
      <c r="G299" t="s">
        <v>57</v>
      </c>
      <c r="H299">
        <v>35</v>
      </c>
      <c r="I299">
        <v>3372.86</v>
      </c>
      <c r="J299">
        <v>26982.880000000001</v>
      </c>
    </row>
    <row r="300" spans="1:10" x14ac:dyDescent="0.35">
      <c r="A300" s="17">
        <v>45150</v>
      </c>
      <c r="B300" t="s">
        <v>20</v>
      </c>
      <c r="C300" t="s">
        <v>21</v>
      </c>
      <c r="D300" t="s">
        <v>34</v>
      </c>
      <c r="E300" t="s">
        <v>15</v>
      </c>
      <c r="F300">
        <v>15</v>
      </c>
      <c r="G300" t="s">
        <v>58</v>
      </c>
      <c r="H300">
        <v>37</v>
      </c>
      <c r="I300">
        <v>318.32</v>
      </c>
      <c r="J300">
        <v>4774.8</v>
      </c>
    </row>
    <row r="301" spans="1:10" x14ac:dyDescent="0.35">
      <c r="A301" s="17">
        <v>45253</v>
      </c>
      <c r="B301" t="s">
        <v>20</v>
      </c>
      <c r="C301" t="s">
        <v>21</v>
      </c>
      <c r="D301" t="s">
        <v>35</v>
      </c>
      <c r="E301" t="s">
        <v>24</v>
      </c>
      <c r="F301">
        <v>5</v>
      </c>
      <c r="G301" t="s">
        <v>59</v>
      </c>
      <c r="H301">
        <v>50</v>
      </c>
      <c r="I301">
        <v>3900.9</v>
      </c>
      <c r="J301">
        <v>19504.5</v>
      </c>
    </row>
    <row r="302" spans="1:10" x14ac:dyDescent="0.35">
      <c r="A302" s="17">
        <v>45229</v>
      </c>
      <c r="B302" t="s">
        <v>8</v>
      </c>
      <c r="C302" t="s">
        <v>9</v>
      </c>
      <c r="D302" t="s">
        <v>10</v>
      </c>
      <c r="E302" t="s">
        <v>27</v>
      </c>
      <c r="F302">
        <v>15</v>
      </c>
      <c r="G302" t="s">
        <v>48</v>
      </c>
      <c r="H302">
        <v>49</v>
      </c>
      <c r="I302">
        <v>1113.76</v>
      </c>
      <c r="J302">
        <v>16706.400000000001</v>
      </c>
    </row>
    <row r="303" spans="1:10" x14ac:dyDescent="0.35">
      <c r="A303" s="17">
        <v>45195</v>
      </c>
      <c r="B303" t="s">
        <v>20</v>
      </c>
      <c r="C303" t="s">
        <v>21</v>
      </c>
      <c r="D303" t="s">
        <v>22</v>
      </c>
      <c r="E303" t="s">
        <v>18</v>
      </c>
      <c r="F303">
        <v>9</v>
      </c>
      <c r="G303" t="s">
        <v>49</v>
      </c>
      <c r="H303">
        <v>54</v>
      </c>
      <c r="I303">
        <v>3458</v>
      </c>
      <c r="J303">
        <v>31122</v>
      </c>
    </row>
    <row r="304" spans="1:10" x14ac:dyDescent="0.35">
      <c r="A304" s="17">
        <v>45228</v>
      </c>
      <c r="B304" t="s">
        <v>20</v>
      </c>
      <c r="C304" t="s">
        <v>21</v>
      </c>
      <c r="D304" t="s">
        <v>34</v>
      </c>
      <c r="E304" t="s">
        <v>15</v>
      </c>
      <c r="F304">
        <v>7</v>
      </c>
      <c r="G304" t="s">
        <v>50</v>
      </c>
      <c r="H304">
        <v>24</v>
      </c>
      <c r="I304">
        <v>3415.15</v>
      </c>
      <c r="J304">
        <v>23906.05</v>
      </c>
    </row>
    <row r="305" spans="1:10" x14ac:dyDescent="0.35">
      <c r="A305" s="17">
        <v>45217</v>
      </c>
      <c r="B305" t="s">
        <v>12</v>
      </c>
      <c r="C305" t="s">
        <v>13</v>
      </c>
      <c r="D305" t="s">
        <v>33</v>
      </c>
      <c r="E305" t="s">
        <v>11</v>
      </c>
      <c r="F305">
        <v>15</v>
      </c>
      <c r="G305" t="s">
        <v>51</v>
      </c>
      <c r="H305">
        <v>19</v>
      </c>
      <c r="I305">
        <v>2920.62</v>
      </c>
      <c r="J305">
        <v>43809.3</v>
      </c>
    </row>
    <row r="306" spans="1:10" x14ac:dyDescent="0.35">
      <c r="A306" s="17">
        <v>45161</v>
      </c>
      <c r="B306" t="s">
        <v>8</v>
      </c>
      <c r="C306" t="s">
        <v>9</v>
      </c>
      <c r="D306" t="s">
        <v>10</v>
      </c>
      <c r="E306" t="s">
        <v>18</v>
      </c>
      <c r="F306">
        <v>20</v>
      </c>
      <c r="G306" t="s">
        <v>52</v>
      </c>
      <c r="H306">
        <v>45</v>
      </c>
      <c r="I306">
        <v>1100.3800000000001</v>
      </c>
      <c r="J306">
        <v>22007.599999999999</v>
      </c>
    </row>
    <row r="307" spans="1:10" x14ac:dyDescent="0.35">
      <c r="A307" s="17">
        <v>45284</v>
      </c>
      <c r="B307" t="s">
        <v>12</v>
      </c>
      <c r="C307" t="s">
        <v>16</v>
      </c>
      <c r="D307" t="s">
        <v>17</v>
      </c>
      <c r="E307" t="s">
        <v>27</v>
      </c>
      <c r="F307">
        <v>15</v>
      </c>
      <c r="G307" t="s">
        <v>53</v>
      </c>
      <c r="H307">
        <v>42</v>
      </c>
      <c r="I307">
        <v>170.6</v>
      </c>
      <c r="J307">
        <v>2559</v>
      </c>
    </row>
    <row r="308" spans="1:10" x14ac:dyDescent="0.35">
      <c r="A308" s="17">
        <v>44932</v>
      </c>
      <c r="B308" t="s">
        <v>12</v>
      </c>
      <c r="C308" t="s">
        <v>13</v>
      </c>
      <c r="D308" t="s">
        <v>14</v>
      </c>
      <c r="E308" t="s">
        <v>18</v>
      </c>
      <c r="F308">
        <v>18</v>
      </c>
      <c r="G308" t="s">
        <v>54</v>
      </c>
      <c r="H308">
        <v>28</v>
      </c>
      <c r="I308">
        <v>1073</v>
      </c>
      <c r="J308">
        <v>19314</v>
      </c>
    </row>
    <row r="309" spans="1:10" x14ac:dyDescent="0.35">
      <c r="A309" s="17">
        <v>44985</v>
      </c>
      <c r="B309" t="s">
        <v>8</v>
      </c>
      <c r="C309" t="s">
        <v>28</v>
      </c>
      <c r="D309" t="s">
        <v>30</v>
      </c>
      <c r="E309" t="s">
        <v>11</v>
      </c>
      <c r="F309">
        <v>9</v>
      </c>
      <c r="G309" t="s">
        <v>55</v>
      </c>
      <c r="H309">
        <v>41</v>
      </c>
      <c r="I309">
        <v>3276.04</v>
      </c>
      <c r="J309">
        <v>29484.36</v>
      </c>
    </row>
    <row r="310" spans="1:10" x14ac:dyDescent="0.35">
      <c r="A310" s="17">
        <v>45167</v>
      </c>
      <c r="B310" t="s">
        <v>12</v>
      </c>
      <c r="C310" t="s">
        <v>16</v>
      </c>
      <c r="D310" t="s">
        <v>25</v>
      </c>
      <c r="E310" t="s">
        <v>24</v>
      </c>
      <c r="F310">
        <v>1</v>
      </c>
      <c r="G310" t="s">
        <v>56</v>
      </c>
      <c r="H310">
        <v>38</v>
      </c>
      <c r="I310">
        <v>3734.74</v>
      </c>
      <c r="J310">
        <v>3734.74</v>
      </c>
    </row>
    <row r="311" spans="1:10" x14ac:dyDescent="0.35">
      <c r="A311" s="17">
        <v>44982</v>
      </c>
      <c r="B311" t="s">
        <v>8</v>
      </c>
      <c r="C311" t="s">
        <v>9</v>
      </c>
      <c r="D311" t="s">
        <v>10</v>
      </c>
      <c r="E311" t="s">
        <v>15</v>
      </c>
      <c r="F311">
        <v>5</v>
      </c>
      <c r="G311" t="s">
        <v>57</v>
      </c>
      <c r="H311">
        <v>26</v>
      </c>
      <c r="I311">
        <v>3926.26</v>
      </c>
      <c r="J311">
        <v>19631.3</v>
      </c>
    </row>
    <row r="312" spans="1:10" x14ac:dyDescent="0.35">
      <c r="A312" s="17">
        <v>45220</v>
      </c>
      <c r="B312" t="s">
        <v>12</v>
      </c>
      <c r="C312" t="s">
        <v>13</v>
      </c>
      <c r="D312" t="s">
        <v>33</v>
      </c>
      <c r="E312" t="s">
        <v>18</v>
      </c>
      <c r="F312">
        <v>7</v>
      </c>
      <c r="G312" t="s">
        <v>58</v>
      </c>
      <c r="H312">
        <v>40</v>
      </c>
      <c r="I312">
        <v>2048.48</v>
      </c>
      <c r="J312">
        <v>14339.36</v>
      </c>
    </row>
    <row r="313" spans="1:10" x14ac:dyDescent="0.35">
      <c r="A313" s="17">
        <v>45202</v>
      </c>
      <c r="B313" t="s">
        <v>8</v>
      </c>
      <c r="C313" t="s">
        <v>9</v>
      </c>
      <c r="D313" t="s">
        <v>10</v>
      </c>
      <c r="E313" t="s">
        <v>11</v>
      </c>
      <c r="F313">
        <v>11</v>
      </c>
      <c r="G313" t="s">
        <v>59</v>
      </c>
      <c r="H313">
        <v>48</v>
      </c>
      <c r="I313">
        <v>1316.18</v>
      </c>
      <c r="J313">
        <v>14477.98</v>
      </c>
    </row>
    <row r="314" spans="1:10" x14ac:dyDescent="0.35">
      <c r="A314" s="17">
        <v>45016</v>
      </c>
      <c r="B314" t="s">
        <v>20</v>
      </c>
      <c r="C314" t="s">
        <v>21</v>
      </c>
      <c r="D314" t="s">
        <v>34</v>
      </c>
      <c r="E314" t="s">
        <v>11</v>
      </c>
      <c r="F314">
        <v>10</v>
      </c>
      <c r="G314" t="s">
        <v>48</v>
      </c>
      <c r="H314">
        <v>35</v>
      </c>
      <c r="I314">
        <v>2027.97</v>
      </c>
      <c r="J314">
        <v>20279.7</v>
      </c>
    </row>
    <row r="315" spans="1:10" x14ac:dyDescent="0.35">
      <c r="A315" s="17">
        <v>45119</v>
      </c>
      <c r="B315" t="s">
        <v>8</v>
      </c>
      <c r="C315" t="s">
        <v>9</v>
      </c>
      <c r="D315" t="s">
        <v>10</v>
      </c>
      <c r="E315" t="s">
        <v>27</v>
      </c>
      <c r="F315">
        <v>9</v>
      </c>
      <c r="G315" t="s">
        <v>49</v>
      </c>
      <c r="H315">
        <v>27</v>
      </c>
      <c r="I315">
        <v>4757.53</v>
      </c>
      <c r="J315">
        <v>42817.77</v>
      </c>
    </row>
    <row r="316" spans="1:10" x14ac:dyDescent="0.35">
      <c r="A316" s="17">
        <v>45001</v>
      </c>
      <c r="B316" t="s">
        <v>8</v>
      </c>
      <c r="C316" t="s">
        <v>9</v>
      </c>
      <c r="D316" t="s">
        <v>23</v>
      </c>
      <c r="E316" t="s">
        <v>15</v>
      </c>
      <c r="F316">
        <v>4</v>
      </c>
      <c r="G316" t="s">
        <v>50</v>
      </c>
      <c r="H316">
        <v>52</v>
      </c>
      <c r="I316">
        <v>1256.3399999999999</v>
      </c>
      <c r="J316">
        <v>5025.3599999999997</v>
      </c>
    </row>
    <row r="317" spans="1:10" x14ac:dyDescent="0.35">
      <c r="A317" s="17">
        <v>45191</v>
      </c>
      <c r="B317" t="s">
        <v>20</v>
      </c>
      <c r="C317" t="s">
        <v>21</v>
      </c>
      <c r="D317" t="s">
        <v>34</v>
      </c>
      <c r="E317" t="s">
        <v>27</v>
      </c>
      <c r="F317">
        <v>11</v>
      </c>
      <c r="G317" t="s">
        <v>51</v>
      </c>
      <c r="H317">
        <v>53</v>
      </c>
      <c r="I317">
        <v>1065.6400000000001</v>
      </c>
      <c r="J317">
        <v>11722.04</v>
      </c>
    </row>
    <row r="318" spans="1:10" x14ac:dyDescent="0.35">
      <c r="A318" s="17">
        <v>44994</v>
      </c>
      <c r="B318" t="s">
        <v>8</v>
      </c>
      <c r="C318" t="s">
        <v>28</v>
      </c>
      <c r="D318" t="s">
        <v>32</v>
      </c>
      <c r="E318" t="s">
        <v>24</v>
      </c>
      <c r="F318">
        <v>15</v>
      </c>
      <c r="G318" t="s">
        <v>52</v>
      </c>
      <c r="H318">
        <v>35</v>
      </c>
      <c r="I318">
        <v>961.23</v>
      </c>
      <c r="J318">
        <v>14418.45</v>
      </c>
    </row>
    <row r="319" spans="1:10" x14ac:dyDescent="0.35">
      <c r="A319" s="17">
        <v>45071</v>
      </c>
      <c r="B319" t="s">
        <v>8</v>
      </c>
      <c r="C319" t="s">
        <v>28</v>
      </c>
      <c r="D319" t="s">
        <v>29</v>
      </c>
      <c r="E319" t="s">
        <v>11</v>
      </c>
      <c r="F319">
        <v>2</v>
      </c>
      <c r="G319" t="s">
        <v>53</v>
      </c>
      <c r="H319">
        <v>33</v>
      </c>
      <c r="I319">
        <v>2238.46</v>
      </c>
      <c r="J319">
        <v>4476.92</v>
      </c>
    </row>
    <row r="320" spans="1:10" x14ac:dyDescent="0.35">
      <c r="A320" s="17">
        <v>45107</v>
      </c>
      <c r="B320" t="s">
        <v>20</v>
      </c>
      <c r="C320" t="s">
        <v>21</v>
      </c>
      <c r="D320" t="s">
        <v>35</v>
      </c>
      <c r="E320" t="s">
        <v>24</v>
      </c>
      <c r="F320">
        <v>17</v>
      </c>
      <c r="G320" t="s">
        <v>54</v>
      </c>
      <c r="H320">
        <v>23</v>
      </c>
      <c r="I320">
        <v>1538.4</v>
      </c>
      <c r="J320">
        <v>26152.799999999999</v>
      </c>
    </row>
    <row r="321" spans="1:10" x14ac:dyDescent="0.35">
      <c r="A321" s="17">
        <v>45214</v>
      </c>
      <c r="B321" t="s">
        <v>8</v>
      </c>
      <c r="C321" t="s">
        <v>9</v>
      </c>
      <c r="D321" t="s">
        <v>31</v>
      </c>
      <c r="E321" t="s">
        <v>15</v>
      </c>
      <c r="F321">
        <v>17</v>
      </c>
      <c r="G321" t="s">
        <v>55</v>
      </c>
      <c r="H321">
        <v>19</v>
      </c>
      <c r="I321">
        <v>1307.24</v>
      </c>
      <c r="J321">
        <v>22223.08</v>
      </c>
    </row>
    <row r="322" spans="1:10" x14ac:dyDescent="0.35">
      <c r="A322" s="17">
        <v>45097</v>
      </c>
      <c r="B322" t="s">
        <v>20</v>
      </c>
      <c r="C322" t="s">
        <v>21</v>
      </c>
      <c r="D322" t="s">
        <v>22</v>
      </c>
      <c r="E322" t="s">
        <v>18</v>
      </c>
      <c r="F322">
        <v>1</v>
      </c>
      <c r="G322" t="s">
        <v>56</v>
      </c>
      <c r="H322">
        <v>26</v>
      </c>
      <c r="I322">
        <v>840.65</v>
      </c>
      <c r="J322">
        <v>840.65</v>
      </c>
    </row>
    <row r="323" spans="1:10" x14ac:dyDescent="0.35">
      <c r="A323" s="17">
        <v>44971</v>
      </c>
      <c r="B323" t="s">
        <v>8</v>
      </c>
      <c r="C323" t="s">
        <v>9</v>
      </c>
      <c r="D323" t="s">
        <v>10</v>
      </c>
      <c r="E323" t="s">
        <v>15</v>
      </c>
      <c r="F323">
        <v>15</v>
      </c>
      <c r="G323" t="s">
        <v>57</v>
      </c>
      <c r="H323">
        <v>22</v>
      </c>
      <c r="I323">
        <v>4822.26</v>
      </c>
      <c r="J323">
        <v>72333.899999999994</v>
      </c>
    </row>
    <row r="324" spans="1:10" x14ac:dyDescent="0.35">
      <c r="A324" s="17">
        <v>44989</v>
      </c>
      <c r="B324" t="s">
        <v>20</v>
      </c>
      <c r="C324" t="s">
        <v>21</v>
      </c>
      <c r="D324" t="s">
        <v>34</v>
      </c>
      <c r="E324" t="s">
        <v>11</v>
      </c>
      <c r="F324">
        <v>1</v>
      </c>
      <c r="G324" t="s">
        <v>58</v>
      </c>
      <c r="H324">
        <v>35</v>
      </c>
      <c r="I324">
        <v>3781.47</v>
      </c>
      <c r="J324">
        <v>3781.47</v>
      </c>
    </row>
    <row r="325" spans="1:10" x14ac:dyDescent="0.35">
      <c r="A325" s="17">
        <v>45083</v>
      </c>
      <c r="B325" t="s">
        <v>8</v>
      </c>
      <c r="C325" t="s">
        <v>28</v>
      </c>
      <c r="D325" t="s">
        <v>30</v>
      </c>
      <c r="E325" t="s">
        <v>24</v>
      </c>
      <c r="F325">
        <v>6</v>
      </c>
      <c r="G325" t="s">
        <v>59</v>
      </c>
      <c r="H325">
        <v>55</v>
      </c>
      <c r="I325">
        <v>3051.1</v>
      </c>
      <c r="J325">
        <v>18306.599999999999</v>
      </c>
    </row>
    <row r="326" spans="1:10" x14ac:dyDescent="0.35">
      <c r="A326" s="17">
        <v>45270</v>
      </c>
      <c r="B326" t="s">
        <v>12</v>
      </c>
      <c r="C326" t="s">
        <v>13</v>
      </c>
      <c r="D326" t="s">
        <v>26</v>
      </c>
      <c r="E326" t="s">
        <v>18</v>
      </c>
      <c r="F326">
        <v>10</v>
      </c>
      <c r="G326" t="s">
        <v>48</v>
      </c>
      <c r="H326">
        <v>39</v>
      </c>
      <c r="I326">
        <v>642.49</v>
      </c>
      <c r="J326">
        <v>6424.9</v>
      </c>
    </row>
    <row r="327" spans="1:10" x14ac:dyDescent="0.35">
      <c r="A327" s="17">
        <v>45264</v>
      </c>
      <c r="B327" t="s">
        <v>12</v>
      </c>
      <c r="C327" t="s">
        <v>13</v>
      </c>
      <c r="D327" t="s">
        <v>26</v>
      </c>
      <c r="E327" t="s">
        <v>18</v>
      </c>
      <c r="F327">
        <v>15</v>
      </c>
      <c r="G327" t="s">
        <v>49</v>
      </c>
      <c r="H327">
        <v>21</v>
      </c>
      <c r="I327">
        <v>2346.4</v>
      </c>
      <c r="J327">
        <v>35196</v>
      </c>
    </row>
    <row r="328" spans="1:10" x14ac:dyDescent="0.35">
      <c r="A328" s="17">
        <v>44958</v>
      </c>
      <c r="B328" t="s">
        <v>12</v>
      </c>
      <c r="C328" t="s">
        <v>13</v>
      </c>
      <c r="D328" t="s">
        <v>26</v>
      </c>
      <c r="E328" t="s">
        <v>11</v>
      </c>
      <c r="F328">
        <v>20</v>
      </c>
      <c r="G328" t="s">
        <v>50</v>
      </c>
      <c r="H328">
        <v>52</v>
      </c>
      <c r="I328">
        <v>1514.3</v>
      </c>
      <c r="J328">
        <v>30286</v>
      </c>
    </row>
    <row r="329" spans="1:10" x14ac:dyDescent="0.35">
      <c r="A329" s="17">
        <v>45105</v>
      </c>
      <c r="B329" t="s">
        <v>20</v>
      </c>
      <c r="C329" t="s">
        <v>21</v>
      </c>
      <c r="D329" t="s">
        <v>22</v>
      </c>
      <c r="E329" t="s">
        <v>24</v>
      </c>
      <c r="F329">
        <v>16</v>
      </c>
      <c r="G329" t="s">
        <v>51</v>
      </c>
      <c r="H329">
        <v>37</v>
      </c>
      <c r="I329">
        <v>4364.8999999999996</v>
      </c>
      <c r="J329">
        <v>69838.399999999994</v>
      </c>
    </row>
    <row r="330" spans="1:10" x14ac:dyDescent="0.35">
      <c r="A330" s="17">
        <v>45171</v>
      </c>
      <c r="B330" t="s">
        <v>8</v>
      </c>
      <c r="C330" t="s">
        <v>9</v>
      </c>
      <c r="D330" t="s">
        <v>23</v>
      </c>
      <c r="E330" t="s">
        <v>24</v>
      </c>
      <c r="F330">
        <v>2</v>
      </c>
      <c r="G330" t="s">
        <v>52</v>
      </c>
      <c r="H330">
        <v>27</v>
      </c>
      <c r="I330">
        <v>1695.6</v>
      </c>
      <c r="J330">
        <v>3391.2</v>
      </c>
    </row>
    <row r="331" spans="1:10" x14ac:dyDescent="0.35">
      <c r="A331" s="17">
        <v>45110</v>
      </c>
      <c r="B331" t="s">
        <v>12</v>
      </c>
      <c r="C331" t="s">
        <v>13</v>
      </c>
      <c r="D331" t="s">
        <v>14</v>
      </c>
      <c r="E331" t="s">
        <v>11</v>
      </c>
      <c r="F331">
        <v>18</v>
      </c>
      <c r="G331" t="s">
        <v>53</v>
      </c>
      <c r="H331">
        <v>45</v>
      </c>
      <c r="I331">
        <v>1968.87</v>
      </c>
      <c r="J331">
        <v>35439.660000000003</v>
      </c>
    </row>
    <row r="332" spans="1:10" x14ac:dyDescent="0.35">
      <c r="A332" s="17">
        <v>44978</v>
      </c>
      <c r="B332" t="s">
        <v>12</v>
      </c>
      <c r="C332" t="s">
        <v>13</v>
      </c>
      <c r="D332" t="s">
        <v>26</v>
      </c>
      <c r="E332" t="s">
        <v>11</v>
      </c>
      <c r="F332">
        <v>17</v>
      </c>
      <c r="G332" t="s">
        <v>54</v>
      </c>
      <c r="H332">
        <v>16</v>
      </c>
      <c r="I332">
        <v>1777.42</v>
      </c>
      <c r="J332">
        <v>30216.14</v>
      </c>
    </row>
    <row r="333" spans="1:10" x14ac:dyDescent="0.35">
      <c r="A333" s="17">
        <v>45201</v>
      </c>
      <c r="B333" t="s">
        <v>12</v>
      </c>
      <c r="C333" t="s">
        <v>13</v>
      </c>
      <c r="D333" t="s">
        <v>14</v>
      </c>
      <c r="E333" t="s">
        <v>11</v>
      </c>
      <c r="F333">
        <v>19</v>
      </c>
      <c r="G333" t="s">
        <v>55</v>
      </c>
      <c r="H333">
        <v>35</v>
      </c>
      <c r="I333">
        <v>1564.94</v>
      </c>
      <c r="J333">
        <v>29733.86</v>
      </c>
    </row>
    <row r="334" spans="1:10" x14ac:dyDescent="0.35">
      <c r="A334" s="17">
        <v>45022</v>
      </c>
      <c r="B334" t="s">
        <v>8</v>
      </c>
      <c r="C334" t="s">
        <v>28</v>
      </c>
      <c r="D334" t="s">
        <v>30</v>
      </c>
      <c r="E334" t="s">
        <v>27</v>
      </c>
      <c r="F334">
        <v>7</v>
      </c>
      <c r="G334" t="s">
        <v>56</v>
      </c>
      <c r="H334">
        <v>53</v>
      </c>
      <c r="I334">
        <v>1205.8900000000001</v>
      </c>
      <c r="J334">
        <v>8441.23</v>
      </c>
    </row>
    <row r="335" spans="1:10" x14ac:dyDescent="0.35">
      <c r="A335" s="17">
        <v>45051</v>
      </c>
      <c r="B335" t="s">
        <v>12</v>
      </c>
      <c r="C335" t="s">
        <v>16</v>
      </c>
      <c r="D335" t="s">
        <v>25</v>
      </c>
      <c r="E335" t="s">
        <v>11</v>
      </c>
      <c r="F335">
        <v>7</v>
      </c>
      <c r="G335" t="s">
        <v>57</v>
      </c>
      <c r="H335">
        <v>20</v>
      </c>
      <c r="I335">
        <v>4530.8100000000004</v>
      </c>
      <c r="J335">
        <v>31715.67</v>
      </c>
    </row>
    <row r="336" spans="1:10" x14ac:dyDescent="0.35">
      <c r="A336" s="17">
        <v>45008</v>
      </c>
      <c r="B336" t="s">
        <v>12</v>
      </c>
      <c r="C336" t="s">
        <v>16</v>
      </c>
      <c r="D336" t="s">
        <v>19</v>
      </c>
      <c r="E336" t="s">
        <v>15</v>
      </c>
      <c r="F336">
        <v>13</v>
      </c>
      <c r="G336" t="s">
        <v>58</v>
      </c>
      <c r="H336">
        <v>51</v>
      </c>
      <c r="I336">
        <v>3568.86</v>
      </c>
      <c r="J336">
        <v>46395.18</v>
      </c>
    </row>
    <row r="337" spans="1:10" x14ac:dyDescent="0.35">
      <c r="A337" s="17">
        <v>45164</v>
      </c>
      <c r="B337" t="s">
        <v>12</v>
      </c>
      <c r="C337" t="s">
        <v>16</v>
      </c>
      <c r="D337" t="s">
        <v>17</v>
      </c>
      <c r="E337" t="s">
        <v>24</v>
      </c>
      <c r="F337">
        <v>10</v>
      </c>
      <c r="G337" t="s">
        <v>59</v>
      </c>
      <c r="H337">
        <v>34</v>
      </c>
      <c r="I337">
        <v>2349.2399999999998</v>
      </c>
      <c r="J337">
        <v>23492.400000000001</v>
      </c>
    </row>
    <row r="338" spans="1:10" x14ac:dyDescent="0.35">
      <c r="A338" s="17">
        <v>44992</v>
      </c>
      <c r="B338" t="s">
        <v>8</v>
      </c>
      <c r="C338" t="s">
        <v>28</v>
      </c>
      <c r="D338" t="s">
        <v>30</v>
      </c>
      <c r="E338" t="s">
        <v>15</v>
      </c>
      <c r="F338">
        <v>16</v>
      </c>
      <c r="G338" t="s">
        <v>48</v>
      </c>
      <c r="H338">
        <v>50</v>
      </c>
      <c r="I338">
        <v>1025.8</v>
      </c>
      <c r="J338">
        <v>16412.8</v>
      </c>
    </row>
    <row r="339" spans="1:10" x14ac:dyDescent="0.35">
      <c r="A339" s="17">
        <v>45015</v>
      </c>
      <c r="B339" t="s">
        <v>20</v>
      </c>
      <c r="C339" t="s">
        <v>21</v>
      </c>
      <c r="D339" t="s">
        <v>22</v>
      </c>
      <c r="E339" t="s">
        <v>27</v>
      </c>
      <c r="F339">
        <v>3</v>
      </c>
      <c r="G339" t="s">
        <v>49</v>
      </c>
      <c r="H339">
        <v>16</v>
      </c>
      <c r="I339">
        <v>4608.8900000000003</v>
      </c>
      <c r="J339">
        <v>13826.67</v>
      </c>
    </row>
    <row r="340" spans="1:10" x14ac:dyDescent="0.35">
      <c r="A340" s="17">
        <v>45003</v>
      </c>
      <c r="B340" t="s">
        <v>20</v>
      </c>
      <c r="C340" t="s">
        <v>21</v>
      </c>
      <c r="D340" t="s">
        <v>35</v>
      </c>
      <c r="E340" t="s">
        <v>15</v>
      </c>
      <c r="F340">
        <v>5</v>
      </c>
      <c r="G340" t="s">
        <v>50</v>
      </c>
      <c r="H340">
        <v>19</v>
      </c>
      <c r="I340">
        <v>2681.34</v>
      </c>
      <c r="J340">
        <v>13406.7</v>
      </c>
    </row>
    <row r="341" spans="1:10" x14ac:dyDescent="0.35">
      <c r="A341" s="17">
        <v>45254</v>
      </c>
      <c r="B341" t="s">
        <v>12</v>
      </c>
      <c r="C341" t="s">
        <v>16</v>
      </c>
      <c r="D341" t="s">
        <v>25</v>
      </c>
      <c r="E341" t="s">
        <v>24</v>
      </c>
      <c r="F341">
        <v>5</v>
      </c>
      <c r="G341" t="s">
        <v>51</v>
      </c>
      <c r="H341">
        <v>29</v>
      </c>
      <c r="I341">
        <v>2481.2199999999998</v>
      </c>
      <c r="J341">
        <v>12406.1</v>
      </c>
    </row>
    <row r="342" spans="1:10" x14ac:dyDescent="0.35">
      <c r="A342" s="17">
        <v>45035</v>
      </c>
      <c r="B342" t="s">
        <v>12</v>
      </c>
      <c r="C342" t="s">
        <v>16</v>
      </c>
      <c r="D342" t="s">
        <v>19</v>
      </c>
      <c r="E342" t="s">
        <v>24</v>
      </c>
      <c r="F342">
        <v>13</v>
      </c>
      <c r="G342" t="s">
        <v>52</v>
      </c>
      <c r="H342">
        <v>55</v>
      </c>
      <c r="I342">
        <v>4911.57</v>
      </c>
      <c r="J342">
        <v>63850.41</v>
      </c>
    </row>
    <row r="343" spans="1:10" x14ac:dyDescent="0.35">
      <c r="A343" s="17">
        <v>44964</v>
      </c>
      <c r="B343" t="s">
        <v>12</v>
      </c>
      <c r="C343" t="s">
        <v>13</v>
      </c>
      <c r="D343" t="s">
        <v>33</v>
      </c>
      <c r="E343" t="s">
        <v>11</v>
      </c>
      <c r="F343">
        <v>4</v>
      </c>
      <c r="G343" t="s">
        <v>53</v>
      </c>
      <c r="H343">
        <v>51</v>
      </c>
      <c r="I343">
        <v>4337.09</v>
      </c>
      <c r="J343">
        <v>17348.36</v>
      </c>
    </row>
    <row r="344" spans="1:10" x14ac:dyDescent="0.35">
      <c r="A344" s="17">
        <v>45205</v>
      </c>
      <c r="B344" t="s">
        <v>8</v>
      </c>
      <c r="C344" t="s">
        <v>28</v>
      </c>
      <c r="D344" t="s">
        <v>30</v>
      </c>
      <c r="E344" t="s">
        <v>18</v>
      </c>
      <c r="F344">
        <v>4</v>
      </c>
      <c r="G344" t="s">
        <v>54</v>
      </c>
      <c r="H344">
        <v>50</v>
      </c>
      <c r="I344">
        <v>4317.2</v>
      </c>
      <c r="J344">
        <v>17268.8</v>
      </c>
    </row>
    <row r="345" spans="1:10" x14ac:dyDescent="0.35">
      <c r="A345" s="17">
        <v>44989</v>
      </c>
      <c r="B345" t="s">
        <v>12</v>
      </c>
      <c r="C345" t="s">
        <v>16</v>
      </c>
      <c r="D345" t="s">
        <v>17</v>
      </c>
      <c r="E345" t="s">
        <v>27</v>
      </c>
      <c r="F345">
        <v>13</v>
      </c>
      <c r="G345" t="s">
        <v>55</v>
      </c>
      <c r="H345">
        <v>36</v>
      </c>
      <c r="I345">
        <v>2693.09</v>
      </c>
      <c r="J345">
        <v>35010.17</v>
      </c>
    </row>
    <row r="346" spans="1:10" x14ac:dyDescent="0.35">
      <c r="A346" s="17">
        <v>45090</v>
      </c>
      <c r="B346" t="s">
        <v>12</v>
      </c>
      <c r="C346" t="s">
        <v>13</v>
      </c>
      <c r="D346" t="s">
        <v>14</v>
      </c>
      <c r="E346" t="s">
        <v>11</v>
      </c>
      <c r="F346">
        <v>5</v>
      </c>
      <c r="G346" t="s">
        <v>56</v>
      </c>
      <c r="H346">
        <v>16</v>
      </c>
      <c r="I346">
        <v>3701.17</v>
      </c>
      <c r="J346">
        <v>18505.849999999999</v>
      </c>
    </row>
    <row r="347" spans="1:10" x14ac:dyDescent="0.35">
      <c r="A347" s="17">
        <v>45236</v>
      </c>
      <c r="B347" t="s">
        <v>12</v>
      </c>
      <c r="C347" t="s">
        <v>16</v>
      </c>
      <c r="D347" t="s">
        <v>19</v>
      </c>
      <c r="E347" t="s">
        <v>27</v>
      </c>
      <c r="F347">
        <v>1</v>
      </c>
      <c r="G347" t="s">
        <v>57</v>
      </c>
      <c r="H347">
        <v>48</v>
      </c>
      <c r="I347">
        <v>585.58000000000004</v>
      </c>
      <c r="J347">
        <v>585.58000000000004</v>
      </c>
    </row>
    <row r="348" spans="1:10" x14ac:dyDescent="0.35">
      <c r="A348" s="17">
        <v>45201</v>
      </c>
      <c r="B348" t="s">
        <v>12</v>
      </c>
      <c r="C348" t="s">
        <v>13</v>
      </c>
      <c r="D348" t="s">
        <v>26</v>
      </c>
      <c r="E348" t="s">
        <v>27</v>
      </c>
      <c r="F348">
        <v>16</v>
      </c>
      <c r="G348" t="s">
        <v>58</v>
      </c>
      <c r="H348">
        <v>49</v>
      </c>
      <c r="I348">
        <v>4720.2299999999996</v>
      </c>
      <c r="J348">
        <v>75523.679999999993</v>
      </c>
    </row>
    <row r="349" spans="1:10" x14ac:dyDescent="0.35">
      <c r="A349" s="17">
        <v>45085</v>
      </c>
      <c r="B349" t="s">
        <v>8</v>
      </c>
      <c r="C349" t="s">
        <v>28</v>
      </c>
      <c r="D349" t="s">
        <v>29</v>
      </c>
      <c r="E349" t="s">
        <v>27</v>
      </c>
      <c r="F349">
        <v>15</v>
      </c>
      <c r="G349" t="s">
        <v>59</v>
      </c>
      <c r="H349">
        <v>32</v>
      </c>
      <c r="I349">
        <v>2514.9499999999998</v>
      </c>
      <c r="J349">
        <v>37724.25</v>
      </c>
    </row>
    <row r="350" spans="1:10" x14ac:dyDescent="0.35">
      <c r="A350" s="17">
        <v>44931</v>
      </c>
      <c r="B350" t="s">
        <v>12</v>
      </c>
      <c r="C350" t="s">
        <v>16</v>
      </c>
      <c r="D350" t="s">
        <v>19</v>
      </c>
      <c r="E350" t="s">
        <v>15</v>
      </c>
      <c r="F350">
        <v>10</v>
      </c>
      <c r="G350" t="s">
        <v>48</v>
      </c>
      <c r="H350">
        <v>44</v>
      </c>
      <c r="I350">
        <v>772.21</v>
      </c>
      <c r="J350">
        <v>7722.1</v>
      </c>
    </row>
    <row r="351" spans="1:10" x14ac:dyDescent="0.35">
      <c r="A351" s="17">
        <v>45209</v>
      </c>
      <c r="B351" t="s">
        <v>12</v>
      </c>
      <c r="C351" t="s">
        <v>13</v>
      </c>
      <c r="D351" t="s">
        <v>14</v>
      </c>
      <c r="E351" t="s">
        <v>27</v>
      </c>
      <c r="F351">
        <v>7</v>
      </c>
      <c r="G351" t="s">
        <v>49</v>
      </c>
      <c r="H351">
        <v>36</v>
      </c>
      <c r="I351">
        <v>702.24</v>
      </c>
      <c r="J351">
        <v>4915.68</v>
      </c>
    </row>
    <row r="352" spans="1:10" x14ac:dyDescent="0.35">
      <c r="A352" s="17">
        <v>44978</v>
      </c>
      <c r="B352" t="s">
        <v>8</v>
      </c>
      <c r="C352" t="s">
        <v>9</v>
      </c>
      <c r="D352" t="s">
        <v>10</v>
      </c>
      <c r="E352" t="s">
        <v>24</v>
      </c>
      <c r="F352">
        <v>4</v>
      </c>
      <c r="G352" t="s">
        <v>50</v>
      </c>
      <c r="H352">
        <v>44</v>
      </c>
      <c r="I352">
        <v>1831.79</v>
      </c>
      <c r="J352">
        <v>7327.16</v>
      </c>
    </row>
    <row r="353" spans="1:10" x14ac:dyDescent="0.35">
      <c r="A353" s="17">
        <v>45199</v>
      </c>
      <c r="B353" t="s">
        <v>8</v>
      </c>
      <c r="C353" t="s">
        <v>9</v>
      </c>
      <c r="D353" t="s">
        <v>31</v>
      </c>
      <c r="E353" t="s">
        <v>18</v>
      </c>
      <c r="F353">
        <v>12</v>
      </c>
      <c r="G353" t="s">
        <v>51</v>
      </c>
      <c r="H353">
        <v>38</v>
      </c>
      <c r="I353">
        <v>3895.88</v>
      </c>
      <c r="J353">
        <v>46750.559999999998</v>
      </c>
    </row>
    <row r="354" spans="1:10" x14ac:dyDescent="0.35">
      <c r="A354" s="17">
        <v>45219</v>
      </c>
      <c r="B354" t="s">
        <v>8</v>
      </c>
      <c r="C354" t="s">
        <v>28</v>
      </c>
      <c r="D354" t="s">
        <v>30</v>
      </c>
      <c r="E354" t="s">
        <v>11</v>
      </c>
      <c r="F354">
        <v>12</v>
      </c>
      <c r="G354" t="s">
        <v>52</v>
      </c>
      <c r="H354">
        <v>22</v>
      </c>
      <c r="I354">
        <v>2208.4899999999998</v>
      </c>
      <c r="J354">
        <v>26501.88</v>
      </c>
    </row>
    <row r="355" spans="1:10" x14ac:dyDescent="0.35">
      <c r="A355" s="17">
        <v>45180</v>
      </c>
      <c r="B355" t="s">
        <v>8</v>
      </c>
      <c r="C355" t="s">
        <v>9</v>
      </c>
      <c r="D355" t="s">
        <v>23</v>
      </c>
      <c r="E355" t="s">
        <v>15</v>
      </c>
      <c r="F355">
        <v>3</v>
      </c>
      <c r="G355" t="s">
        <v>53</v>
      </c>
      <c r="H355">
        <v>51</v>
      </c>
      <c r="I355">
        <v>116.58</v>
      </c>
      <c r="J355">
        <v>349.74</v>
      </c>
    </row>
    <row r="356" spans="1:10" x14ac:dyDescent="0.35">
      <c r="A356" s="17">
        <v>45089</v>
      </c>
      <c r="B356" t="s">
        <v>20</v>
      </c>
      <c r="C356" t="s">
        <v>21</v>
      </c>
      <c r="D356" t="s">
        <v>35</v>
      </c>
      <c r="E356" t="s">
        <v>18</v>
      </c>
      <c r="F356">
        <v>3</v>
      </c>
      <c r="G356" t="s">
        <v>54</v>
      </c>
      <c r="H356">
        <v>26</v>
      </c>
      <c r="I356">
        <v>4171.91</v>
      </c>
      <c r="J356">
        <v>12515.73</v>
      </c>
    </row>
    <row r="357" spans="1:10" x14ac:dyDescent="0.35">
      <c r="A357" s="17">
        <v>44933</v>
      </c>
      <c r="B357" t="s">
        <v>12</v>
      </c>
      <c r="C357" t="s">
        <v>13</v>
      </c>
      <c r="D357" t="s">
        <v>14</v>
      </c>
      <c r="E357" t="s">
        <v>11</v>
      </c>
      <c r="F357">
        <v>8</v>
      </c>
      <c r="G357" t="s">
        <v>55</v>
      </c>
      <c r="H357">
        <v>53</v>
      </c>
      <c r="I357">
        <v>4201.6899999999996</v>
      </c>
      <c r="J357">
        <v>33613.519999999997</v>
      </c>
    </row>
    <row r="358" spans="1:10" x14ac:dyDescent="0.35">
      <c r="A358" s="17">
        <v>45119</v>
      </c>
      <c r="B358" t="s">
        <v>8</v>
      </c>
      <c r="C358" t="s">
        <v>28</v>
      </c>
      <c r="D358" t="s">
        <v>32</v>
      </c>
      <c r="E358" t="s">
        <v>15</v>
      </c>
      <c r="F358">
        <v>1</v>
      </c>
      <c r="G358" t="s">
        <v>56</v>
      </c>
      <c r="H358">
        <v>23</v>
      </c>
      <c r="I358">
        <v>2716.98</v>
      </c>
      <c r="J358">
        <v>2716.98</v>
      </c>
    </row>
    <row r="359" spans="1:10" x14ac:dyDescent="0.35">
      <c r="A359" s="17">
        <v>45024</v>
      </c>
      <c r="B359" t="s">
        <v>8</v>
      </c>
      <c r="C359" t="s">
        <v>9</v>
      </c>
      <c r="D359" t="s">
        <v>10</v>
      </c>
      <c r="E359" t="s">
        <v>15</v>
      </c>
      <c r="F359">
        <v>1</v>
      </c>
      <c r="G359" t="s">
        <v>57</v>
      </c>
      <c r="H359">
        <v>34</v>
      </c>
      <c r="I359">
        <v>3847.65</v>
      </c>
      <c r="J359">
        <v>3847.65</v>
      </c>
    </row>
    <row r="360" spans="1:10" x14ac:dyDescent="0.35">
      <c r="A360" s="17">
        <v>45167</v>
      </c>
      <c r="B360" t="s">
        <v>8</v>
      </c>
      <c r="C360" t="s">
        <v>9</v>
      </c>
      <c r="D360" t="s">
        <v>10</v>
      </c>
      <c r="E360" t="s">
        <v>11</v>
      </c>
      <c r="F360">
        <v>2</v>
      </c>
      <c r="G360" t="s">
        <v>58</v>
      </c>
      <c r="H360">
        <v>22</v>
      </c>
      <c r="I360">
        <v>816.12</v>
      </c>
      <c r="J360">
        <v>1632.24</v>
      </c>
    </row>
    <row r="361" spans="1:10" x14ac:dyDescent="0.35">
      <c r="A361" s="17">
        <v>45144</v>
      </c>
      <c r="B361" t="s">
        <v>20</v>
      </c>
      <c r="C361" t="s">
        <v>21</v>
      </c>
      <c r="D361" t="s">
        <v>34</v>
      </c>
      <c r="E361" t="s">
        <v>27</v>
      </c>
      <c r="F361">
        <v>12</v>
      </c>
      <c r="G361" t="s">
        <v>59</v>
      </c>
      <c r="H361">
        <v>16</v>
      </c>
      <c r="I361">
        <v>1304.81</v>
      </c>
      <c r="J361">
        <v>15657.72</v>
      </c>
    </row>
    <row r="362" spans="1:10" x14ac:dyDescent="0.35">
      <c r="A362" s="17">
        <v>45243</v>
      </c>
      <c r="B362" t="s">
        <v>8</v>
      </c>
      <c r="C362" t="s">
        <v>9</v>
      </c>
      <c r="D362" t="s">
        <v>31</v>
      </c>
      <c r="E362" t="s">
        <v>18</v>
      </c>
      <c r="F362">
        <v>3</v>
      </c>
      <c r="G362" t="s">
        <v>48</v>
      </c>
      <c r="H362">
        <v>23</v>
      </c>
      <c r="I362">
        <v>2214.86</v>
      </c>
      <c r="J362">
        <v>6644.58</v>
      </c>
    </row>
    <row r="363" spans="1:10" x14ac:dyDescent="0.35">
      <c r="A363" s="17">
        <v>45165</v>
      </c>
      <c r="B363" t="s">
        <v>20</v>
      </c>
      <c r="C363" t="s">
        <v>21</v>
      </c>
      <c r="D363" t="s">
        <v>34</v>
      </c>
      <c r="E363" t="s">
        <v>24</v>
      </c>
      <c r="F363">
        <v>14</v>
      </c>
      <c r="G363" t="s">
        <v>49</v>
      </c>
      <c r="H363">
        <v>24</v>
      </c>
      <c r="I363">
        <v>1094.1400000000001</v>
      </c>
      <c r="J363">
        <v>15317.96</v>
      </c>
    </row>
    <row r="364" spans="1:10" x14ac:dyDescent="0.35">
      <c r="A364" s="17">
        <v>45195</v>
      </c>
      <c r="B364" t="s">
        <v>8</v>
      </c>
      <c r="C364" t="s">
        <v>28</v>
      </c>
      <c r="D364" t="s">
        <v>30</v>
      </c>
      <c r="E364" t="s">
        <v>15</v>
      </c>
      <c r="F364">
        <v>4</v>
      </c>
      <c r="G364" t="s">
        <v>50</v>
      </c>
      <c r="H364">
        <v>17</v>
      </c>
      <c r="I364">
        <v>4697.07</v>
      </c>
      <c r="J364">
        <v>18788.28</v>
      </c>
    </row>
    <row r="365" spans="1:10" x14ac:dyDescent="0.35">
      <c r="A365" s="17">
        <v>45213</v>
      </c>
      <c r="B365" t="s">
        <v>8</v>
      </c>
      <c r="C365" t="s">
        <v>9</v>
      </c>
      <c r="D365" t="s">
        <v>23</v>
      </c>
      <c r="E365" t="s">
        <v>18</v>
      </c>
      <c r="F365">
        <v>5</v>
      </c>
      <c r="G365" t="s">
        <v>51</v>
      </c>
      <c r="H365">
        <v>42</v>
      </c>
      <c r="I365">
        <v>1141.32</v>
      </c>
      <c r="J365">
        <v>5706.6</v>
      </c>
    </row>
    <row r="366" spans="1:10" x14ac:dyDescent="0.35">
      <c r="A366" s="17">
        <v>44991</v>
      </c>
      <c r="B366" t="s">
        <v>8</v>
      </c>
      <c r="C366" t="s">
        <v>28</v>
      </c>
      <c r="D366" t="s">
        <v>29</v>
      </c>
      <c r="E366" t="s">
        <v>24</v>
      </c>
      <c r="F366">
        <v>18</v>
      </c>
      <c r="G366" t="s">
        <v>52</v>
      </c>
      <c r="H366">
        <v>38</v>
      </c>
      <c r="I366">
        <v>814.69</v>
      </c>
      <c r="J366">
        <v>14664.42</v>
      </c>
    </row>
    <row r="367" spans="1:10" x14ac:dyDescent="0.35">
      <c r="A367" s="17">
        <v>45238</v>
      </c>
      <c r="B367" t="s">
        <v>8</v>
      </c>
      <c r="C367" t="s">
        <v>28</v>
      </c>
      <c r="D367" t="s">
        <v>29</v>
      </c>
      <c r="E367" t="s">
        <v>18</v>
      </c>
      <c r="F367">
        <v>19</v>
      </c>
      <c r="G367" t="s">
        <v>53</v>
      </c>
      <c r="H367">
        <v>32</v>
      </c>
      <c r="I367">
        <v>2743.67</v>
      </c>
      <c r="J367">
        <v>52129.73</v>
      </c>
    </row>
    <row r="368" spans="1:10" x14ac:dyDescent="0.35">
      <c r="A368" s="17">
        <v>45290</v>
      </c>
      <c r="B368" t="s">
        <v>12</v>
      </c>
      <c r="C368" t="s">
        <v>16</v>
      </c>
      <c r="D368" t="s">
        <v>25</v>
      </c>
      <c r="E368" t="s">
        <v>11</v>
      </c>
      <c r="F368">
        <v>3</v>
      </c>
      <c r="G368" t="s">
        <v>54</v>
      </c>
      <c r="H368">
        <v>18</v>
      </c>
      <c r="I368">
        <v>2961.96</v>
      </c>
      <c r="J368">
        <v>8885.8799999999992</v>
      </c>
    </row>
    <row r="369" spans="1:10" x14ac:dyDescent="0.35">
      <c r="A369" s="17">
        <v>45133</v>
      </c>
      <c r="B369" t="s">
        <v>8</v>
      </c>
      <c r="C369" t="s">
        <v>9</v>
      </c>
      <c r="D369" t="s">
        <v>31</v>
      </c>
      <c r="E369" t="s">
        <v>24</v>
      </c>
      <c r="F369">
        <v>16</v>
      </c>
      <c r="G369" t="s">
        <v>55</v>
      </c>
      <c r="H369">
        <v>34</v>
      </c>
      <c r="I369">
        <v>2882.65</v>
      </c>
      <c r="J369">
        <v>46122.400000000001</v>
      </c>
    </row>
    <row r="370" spans="1:10" x14ac:dyDescent="0.35">
      <c r="A370" s="17">
        <v>45040</v>
      </c>
      <c r="B370" t="s">
        <v>8</v>
      </c>
      <c r="C370" t="s">
        <v>9</v>
      </c>
      <c r="D370" t="s">
        <v>23</v>
      </c>
      <c r="E370" t="s">
        <v>24</v>
      </c>
      <c r="F370">
        <v>7</v>
      </c>
      <c r="G370" t="s">
        <v>56</v>
      </c>
      <c r="H370">
        <v>40</v>
      </c>
      <c r="I370">
        <v>1905.14</v>
      </c>
      <c r="J370">
        <v>13335.98</v>
      </c>
    </row>
    <row r="371" spans="1:10" x14ac:dyDescent="0.35">
      <c r="A371" s="17">
        <v>44994</v>
      </c>
      <c r="B371" t="s">
        <v>20</v>
      </c>
      <c r="C371" t="s">
        <v>21</v>
      </c>
      <c r="D371" t="s">
        <v>35</v>
      </c>
      <c r="E371" t="s">
        <v>27</v>
      </c>
      <c r="F371">
        <v>5</v>
      </c>
      <c r="G371" t="s">
        <v>57</v>
      </c>
      <c r="H371">
        <v>33</v>
      </c>
      <c r="I371">
        <v>912.33</v>
      </c>
      <c r="J371">
        <v>4561.6499999999996</v>
      </c>
    </row>
    <row r="372" spans="1:10" x14ac:dyDescent="0.35">
      <c r="A372" s="17">
        <v>44968</v>
      </c>
      <c r="B372" t="s">
        <v>8</v>
      </c>
      <c r="C372" t="s">
        <v>9</v>
      </c>
      <c r="D372" t="s">
        <v>31</v>
      </c>
      <c r="E372" t="s">
        <v>15</v>
      </c>
      <c r="F372">
        <v>13</v>
      </c>
      <c r="G372" t="s">
        <v>58</v>
      </c>
      <c r="H372">
        <v>27</v>
      </c>
      <c r="I372">
        <v>2745.75</v>
      </c>
      <c r="J372">
        <v>35694.75</v>
      </c>
    </row>
    <row r="373" spans="1:10" x14ac:dyDescent="0.35">
      <c r="A373" s="17">
        <v>45274</v>
      </c>
      <c r="B373" t="s">
        <v>12</v>
      </c>
      <c r="C373" t="s">
        <v>13</v>
      </c>
      <c r="D373" t="s">
        <v>33</v>
      </c>
      <c r="E373" t="s">
        <v>24</v>
      </c>
      <c r="F373">
        <v>10</v>
      </c>
      <c r="G373" t="s">
        <v>59</v>
      </c>
      <c r="H373">
        <v>20</v>
      </c>
      <c r="I373">
        <v>222.55</v>
      </c>
      <c r="J373">
        <v>2225.5</v>
      </c>
    </row>
    <row r="374" spans="1:10" x14ac:dyDescent="0.35">
      <c r="A374" s="17">
        <v>45141</v>
      </c>
      <c r="B374" t="s">
        <v>12</v>
      </c>
      <c r="C374" t="s">
        <v>13</v>
      </c>
      <c r="D374" t="s">
        <v>26</v>
      </c>
      <c r="E374" t="s">
        <v>27</v>
      </c>
      <c r="F374">
        <v>15</v>
      </c>
      <c r="G374" t="s">
        <v>48</v>
      </c>
      <c r="H374">
        <v>29</v>
      </c>
      <c r="I374">
        <v>624.87</v>
      </c>
      <c r="J374">
        <v>9373.0499999999993</v>
      </c>
    </row>
    <row r="375" spans="1:10" x14ac:dyDescent="0.35">
      <c r="A375" s="17">
        <v>44993</v>
      </c>
      <c r="B375" t="s">
        <v>8</v>
      </c>
      <c r="C375" t="s">
        <v>28</v>
      </c>
      <c r="D375" t="s">
        <v>29</v>
      </c>
      <c r="E375" t="s">
        <v>15</v>
      </c>
      <c r="F375">
        <v>2</v>
      </c>
      <c r="G375" t="s">
        <v>49</v>
      </c>
      <c r="H375">
        <v>39</v>
      </c>
      <c r="I375">
        <v>3825.5</v>
      </c>
      <c r="J375">
        <v>7651</v>
      </c>
    </row>
    <row r="376" spans="1:10" x14ac:dyDescent="0.35">
      <c r="A376" s="17">
        <v>45016</v>
      </c>
      <c r="B376" t="s">
        <v>20</v>
      </c>
      <c r="C376" t="s">
        <v>21</v>
      </c>
      <c r="D376" t="s">
        <v>22</v>
      </c>
      <c r="E376" t="s">
        <v>15</v>
      </c>
      <c r="F376">
        <v>5</v>
      </c>
      <c r="G376" t="s">
        <v>50</v>
      </c>
      <c r="H376">
        <v>19</v>
      </c>
      <c r="I376">
        <v>2846.34</v>
      </c>
      <c r="J376">
        <v>14231.7</v>
      </c>
    </row>
    <row r="377" spans="1:10" x14ac:dyDescent="0.35">
      <c r="A377" s="17">
        <v>45060</v>
      </c>
      <c r="B377" t="s">
        <v>12</v>
      </c>
      <c r="C377" t="s">
        <v>16</v>
      </c>
      <c r="D377" t="s">
        <v>17</v>
      </c>
      <c r="E377" t="s">
        <v>15</v>
      </c>
      <c r="F377">
        <v>3</v>
      </c>
      <c r="G377" t="s">
        <v>51</v>
      </c>
      <c r="H377">
        <v>49</v>
      </c>
      <c r="I377">
        <v>1205.6199999999999</v>
      </c>
      <c r="J377">
        <v>3616.86</v>
      </c>
    </row>
    <row r="378" spans="1:10" x14ac:dyDescent="0.35">
      <c r="A378" s="17">
        <v>45253</v>
      </c>
      <c r="B378" t="s">
        <v>8</v>
      </c>
      <c r="C378" t="s">
        <v>28</v>
      </c>
      <c r="D378" t="s">
        <v>30</v>
      </c>
      <c r="E378" t="s">
        <v>18</v>
      </c>
      <c r="F378">
        <v>9</v>
      </c>
      <c r="G378" t="s">
        <v>52</v>
      </c>
      <c r="H378">
        <v>31</v>
      </c>
      <c r="I378">
        <v>851.87</v>
      </c>
      <c r="J378">
        <v>7666.83</v>
      </c>
    </row>
    <row r="379" spans="1:10" x14ac:dyDescent="0.35">
      <c r="A379" s="17">
        <v>45023</v>
      </c>
      <c r="B379" t="s">
        <v>12</v>
      </c>
      <c r="C379" t="s">
        <v>13</v>
      </c>
      <c r="D379" t="s">
        <v>14</v>
      </c>
      <c r="E379" t="s">
        <v>15</v>
      </c>
      <c r="F379">
        <v>7</v>
      </c>
      <c r="G379" t="s">
        <v>53</v>
      </c>
      <c r="H379">
        <v>55</v>
      </c>
      <c r="I379">
        <v>1849.17</v>
      </c>
      <c r="J379">
        <v>12944.19</v>
      </c>
    </row>
    <row r="380" spans="1:10" x14ac:dyDescent="0.35">
      <c r="A380" s="17">
        <v>45076</v>
      </c>
      <c r="B380" t="s">
        <v>20</v>
      </c>
      <c r="C380" t="s">
        <v>21</v>
      </c>
      <c r="D380" t="s">
        <v>34</v>
      </c>
      <c r="E380" t="s">
        <v>27</v>
      </c>
      <c r="F380">
        <v>2</v>
      </c>
      <c r="G380" t="s">
        <v>54</v>
      </c>
      <c r="H380">
        <v>50</v>
      </c>
      <c r="I380">
        <v>2119.5100000000002</v>
      </c>
      <c r="J380">
        <v>4239.0200000000004</v>
      </c>
    </row>
    <row r="381" spans="1:10" x14ac:dyDescent="0.35">
      <c r="A381" s="17">
        <v>45159</v>
      </c>
      <c r="B381" t="s">
        <v>12</v>
      </c>
      <c r="C381" t="s">
        <v>16</v>
      </c>
      <c r="D381" t="s">
        <v>17</v>
      </c>
      <c r="E381" t="s">
        <v>15</v>
      </c>
      <c r="F381">
        <v>1</v>
      </c>
      <c r="G381" t="s">
        <v>55</v>
      </c>
      <c r="H381">
        <v>41</v>
      </c>
      <c r="I381">
        <v>421.27</v>
      </c>
      <c r="J381">
        <v>421.27</v>
      </c>
    </row>
    <row r="382" spans="1:10" x14ac:dyDescent="0.35">
      <c r="A382" s="17">
        <v>45003</v>
      </c>
      <c r="B382" t="s">
        <v>12</v>
      </c>
      <c r="C382" t="s">
        <v>13</v>
      </c>
      <c r="D382" t="s">
        <v>26</v>
      </c>
      <c r="E382" t="s">
        <v>11</v>
      </c>
      <c r="F382">
        <v>14</v>
      </c>
      <c r="G382" t="s">
        <v>56</v>
      </c>
      <c r="H382">
        <v>46</v>
      </c>
      <c r="I382">
        <v>2746.27</v>
      </c>
      <c r="J382">
        <v>38447.78</v>
      </c>
    </row>
    <row r="383" spans="1:10" x14ac:dyDescent="0.35">
      <c r="A383" s="17">
        <v>45214</v>
      </c>
      <c r="B383" t="s">
        <v>8</v>
      </c>
      <c r="C383" t="s">
        <v>28</v>
      </c>
      <c r="D383" t="s">
        <v>29</v>
      </c>
      <c r="E383" t="s">
        <v>24</v>
      </c>
      <c r="F383">
        <v>18</v>
      </c>
      <c r="G383" t="s">
        <v>57</v>
      </c>
      <c r="H383">
        <v>16</v>
      </c>
      <c r="I383">
        <v>3602.65</v>
      </c>
      <c r="J383">
        <v>64847.7</v>
      </c>
    </row>
    <row r="384" spans="1:10" x14ac:dyDescent="0.35">
      <c r="A384" s="17">
        <v>44998</v>
      </c>
      <c r="B384" t="s">
        <v>8</v>
      </c>
      <c r="C384" t="s">
        <v>9</v>
      </c>
      <c r="D384" t="s">
        <v>31</v>
      </c>
      <c r="E384" t="s">
        <v>27</v>
      </c>
      <c r="F384">
        <v>11</v>
      </c>
      <c r="G384" t="s">
        <v>58</v>
      </c>
      <c r="H384">
        <v>35</v>
      </c>
      <c r="I384">
        <v>4681.04</v>
      </c>
      <c r="J384">
        <v>51491.44</v>
      </c>
    </row>
    <row r="385" spans="1:10" x14ac:dyDescent="0.35">
      <c r="A385" s="17">
        <v>45173</v>
      </c>
      <c r="B385" t="s">
        <v>12</v>
      </c>
      <c r="C385" t="s">
        <v>13</v>
      </c>
      <c r="D385" t="s">
        <v>14</v>
      </c>
      <c r="E385" t="s">
        <v>18</v>
      </c>
      <c r="F385">
        <v>4</v>
      </c>
      <c r="G385" t="s">
        <v>59</v>
      </c>
      <c r="H385">
        <v>16</v>
      </c>
      <c r="I385">
        <v>1381.71</v>
      </c>
      <c r="J385">
        <v>5526.84</v>
      </c>
    </row>
    <row r="386" spans="1:10" x14ac:dyDescent="0.35">
      <c r="A386" s="17">
        <v>45106</v>
      </c>
      <c r="B386" t="s">
        <v>8</v>
      </c>
      <c r="C386" t="s">
        <v>9</v>
      </c>
      <c r="D386" t="s">
        <v>31</v>
      </c>
      <c r="E386" t="s">
        <v>11</v>
      </c>
      <c r="F386">
        <v>20</v>
      </c>
      <c r="G386" t="s">
        <v>48</v>
      </c>
      <c r="H386">
        <v>21</v>
      </c>
      <c r="I386">
        <v>1536.73</v>
      </c>
      <c r="J386">
        <v>30734.6</v>
      </c>
    </row>
    <row r="387" spans="1:10" x14ac:dyDescent="0.35">
      <c r="A387" s="17">
        <v>45289</v>
      </c>
      <c r="B387" t="s">
        <v>12</v>
      </c>
      <c r="C387" t="s">
        <v>13</v>
      </c>
      <c r="D387" t="s">
        <v>26</v>
      </c>
      <c r="E387" t="s">
        <v>15</v>
      </c>
      <c r="F387">
        <v>13</v>
      </c>
      <c r="G387" t="s">
        <v>49</v>
      </c>
      <c r="H387">
        <v>31</v>
      </c>
      <c r="I387">
        <v>1929.55</v>
      </c>
      <c r="J387">
        <v>25084.15</v>
      </c>
    </row>
    <row r="388" spans="1:10" x14ac:dyDescent="0.35">
      <c r="A388" s="17">
        <v>45023</v>
      </c>
      <c r="B388" t="s">
        <v>12</v>
      </c>
      <c r="C388" t="s">
        <v>16</v>
      </c>
      <c r="D388" t="s">
        <v>19</v>
      </c>
      <c r="E388" t="s">
        <v>11</v>
      </c>
      <c r="F388">
        <v>17</v>
      </c>
      <c r="G388" t="s">
        <v>50</v>
      </c>
      <c r="H388">
        <v>43</v>
      </c>
      <c r="I388">
        <v>3233.82</v>
      </c>
      <c r="J388">
        <v>54974.94</v>
      </c>
    </row>
    <row r="389" spans="1:10" x14ac:dyDescent="0.35">
      <c r="A389" s="17">
        <v>45235</v>
      </c>
      <c r="B389" t="s">
        <v>8</v>
      </c>
      <c r="C389" t="s">
        <v>9</v>
      </c>
      <c r="D389" t="s">
        <v>23</v>
      </c>
      <c r="E389" t="s">
        <v>15</v>
      </c>
      <c r="F389">
        <v>17</v>
      </c>
      <c r="G389" t="s">
        <v>51</v>
      </c>
      <c r="H389">
        <v>46</v>
      </c>
      <c r="I389">
        <v>4082.38</v>
      </c>
      <c r="J389">
        <v>69400.460000000006</v>
      </c>
    </row>
    <row r="390" spans="1:10" x14ac:dyDescent="0.35">
      <c r="A390" s="17">
        <v>45124</v>
      </c>
      <c r="B390" t="s">
        <v>8</v>
      </c>
      <c r="C390" t="s">
        <v>28</v>
      </c>
      <c r="D390" t="s">
        <v>29</v>
      </c>
      <c r="E390" t="s">
        <v>11</v>
      </c>
      <c r="F390">
        <v>12</v>
      </c>
      <c r="G390" t="s">
        <v>52</v>
      </c>
      <c r="H390">
        <v>40</v>
      </c>
      <c r="I390">
        <v>3650.3</v>
      </c>
      <c r="J390">
        <v>43803.6</v>
      </c>
    </row>
    <row r="391" spans="1:10" x14ac:dyDescent="0.35">
      <c r="A391" s="17">
        <v>45218</v>
      </c>
      <c r="B391" t="s">
        <v>12</v>
      </c>
      <c r="C391" t="s">
        <v>16</v>
      </c>
      <c r="D391" t="s">
        <v>19</v>
      </c>
      <c r="E391" t="s">
        <v>11</v>
      </c>
      <c r="F391">
        <v>18</v>
      </c>
      <c r="G391" t="s">
        <v>53</v>
      </c>
      <c r="H391">
        <v>49</v>
      </c>
      <c r="I391">
        <v>532.4</v>
      </c>
      <c r="J391">
        <v>9583.2000000000007</v>
      </c>
    </row>
    <row r="392" spans="1:10" x14ac:dyDescent="0.35">
      <c r="A392" s="17">
        <v>45047</v>
      </c>
      <c r="B392" t="s">
        <v>8</v>
      </c>
      <c r="C392" t="s">
        <v>9</v>
      </c>
      <c r="D392" t="s">
        <v>31</v>
      </c>
      <c r="E392" t="s">
        <v>15</v>
      </c>
      <c r="F392">
        <v>7</v>
      </c>
      <c r="G392" t="s">
        <v>54</v>
      </c>
      <c r="H392">
        <v>23</v>
      </c>
      <c r="I392">
        <v>3931.73</v>
      </c>
      <c r="J392">
        <v>27522.11</v>
      </c>
    </row>
    <row r="393" spans="1:10" x14ac:dyDescent="0.35">
      <c r="A393" s="17">
        <v>45208</v>
      </c>
      <c r="B393" t="s">
        <v>12</v>
      </c>
      <c r="C393" t="s">
        <v>13</v>
      </c>
      <c r="D393" t="s">
        <v>26</v>
      </c>
      <c r="E393" t="s">
        <v>15</v>
      </c>
      <c r="F393">
        <v>9</v>
      </c>
      <c r="G393" t="s">
        <v>55</v>
      </c>
      <c r="H393">
        <v>48</v>
      </c>
      <c r="I393">
        <v>2770.27</v>
      </c>
      <c r="J393">
        <v>24932.43</v>
      </c>
    </row>
    <row r="394" spans="1:10" x14ac:dyDescent="0.35">
      <c r="A394" s="17">
        <v>45276</v>
      </c>
      <c r="B394" t="s">
        <v>12</v>
      </c>
      <c r="C394" t="s">
        <v>13</v>
      </c>
      <c r="D394" t="s">
        <v>26</v>
      </c>
      <c r="E394" t="s">
        <v>24</v>
      </c>
      <c r="F394">
        <v>7</v>
      </c>
      <c r="G394" t="s">
        <v>56</v>
      </c>
      <c r="H394">
        <v>24</v>
      </c>
      <c r="I394">
        <v>3052.99</v>
      </c>
      <c r="J394">
        <v>21370.93</v>
      </c>
    </row>
    <row r="395" spans="1:10" x14ac:dyDescent="0.35">
      <c r="A395" s="17">
        <v>45090</v>
      </c>
      <c r="B395" t="s">
        <v>8</v>
      </c>
      <c r="C395" t="s">
        <v>28</v>
      </c>
      <c r="D395" t="s">
        <v>29</v>
      </c>
      <c r="E395" t="s">
        <v>18</v>
      </c>
      <c r="F395">
        <v>14</v>
      </c>
      <c r="G395" t="s">
        <v>57</v>
      </c>
      <c r="H395">
        <v>51</v>
      </c>
      <c r="I395">
        <v>298.99</v>
      </c>
      <c r="J395">
        <v>4185.8599999999997</v>
      </c>
    </row>
    <row r="396" spans="1:10" x14ac:dyDescent="0.35">
      <c r="A396" s="17">
        <v>45144</v>
      </c>
      <c r="B396" t="s">
        <v>12</v>
      </c>
      <c r="C396" t="s">
        <v>13</v>
      </c>
      <c r="D396" t="s">
        <v>26</v>
      </c>
      <c r="E396" t="s">
        <v>15</v>
      </c>
      <c r="F396">
        <v>10</v>
      </c>
      <c r="G396" t="s">
        <v>58</v>
      </c>
      <c r="H396">
        <v>40</v>
      </c>
      <c r="I396">
        <v>812.98</v>
      </c>
      <c r="J396">
        <v>8129.8</v>
      </c>
    </row>
    <row r="397" spans="1:10" x14ac:dyDescent="0.35">
      <c r="A397" s="17">
        <v>45289</v>
      </c>
      <c r="B397" t="s">
        <v>8</v>
      </c>
      <c r="C397" t="s">
        <v>28</v>
      </c>
      <c r="D397" t="s">
        <v>32</v>
      </c>
      <c r="E397" t="s">
        <v>11</v>
      </c>
      <c r="F397">
        <v>14</v>
      </c>
      <c r="G397" t="s">
        <v>59</v>
      </c>
      <c r="H397">
        <v>24</v>
      </c>
      <c r="I397">
        <v>1720</v>
      </c>
      <c r="J397">
        <v>24080</v>
      </c>
    </row>
    <row r="398" spans="1:10" x14ac:dyDescent="0.35">
      <c r="A398" s="17">
        <v>45104</v>
      </c>
      <c r="B398" t="s">
        <v>12</v>
      </c>
      <c r="C398" t="s">
        <v>13</v>
      </c>
      <c r="D398" t="s">
        <v>33</v>
      </c>
      <c r="E398" t="s">
        <v>27</v>
      </c>
      <c r="F398">
        <v>3</v>
      </c>
      <c r="G398" t="s">
        <v>48</v>
      </c>
      <c r="H398">
        <v>53</v>
      </c>
      <c r="I398">
        <v>772.21</v>
      </c>
      <c r="J398">
        <v>2316.63</v>
      </c>
    </row>
    <row r="399" spans="1:10" x14ac:dyDescent="0.35">
      <c r="A399" s="17">
        <v>45044</v>
      </c>
      <c r="B399" t="s">
        <v>12</v>
      </c>
      <c r="C399" t="s">
        <v>13</v>
      </c>
      <c r="D399" t="s">
        <v>14</v>
      </c>
      <c r="E399" t="s">
        <v>15</v>
      </c>
      <c r="F399">
        <v>20</v>
      </c>
      <c r="G399" t="s">
        <v>49</v>
      </c>
      <c r="H399">
        <v>26</v>
      </c>
      <c r="I399">
        <v>3937.67</v>
      </c>
      <c r="J399">
        <v>78753.399999999994</v>
      </c>
    </row>
    <row r="400" spans="1:10" x14ac:dyDescent="0.35">
      <c r="A400" s="17">
        <v>45233</v>
      </c>
      <c r="B400" t="s">
        <v>8</v>
      </c>
      <c r="C400" t="s">
        <v>9</v>
      </c>
      <c r="D400" t="s">
        <v>23</v>
      </c>
      <c r="E400" t="s">
        <v>11</v>
      </c>
      <c r="F400">
        <v>5</v>
      </c>
      <c r="G400" t="s">
        <v>50</v>
      </c>
      <c r="H400">
        <v>25</v>
      </c>
      <c r="I400">
        <v>3259.3</v>
      </c>
      <c r="J400">
        <v>16296.5</v>
      </c>
    </row>
    <row r="401" spans="1:10" x14ac:dyDescent="0.35">
      <c r="A401" s="17">
        <v>45186</v>
      </c>
      <c r="B401" t="s">
        <v>20</v>
      </c>
      <c r="C401" t="s">
        <v>21</v>
      </c>
      <c r="D401" t="s">
        <v>22</v>
      </c>
      <c r="E401" t="s">
        <v>15</v>
      </c>
      <c r="F401">
        <v>7</v>
      </c>
      <c r="G401" t="s">
        <v>51</v>
      </c>
      <c r="H401">
        <v>48</v>
      </c>
      <c r="I401">
        <v>252.75</v>
      </c>
      <c r="J401">
        <v>1769.25</v>
      </c>
    </row>
    <row r="402" spans="1:10" x14ac:dyDescent="0.35">
      <c r="A402" s="17">
        <v>45119</v>
      </c>
      <c r="B402" t="s">
        <v>8</v>
      </c>
      <c r="C402" t="s">
        <v>9</v>
      </c>
      <c r="D402" t="s">
        <v>31</v>
      </c>
      <c r="E402" t="s">
        <v>24</v>
      </c>
      <c r="F402">
        <v>16</v>
      </c>
      <c r="G402" t="s">
        <v>52</v>
      </c>
      <c r="H402">
        <v>51</v>
      </c>
      <c r="I402">
        <v>1933.33</v>
      </c>
      <c r="J402">
        <v>30933.279999999999</v>
      </c>
    </row>
    <row r="403" spans="1:10" x14ac:dyDescent="0.35">
      <c r="A403" s="17">
        <v>45024</v>
      </c>
      <c r="B403" t="s">
        <v>8</v>
      </c>
      <c r="C403" t="s">
        <v>28</v>
      </c>
      <c r="D403" t="s">
        <v>30</v>
      </c>
      <c r="E403" t="s">
        <v>27</v>
      </c>
      <c r="F403">
        <v>6</v>
      </c>
      <c r="G403" t="s">
        <v>53</v>
      </c>
      <c r="H403">
        <v>26</v>
      </c>
      <c r="I403">
        <v>4541.92</v>
      </c>
      <c r="J403">
        <v>27251.52</v>
      </c>
    </row>
    <row r="404" spans="1:10" x14ac:dyDescent="0.35">
      <c r="A404" s="17">
        <v>45051</v>
      </c>
      <c r="B404" t="s">
        <v>8</v>
      </c>
      <c r="C404" t="s">
        <v>9</v>
      </c>
      <c r="D404" t="s">
        <v>10</v>
      </c>
      <c r="E404" t="s">
        <v>24</v>
      </c>
      <c r="F404">
        <v>20</v>
      </c>
      <c r="G404" t="s">
        <v>54</v>
      </c>
      <c r="H404">
        <v>45</v>
      </c>
      <c r="I404">
        <v>4270.08</v>
      </c>
      <c r="J404">
        <v>85401.600000000006</v>
      </c>
    </row>
    <row r="405" spans="1:10" x14ac:dyDescent="0.35">
      <c r="A405" s="17">
        <v>44961</v>
      </c>
      <c r="B405" t="s">
        <v>12</v>
      </c>
      <c r="C405" t="s">
        <v>16</v>
      </c>
      <c r="D405" t="s">
        <v>25</v>
      </c>
      <c r="E405" t="s">
        <v>24</v>
      </c>
      <c r="F405">
        <v>3</v>
      </c>
      <c r="G405" t="s">
        <v>55</v>
      </c>
      <c r="H405">
        <v>29</v>
      </c>
      <c r="I405">
        <v>3007.45</v>
      </c>
      <c r="J405">
        <v>9022.35</v>
      </c>
    </row>
    <row r="406" spans="1:10" x14ac:dyDescent="0.35">
      <c r="A406" s="17">
        <v>45019</v>
      </c>
      <c r="B406" t="s">
        <v>20</v>
      </c>
      <c r="C406" t="s">
        <v>21</v>
      </c>
      <c r="D406" t="s">
        <v>35</v>
      </c>
      <c r="E406" t="s">
        <v>18</v>
      </c>
      <c r="F406">
        <v>8</v>
      </c>
      <c r="G406" t="s">
        <v>56</v>
      </c>
      <c r="H406">
        <v>50</v>
      </c>
      <c r="I406">
        <v>315</v>
      </c>
      <c r="J406">
        <v>2520</v>
      </c>
    </row>
    <row r="407" spans="1:10" x14ac:dyDescent="0.35">
      <c r="A407" s="17">
        <v>45291</v>
      </c>
      <c r="B407" t="s">
        <v>12</v>
      </c>
      <c r="C407" t="s">
        <v>16</v>
      </c>
      <c r="D407" t="s">
        <v>25</v>
      </c>
      <c r="E407" t="s">
        <v>27</v>
      </c>
      <c r="F407">
        <v>13</v>
      </c>
      <c r="G407" t="s">
        <v>57</v>
      </c>
      <c r="H407">
        <v>40</v>
      </c>
      <c r="I407">
        <v>1647.87</v>
      </c>
      <c r="J407">
        <v>21422.31</v>
      </c>
    </row>
    <row r="408" spans="1:10" x14ac:dyDescent="0.35">
      <c r="A408" s="17">
        <v>44940</v>
      </c>
      <c r="B408" t="s">
        <v>12</v>
      </c>
      <c r="C408" t="s">
        <v>13</v>
      </c>
      <c r="D408" t="s">
        <v>14</v>
      </c>
      <c r="E408" t="s">
        <v>27</v>
      </c>
      <c r="F408">
        <v>2</v>
      </c>
      <c r="G408" t="s">
        <v>58</v>
      </c>
      <c r="H408">
        <v>54</v>
      </c>
      <c r="I408">
        <v>659.83</v>
      </c>
      <c r="J408">
        <v>1319.66</v>
      </c>
    </row>
    <row r="409" spans="1:10" x14ac:dyDescent="0.35">
      <c r="A409" s="17">
        <v>45270</v>
      </c>
      <c r="B409" t="s">
        <v>12</v>
      </c>
      <c r="C409" t="s">
        <v>13</v>
      </c>
      <c r="D409" t="s">
        <v>14</v>
      </c>
      <c r="E409" t="s">
        <v>27</v>
      </c>
      <c r="F409">
        <v>16</v>
      </c>
      <c r="G409" t="s">
        <v>59</v>
      </c>
      <c r="H409">
        <v>21</v>
      </c>
      <c r="I409">
        <v>4999.8999999999996</v>
      </c>
      <c r="J409">
        <v>79998.399999999994</v>
      </c>
    </row>
    <row r="410" spans="1:10" x14ac:dyDescent="0.35">
      <c r="A410" s="17">
        <v>44986</v>
      </c>
      <c r="B410" t="s">
        <v>12</v>
      </c>
      <c r="C410" t="s">
        <v>13</v>
      </c>
      <c r="D410" t="s">
        <v>33</v>
      </c>
      <c r="E410" t="s">
        <v>15</v>
      </c>
      <c r="F410">
        <v>20</v>
      </c>
      <c r="G410" t="s">
        <v>48</v>
      </c>
      <c r="H410">
        <v>18</v>
      </c>
      <c r="I410">
        <v>490.36</v>
      </c>
      <c r="J410">
        <v>9807.2000000000007</v>
      </c>
    </row>
    <row r="411" spans="1:10" x14ac:dyDescent="0.35">
      <c r="A411" s="17">
        <v>45071</v>
      </c>
      <c r="B411" t="s">
        <v>8</v>
      </c>
      <c r="C411" t="s">
        <v>28</v>
      </c>
      <c r="D411" t="s">
        <v>32</v>
      </c>
      <c r="E411" t="s">
        <v>11</v>
      </c>
      <c r="F411">
        <v>19</v>
      </c>
      <c r="G411" t="s">
        <v>49</v>
      </c>
      <c r="H411">
        <v>36</v>
      </c>
      <c r="I411">
        <v>2753.24</v>
      </c>
      <c r="J411">
        <v>52311.56</v>
      </c>
    </row>
    <row r="412" spans="1:10" x14ac:dyDescent="0.35">
      <c r="A412" s="17">
        <v>45026</v>
      </c>
      <c r="B412" t="s">
        <v>20</v>
      </c>
      <c r="C412" t="s">
        <v>21</v>
      </c>
      <c r="D412" t="s">
        <v>35</v>
      </c>
      <c r="E412" t="s">
        <v>18</v>
      </c>
      <c r="F412">
        <v>7</v>
      </c>
      <c r="G412" t="s">
        <v>50</v>
      </c>
      <c r="H412">
        <v>45</v>
      </c>
      <c r="I412">
        <v>4541.83</v>
      </c>
      <c r="J412">
        <v>31792.81</v>
      </c>
    </row>
    <row r="413" spans="1:10" x14ac:dyDescent="0.35">
      <c r="A413" s="17">
        <v>44934</v>
      </c>
      <c r="B413" t="s">
        <v>8</v>
      </c>
      <c r="C413" t="s">
        <v>9</v>
      </c>
      <c r="D413" t="s">
        <v>31</v>
      </c>
      <c r="E413" t="s">
        <v>11</v>
      </c>
      <c r="F413">
        <v>2</v>
      </c>
      <c r="G413" t="s">
        <v>51</v>
      </c>
      <c r="H413">
        <v>47</v>
      </c>
      <c r="I413">
        <v>3240.32</v>
      </c>
      <c r="J413">
        <v>6480.64</v>
      </c>
    </row>
    <row r="414" spans="1:10" x14ac:dyDescent="0.35">
      <c r="A414" s="17">
        <v>45141</v>
      </c>
      <c r="B414" t="s">
        <v>20</v>
      </c>
      <c r="C414" t="s">
        <v>21</v>
      </c>
      <c r="D414" t="s">
        <v>34</v>
      </c>
      <c r="E414" t="s">
        <v>11</v>
      </c>
      <c r="F414">
        <v>18</v>
      </c>
      <c r="G414" t="s">
        <v>52</v>
      </c>
      <c r="H414">
        <v>21</v>
      </c>
      <c r="I414">
        <v>3614.6</v>
      </c>
      <c r="J414">
        <v>65062.8</v>
      </c>
    </row>
    <row r="415" spans="1:10" x14ac:dyDescent="0.35">
      <c r="A415" s="17">
        <v>45062</v>
      </c>
      <c r="B415" t="s">
        <v>8</v>
      </c>
      <c r="C415" t="s">
        <v>9</v>
      </c>
      <c r="D415" t="s">
        <v>23</v>
      </c>
      <c r="E415" t="s">
        <v>11</v>
      </c>
      <c r="F415">
        <v>3</v>
      </c>
      <c r="G415" t="s">
        <v>53</v>
      </c>
      <c r="H415">
        <v>16</v>
      </c>
      <c r="I415">
        <v>2618.2199999999998</v>
      </c>
      <c r="J415">
        <v>7854.66</v>
      </c>
    </row>
    <row r="416" spans="1:10" x14ac:dyDescent="0.35">
      <c r="A416" s="17">
        <v>45035</v>
      </c>
      <c r="B416" t="s">
        <v>8</v>
      </c>
      <c r="C416" t="s">
        <v>28</v>
      </c>
      <c r="D416" t="s">
        <v>29</v>
      </c>
      <c r="E416" t="s">
        <v>11</v>
      </c>
      <c r="F416">
        <v>17</v>
      </c>
      <c r="G416" t="s">
        <v>54</v>
      </c>
      <c r="H416">
        <v>25</v>
      </c>
      <c r="I416">
        <v>1793.43</v>
      </c>
      <c r="J416">
        <v>30488.31</v>
      </c>
    </row>
    <row r="417" spans="1:10" x14ac:dyDescent="0.35">
      <c r="A417" s="17">
        <v>45127</v>
      </c>
      <c r="B417" t="s">
        <v>20</v>
      </c>
      <c r="C417" t="s">
        <v>21</v>
      </c>
      <c r="D417" t="s">
        <v>22</v>
      </c>
      <c r="E417" t="s">
        <v>24</v>
      </c>
      <c r="F417">
        <v>17</v>
      </c>
      <c r="G417" t="s">
        <v>55</v>
      </c>
      <c r="H417">
        <v>42</v>
      </c>
      <c r="I417">
        <v>758.19</v>
      </c>
      <c r="J417">
        <v>12889.23</v>
      </c>
    </row>
    <row r="418" spans="1:10" x14ac:dyDescent="0.35">
      <c r="A418" s="17">
        <v>45154</v>
      </c>
      <c r="B418" t="s">
        <v>8</v>
      </c>
      <c r="C418" t="s">
        <v>28</v>
      </c>
      <c r="D418" t="s">
        <v>29</v>
      </c>
      <c r="E418" t="s">
        <v>11</v>
      </c>
      <c r="F418">
        <v>18</v>
      </c>
      <c r="G418" t="s">
        <v>56</v>
      </c>
      <c r="H418">
        <v>18</v>
      </c>
      <c r="I418">
        <v>4862.63</v>
      </c>
      <c r="J418">
        <v>87527.34</v>
      </c>
    </row>
    <row r="419" spans="1:10" x14ac:dyDescent="0.35">
      <c r="A419" s="17">
        <v>44956</v>
      </c>
      <c r="B419" t="s">
        <v>8</v>
      </c>
      <c r="C419" t="s">
        <v>9</v>
      </c>
      <c r="D419" t="s">
        <v>31</v>
      </c>
      <c r="E419" t="s">
        <v>27</v>
      </c>
      <c r="F419">
        <v>20</v>
      </c>
      <c r="G419" t="s">
        <v>57</v>
      </c>
      <c r="H419">
        <v>26</v>
      </c>
      <c r="I419">
        <v>486.25</v>
      </c>
      <c r="J419">
        <v>9725</v>
      </c>
    </row>
    <row r="420" spans="1:10" x14ac:dyDescent="0.35">
      <c r="A420" s="17">
        <v>45208</v>
      </c>
      <c r="B420" t="s">
        <v>12</v>
      </c>
      <c r="C420" t="s">
        <v>16</v>
      </c>
      <c r="D420" t="s">
        <v>17</v>
      </c>
      <c r="E420" t="s">
        <v>24</v>
      </c>
      <c r="F420">
        <v>3</v>
      </c>
      <c r="G420" t="s">
        <v>58</v>
      </c>
      <c r="H420">
        <v>23</v>
      </c>
      <c r="I420">
        <v>3533.3</v>
      </c>
      <c r="J420">
        <v>10599.9</v>
      </c>
    </row>
    <row r="421" spans="1:10" x14ac:dyDescent="0.35">
      <c r="A421" s="17">
        <v>45013</v>
      </c>
      <c r="B421" t="s">
        <v>20</v>
      </c>
      <c r="C421" t="s">
        <v>21</v>
      </c>
      <c r="D421" t="s">
        <v>35</v>
      </c>
      <c r="E421" t="s">
        <v>27</v>
      </c>
      <c r="F421">
        <v>11</v>
      </c>
      <c r="G421" t="s">
        <v>59</v>
      </c>
      <c r="H421">
        <v>47</v>
      </c>
      <c r="I421">
        <v>1069.3900000000001</v>
      </c>
      <c r="J421">
        <v>11763.29</v>
      </c>
    </row>
    <row r="422" spans="1:10" x14ac:dyDescent="0.35">
      <c r="A422" s="17">
        <v>45055</v>
      </c>
      <c r="B422" t="s">
        <v>20</v>
      </c>
      <c r="C422" t="s">
        <v>21</v>
      </c>
      <c r="D422" t="s">
        <v>34</v>
      </c>
      <c r="E422" t="s">
        <v>27</v>
      </c>
      <c r="F422">
        <v>12</v>
      </c>
      <c r="G422" t="s">
        <v>48</v>
      </c>
      <c r="H422">
        <v>20</v>
      </c>
      <c r="I422">
        <v>2581.09</v>
      </c>
      <c r="J422">
        <v>30973.08</v>
      </c>
    </row>
    <row r="423" spans="1:10" x14ac:dyDescent="0.35">
      <c r="A423" s="17">
        <v>45284</v>
      </c>
      <c r="B423" t="s">
        <v>12</v>
      </c>
      <c r="C423" t="s">
        <v>16</v>
      </c>
      <c r="D423" t="s">
        <v>19</v>
      </c>
      <c r="E423" t="s">
        <v>15</v>
      </c>
      <c r="F423">
        <v>8</v>
      </c>
      <c r="G423" t="s">
        <v>49</v>
      </c>
      <c r="H423">
        <v>42</v>
      </c>
      <c r="I423">
        <v>1670.31</v>
      </c>
      <c r="J423">
        <v>13362.48</v>
      </c>
    </row>
    <row r="424" spans="1:10" x14ac:dyDescent="0.35">
      <c r="A424" s="17">
        <v>45158</v>
      </c>
      <c r="B424" t="s">
        <v>12</v>
      </c>
      <c r="C424" t="s">
        <v>13</v>
      </c>
      <c r="D424" t="s">
        <v>14</v>
      </c>
      <c r="E424" t="s">
        <v>18</v>
      </c>
      <c r="F424">
        <v>7</v>
      </c>
      <c r="G424" t="s">
        <v>50</v>
      </c>
      <c r="H424">
        <v>44</v>
      </c>
      <c r="I424">
        <v>2560.5</v>
      </c>
      <c r="J424">
        <v>17923.5</v>
      </c>
    </row>
    <row r="425" spans="1:10" x14ac:dyDescent="0.35">
      <c r="A425" s="17">
        <v>45155</v>
      </c>
      <c r="B425" t="s">
        <v>12</v>
      </c>
      <c r="C425" t="s">
        <v>13</v>
      </c>
      <c r="D425" t="s">
        <v>33</v>
      </c>
      <c r="E425" t="s">
        <v>15</v>
      </c>
      <c r="F425">
        <v>8</v>
      </c>
      <c r="G425" t="s">
        <v>51</v>
      </c>
      <c r="H425">
        <v>16</v>
      </c>
      <c r="I425">
        <v>244.6</v>
      </c>
      <c r="J425">
        <v>1956.8</v>
      </c>
    </row>
    <row r="426" spans="1:10" x14ac:dyDescent="0.35">
      <c r="A426" s="17">
        <v>45198</v>
      </c>
      <c r="B426" t="s">
        <v>20</v>
      </c>
      <c r="C426" t="s">
        <v>21</v>
      </c>
      <c r="D426" t="s">
        <v>22</v>
      </c>
      <c r="E426" t="s">
        <v>27</v>
      </c>
      <c r="F426">
        <v>13</v>
      </c>
      <c r="G426" t="s">
        <v>52</v>
      </c>
      <c r="H426">
        <v>42</v>
      </c>
      <c r="I426">
        <v>4084.32</v>
      </c>
      <c r="J426">
        <v>53096.160000000003</v>
      </c>
    </row>
    <row r="427" spans="1:10" x14ac:dyDescent="0.35">
      <c r="A427" s="17">
        <v>45248</v>
      </c>
      <c r="B427" t="s">
        <v>12</v>
      </c>
      <c r="C427" t="s">
        <v>16</v>
      </c>
      <c r="D427" t="s">
        <v>19</v>
      </c>
      <c r="E427" t="s">
        <v>11</v>
      </c>
      <c r="F427">
        <v>16</v>
      </c>
      <c r="G427" t="s">
        <v>53</v>
      </c>
      <c r="H427">
        <v>54</v>
      </c>
      <c r="I427">
        <v>1480.7</v>
      </c>
      <c r="J427">
        <v>23691.200000000001</v>
      </c>
    </row>
    <row r="428" spans="1:10" x14ac:dyDescent="0.35">
      <c r="A428" s="17">
        <v>45015</v>
      </c>
      <c r="B428" t="s">
        <v>12</v>
      </c>
      <c r="C428" t="s">
        <v>16</v>
      </c>
      <c r="D428" t="s">
        <v>17</v>
      </c>
      <c r="E428" t="s">
        <v>11</v>
      </c>
      <c r="F428">
        <v>6</v>
      </c>
      <c r="G428" t="s">
        <v>54</v>
      </c>
      <c r="H428">
        <v>22</v>
      </c>
      <c r="I428">
        <v>1979</v>
      </c>
      <c r="J428">
        <v>11874</v>
      </c>
    </row>
    <row r="429" spans="1:10" x14ac:dyDescent="0.35">
      <c r="A429" s="17">
        <v>45188</v>
      </c>
      <c r="B429" t="s">
        <v>12</v>
      </c>
      <c r="C429" t="s">
        <v>13</v>
      </c>
      <c r="D429" t="s">
        <v>26</v>
      </c>
      <c r="E429" t="s">
        <v>24</v>
      </c>
      <c r="F429">
        <v>18</v>
      </c>
      <c r="G429" t="s">
        <v>55</v>
      </c>
      <c r="H429">
        <v>35</v>
      </c>
      <c r="I429">
        <v>883.32</v>
      </c>
      <c r="J429">
        <v>15899.76</v>
      </c>
    </row>
    <row r="430" spans="1:10" x14ac:dyDescent="0.35">
      <c r="A430" s="17">
        <v>45238</v>
      </c>
      <c r="B430" t="s">
        <v>12</v>
      </c>
      <c r="C430" t="s">
        <v>16</v>
      </c>
      <c r="D430" t="s">
        <v>17</v>
      </c>
      <c r="E430" t="s">
        <v>24</v>
      </c>
      <c r="F430">
        <v>4</v>
      </c>
      <c r="G430" t="s">
        <v>56</v>
      </c>
      <c r="H430">
        <v>45</v>
      </c>
      <c r="I430">
        <v>4058.48</v>
      </c>
      <c r="J430">
        <v>16233.92</v>
      </c>
    </row>
    <row r="431" spans="1:10" x14ac:dyDescent="0.35">
      <c r="A431" s="17">
        <v>45192</v>
      </c>
      <c r="B431" t="s">
        <v>8</v>
      </c>
      <c r="C431" t="s">
        <v>28</v>
      </c>
      <c r="D431" t="s">
        <v>30</v>
      </c>
      <c r="E431" t="s">
        <v>24</v>
      </c>
      <c r="F431">
        <v>7</v>
      </c>
      <c r="G431" t="s">
        <v>57</v>
      </c>
      <c r="H431">
        <v>34</v>
      </c>
      <c r="I431">
        <v>281.29000000000002</v>
      </c>
      <c r="J431">
        <v>1969.03</v>
      </c>
    </row>
    <row r="432" spans="1:10" x14ac:dyDescent="0.35">
      <c r="A432" s="17">
        <v>45124</v>
      </c>
      <c r="B432" t="s">
        <v>20</v>
      </c>
      <c r="C432" t="s">
        <v>21</v>
      </c>
      <c r="D432" t="s">
        <v>35</v>
      </c>
      <c r="E432" t="s">
        <v>11</v>
      </c>
      <c r="F432">
        <v>4</v>
      </c>
      <c r="G432" t="s">
        <v>58</v>
      </c>
      <c r="H432">
        <v>37</v>
      </c>
      <c r="I432">
        <v>2978.87</v>
      </c>
      <c r="J432">
        <v>11915.48</v>
      </c>
    </row>
    <row r="433" spans="1:10" x14ac:dyDescent="0.35">
      <c r="A433" s="17">
        <v>45064</v>
      </c>
      <c r="B433" t="s">
        <v>8</v>
      </c>
      <c r="C433" t="s">
        <v>9</v>
      </c>
      <c r="D433" t="s">
        <v>31</v>
      </c>
      <c r="E433" t="s">
        <v>18</v>
      </c>
      <c r="F433">
        <v>2</v>
      </c>
      <c r="G433" t="s">
        <v>59</v>
      </c>
      <c r="H433">
        <v>44</v>
      </c>
      <c r="I433">
        <v>2402.5700000000002</v>
      </c>
      <c r="J433">
        <v>4805.1400000000003</v>
      </c>
    </row>
    <row r="434" spans="1:10" x14ac:dyDescent="0.35">
      <c r="A434" s="17">
        <v>45187</v>
      </c>
      <c r="B434" t="s">
        <v>20</v>
      </c>
      <c r="C434" t="s">
        <v>21</v>
      </c>
      <c r="D434" t="s">
        <v>35</v>
      </c>
      <c r="E434" t="s">
        <v>27</v>
      </c>
      <c r="F434">
        <v>12</v>
      </c>
      <c r="G434" t="s">
        <v>48</v>
      </c>
      <c r="H434">
        <v>39</v>
      </c>
      <c r="I434">
        <v>1673.01</v>
      </c>
      <c r="J434">
        <v>20076.12</v>
      </c>
    </row>
    <row r="435" spans="1:10" x14ac:dyDescent="0.35">
      <c r="A435" s="17">
        <v>45050</v>
      </c>
      <c r="B435" t="s">
        <v>8</v>
      </c>
      <c r="C435" t="s">
        <v>9</v>
      </c>
      <c r="D435" t="s">
        <v>23</v>
      </c>
      <c r="E435" t="s">
        <v>18</v>
      </c>
      <c r="F435">
        <v>17</v>
      </c>
      <c r="G435" t="s">
        <v>49</v>
      </c>
      <c r="H435">
        <v>17</v>
      </c>
      <c r="I435">
        <v>2031.75</v>
      </c>
      <c r="J435">
        <v>34539.75</v>
      </c>
    </row>
    <row r="436" spans="1:10" x14ac:dyDescent="0.35">
      <c r="A436" s="17">
        <v>45178</v>
      </c>
      <c r="B436" t="s">
        <v>20</v>
      </c>
      <c r="C436" t="s">
        <v>21</v>
      </c>
      <c r="D436" t="s">
        <v>22</v>
      </c>
      <c r="E436" t="s">
        <v>27</v>
      </c>
      <c r="F436">
        <v>15</v>
      </c>
      <c r="G436" t="s">
        <v>50</v>
      </c>
      <c r="H436">
        <v>44</v>
      </c>
      <c r="I436">
        <v>4667.42</v>
      </c>
      <c r="J436">
        <v>70011.3</v>
      </c>
    </row>
    <row r="437" spans="1:10" x14ac:dyDescent="0.35">
      <c r="A437" s="17">
        <v>45289</v>
      </c>
      <c r="B437" t="s">
        <v>8</v>
      </c>
      <c r="C437" t="s">
        <v>9</v>
      </c>
      <c r="D437" t="s">
        <v>23</v>
      </c>
      <c r="E437" t="s">
        <v>27</v>
      </c>
      <c r="F437">
        <v>18</v>
      </c>
      <c r="G437" t="s">
        <v>51</v>
      </c>
      <c r="H437">
        <v>31</v>
      </c>
      <c r="I437">
        <v>2494.9499999999998</v>
      </c>
      <c r="J437">
        <v>44909.1</v>
      </c>
    </row>
    <row r="438" spans="1:10" x14ac:dyDescent="0.35">
      <c r="A438" s="17">
        <v>45275</v>
      </c>
      <c r="B438" t="s">
        <v>12</v>
      </c>
      <c r="C438" t="s">
        <v>13</v>
      </c>
      <c r="D438" t="s">
        <v>33</v>
      </c>
      <c r="E438" t="s">
        <v>18</v>
      </c>
      <c r="F438">
        <v>15</v>
      </c>
      <c r="G438" t="s">
        <v>52</v>
      </c>
      <c r="H438">
        <v>52</v>
      </c>
      <c r="I438">
        <v>4659.8</v>
      </c>
      <c r="J438">
        <v>69897</v>
      </c>
    </row>
    <row r="439" spans="1:10" x14ac:dyDescent="0.35">
      <c r="A439" s="17">
        <v>45001</v>
      </c>
      <c r="B439" t="s">
        <v>12</v>
      </c>
      <c r="C439" t="s">
        <v>16</v>
      </c>
      <c r="D439" t="s">
        <v>17</v>
      </c>
      <c r="E439" t="s">
        <v>24</v>
      </c>
      <c r="F439">
        <v>9</v>
      </c>
      <c r="G439" t="s">
        <v>53</v>
      </c>
      <c r="H439">
        <v>32</v>
      </c>
      <c r="I439">
        <v>1805.32</v>
      </c>
      <c r="J439">
        <v>16247.88</v>
      </c>
    </row>
    <row r="440" spans="1:10" x14ac:dyDescent="0.35">
      <c r="A440" s="17">
        <v>45034</v>
      </c>
      <c r="B440" t="s">
        <v>8</v>
      </c>
      <c r="C440" t="s">
        <v>28</v>
      </c>
      <c r="D440" t="s">
        <v>29</v>
      </c>
      <c r="E440" t="s">
        <v>24</v>
      </c>
      <c r="F440">
        <v>11</v>
      </c>
      <c r="G440" t="s">
        <v>54</v>
      </c>
      <c r="H440">
        <v>32</v>
      </c>
      <c r="I440">
        <v>4530.5600000000004</v>
      </c>
      <c r="J440">
        <v>49836.160000000003</v>
      </c>
    </row>
    <row r="441" spans="1:10" x14ac:dyDescent="0.35">
      <c r="A441" s="17">
        <v>45116</v>
      </c>
      <c r="B441" t="s">
        <v>20</v>
      </c>
      <c r="C441" t="s">
        <v>21</v>
      </c>
      <c r="D441" t="s">
        <v>34</v>
      </c>
      <c r="E441" t="s">
        <v>18</v>
      </c>
      <c r="F441">
        <v>12</v>
      </c>
      <c r="G441" t="s">
        <v>55</v>
      </c>
      <c r="H441">
        <v>41</v>
      </c>
      <c r="I441">
        <v>4003.52</v>
      </c>
      <c r="J441">
        <v>48042.239999999998</v>
      </c>
    </row>
    <row r="442" spans="1:10" x14ac:dyDescent="0.35">
      <c r="A442" s="17">
        <v>44990</v>
      </c>
      <c r="B442" t="s">
        <v>8</v>
      </c>
      <c r="C442" t="s">
        <v>9</v>
      </c>
      <c r="D442" t="s">
        <v>10</v>
      </c>
      <c r="E442" t="s">
        <v>24</v>
      </c>
      <c r="F442">
        <v>1</v>
      </c>
      <c r="G442" t="s">
        <v>56</v>
      </c>
      <c r="H442">
        <v>35</v>
      </c>
      <c r="I442">
        <v>3059.01</v>
      </c>
      <c r="J442">
        <v>3059.01</v>
      </c>
    </row>
    <row r="443" spans="1:10" x14ac:dyDescent="0.35">
      <c r="A443" s="17">
        <v>45045</v>
      </c>
      <c r="B443" t="s">
        <v>20</v>
      </c>
      <c r="C443" t="s">
        <v>21</v>
      </c>
      <c r="D443" t="s">
        <v>34</v>
      </c>
      <c r="E443" t="s">
        <v>11</v>
      </c>
      <c r="F443">
        <v>1</v>
      </c>
      <c r="G443" t="s">
        <v>57</v>
      </c>
      <c r="H443">
        <v>33</v>
      </c>
      <c r="I443">
        <v>4815.0600000000004</v>
      </c>
      <c r="J443">
        <v>4815.0600000000004</v>
      </c>
    </row>
    <row r="444" spans="1:10" x14ac:dyDescent="0.35">
      <c r="A444" s="17">
        <v>45278</v>
      </c>
      <c r="B444" t="s">
        <v>12</v>
      </c>
      <c r="C444" t="s">
        <v>13</v>
      </c>
      <c r="D444" t="s">
        <v>14</v>
      </c>
      <c r="E444" t="s">
        <v>24</v>
      </c>
      <c r="F444">
        <v>3</v>
      </c>
      <c r="G444" t="s">
        <v>58</v>
      </c>
      <c r="H444">
        <v>28</v>
      </c>
      <c r="I444">
        <v>1139.5899999999999</v>
      </c>
      <c r="J444">
        <v>3418.77</v>
      </c>
    </row>
    <row r="445" spans="1:10" x14ac:dyDescent="0.35">
      <c r="A445" s="17">
        <v>45003</v>
      </c>
      <c r="B445" t="s">
        <v>12</v>
      </c>
      <c r="C445" t="s">
        <v>13</v>
      </c>
      <c r="D445" t="s">
        <v>33</v>
      </c>
      <c r="E445" t="s">
        <v>15</v>
      </c>
      <c r="F445">
        <v>12</v>
      </c>
      <c r="G445" t="s">
        <v>59</v>
      </c>
      <c r="H445">
        <v>19</v>
      </c>
      <c r="I445">
        <v>596.13</v>
      </c>
      <c r="J445">
        <v>7153.56</v>
      </c>
    </row>
    <row r="446" spans="1:10" x14ac:dyDescent="0.35">
      <c r="A446" s="17">
        <v>45026</v>
      </c>
      <c r="B446" t="s">
        <v>12</v>
      </c>
      <c r="C446" t="s">
        <v>13</v>
      </c>
      <c r="D446" t="s">
        <v>33</v>
      </c>
      <c r="E446" t="s">
        <v>18</v>
      </c>
      <c r="F446">
        <v>15</v>
      </c>
      <c r="G446" t="s">
        <v>48</v>
      </c>
      <c r="H446">
        <v>51</v>
      </c>
      <c r="I446">
        <v>4262.53</v>
      </c>
      <c r="J446">
        <v>63937.95</v>
      </c>
    </row>
    <row r="447" spans="1:10" x14ac:dyDescent="0.35">
      <c r="A447" s="17">
        <v>45231</v>
      </c>
      <c r="B447" t="s">
        <v>20</v>
      </c>
      <c r="C447" t="s">
        <v>21</v>
      </c>
      <c r="D447" t="s">
        <v>22</v>
      </c>
      <c r="E447" t="s">
        <v>18</v>
      </c>
      <c r="F447">
        <v>18</v>
      </c>
      <c r="G447" t="s">
        <v>49</v>
      </c>
      <c r="H447">
        <v>40</v>
      </c>
      <c r="I447">
        <v>4059.82</v>
      </c>
      <c r="J447">
        <v>73076.759999999995</v>
      </c>
    </row>
    <row r="448" spans="1:10" x14ac:dyDescent="0.35">
      <c r="A448" s="17">
        <v>45274</v>
      </c>
      <c r="B448" t="s">
        <v>12</v>
      </c>
      <c r="C448" t="s">
        <v>16</v>
      </c>
      <c r="D448" t="s">
        <v>17</v>
      </c>
      <c r="E448" t="s">
        <v>24</v>
      </c>
      <c r="F448">
        <v>5</v>
      </c>
      <c r="G448" t="s">
        <v>50</v>
      </c>
      <c r="H448">
        <v>45</v>
      </c>
      <c r="I448">
        <v>278.31</v>
      </c>
      <c r="J448">
        <v>1391.55</v>
      </c>
    </row>
    <row r="449" spans="1:10" x14ac:dyDescent="0.35">
      <c r="A449" s="17">
        <v>45244</v>
      </c>
      <c r="B449" t="s">
        <v>20</v>
      </c>
      <c r="C449" t="s">
        <v>21</v>
      </c>
      <c r="D449" t="s">
        <v>22</v>
      </c>
      <c r="E449" t="s">
        <v>24</v>
      </c>
      <c r="F449">
        <v>5</v>
      </c>
      <c r="G449" t="s">
        <v>51</v>
      </c>
      <c r="H449">
        <v>32</v>
      </c>
      <c r="I449">
        <v>2423.83</v>
      </c>
      <c r="J449">
        <v>12119.15</v>
      </c>
    </row>
    <row r="450" spans="1:10" x14ac:dyDescent="0.35">
      <c r="A450" s="17">
        <v>45107</v>
      </c>
      <c r="B450" t="s">
        <v>8</v>
      </c>
      <c r="C450" t="s">
        <v>28</v>
      </c>
      <c r="D450" t="s">
        <v>29</v>
      </c>
      <c r="E450" t="s">
        <v>27</v>
      </c>
      <c r="F450">
        <v>8</v>
      </c>
      <c r="G450" t="s">
        <v>52</v>
      </c>
      <c r="H450">
        <v>20</v>
      </c>
      <c r="I450">
        <v>1916.14</v>
      </c>
      <c r="J450">
        <v>15329.12</v>
      </c>
    </row>
    <row r="451" spans="1:10" x14ac:dyDescent="0.35">
      <c r="A451" s="17">
        <v>45230</v>
      </c>
      <c r="B451" t="s">
        <v>20</v>
      </c>
      <c r="C451" t="s">
        <v>21</v>
      </c>
      <c r="D451" t="s">
        <v>22</v>
      </c>
      <c r="E451" t="s">
        <v>24</v>
      </c>
      <c r="F451">
        <v>14</v>
      </c>
      <c r="G451" t="s">
        <v>53</v>
      </c>
      <c r="H451">
        <v>26</v>
      </c>
      <c r="I451">
        <v>1598.93</v>
      </c>
      <c r="J451">
        <v>22385.02</v>
      </c>
    </row>
    <row r="452" spans="1:10" x14ac:dyDescent="0.35">
      <c r="A452" s="17">
        <v>45174</v>
      </c>
      <c r="B452" t="s">
        <v>8</v>
      </c>
      <c r="C452" t="s">
        <v>9</v>
      </c>
      <c r="D452" t="s">
        <v>23</v>
      </c>
      <c r="E452" t="s">
        <v>24</v>
      </c>
      <c r="F452">
        <v>20</v>
      </c>
      <c r="G452" t="s">
        <v>54</v>
      </c>
      <c r="H452">
        <v>25</v>
      </c>
      <c r="I452">
        <v>3474.05</v>
      </c>
      <c r="J452">
        <v>69481</v>
      </c>
    </row>
    <row r="453" spans="1:10" x14ac:dyDescent="0.35">
      <c r="A453" s="17">
        <v>44987</v>
      </c>
      <c r="B453" t="s">
        <v>8</v>
      </c>
      <c r="C453" t="s">
        <v>9</v>
      </c>
      <c r="D453" t="s">
        <v>23</v>
      </c>
      <c r="E453" t="s">
        <v>18</v>
      </c>
      <c r="F453">
        <v>18</v>
      </c>
      <c r="G453" t="s">
        <v>55</v>
      </c>
      <c r="H453">
        <v>31</v>
      </c>
      <c r="I453">
        <v>1306.19</v>
      </c>
      <c r="J453">
        <v>23511.42</v>
      </c>
    </row>
    <row r="454" spans="1:10" x14ac:dyDescent="0.35">
      <c r="A454" s="17">
        <v>45162</v>
      </c>
      <c r="B454" t="s">
        <v>12</v>
      </c>
      <c r="C454" t="s">
        <v>13</v>
      </c>
      <c r="D454" t="s">
        <v>14</v>
      </c>
      <c r="E454" t="s">
        <v>27</v>
      </c>
      <c r="F454">
        <v>1</v>
      </c>
      <c r="G454" t="s">
        <v>56</v>
      </c>
      <c r="H454">
        <v>36</v>
      </c>
      <c r="I454">
        <v>2710.27</v>
      </c>
      <c r="J454">
        <v>2710.27</v>
      </c>
    </row>
    <row r="455" spans="1:10" x14ac:dyDescent="0.35">
      <c r="A455" s="17">
        <v>45028</v>
      </c>
      <c r="B455" t="s">
        <v>8</v>
      </c>
      <c r="C455" t="s">
        <v>28</v>
      </c>
      <c r="D455" t="s">
        <v>32</v>
      </c>
      <c r="E455" t="s">
        <v>24</v>
      </c>
      <c r="F455">
        <v>19</v>
      </c>
      <c r="G455" t="s">
        <v>57</v>
      </c>
      <c r="H455">
        <v>46</v>
      </c>
      <c r="I455">
        <v>713.8</v>
      </c>
      <c r="J455">
        <v>13562.2</v>
      </c>
    </row>
    <row r="456" spans="1:10" x14ac:dyDescent="0.35">
      <c r="A456" s="17">
        <v>45038</v>
      </c>
      <c r="B456" t="s">
        <v>8</v>
      </c>
      <c r="C456" t="s">
        <v>28</v>
      </c>
      <c r="D456" t="s">
        <v>29</v>
      </c>
      <c r="E456" t="s">
        <v>15</v>
      </c>
      <c r="F456">
        <v>6</v>
      </c>
      <c r="G456" t="s">
        <v>58</v>
      </c>
      <c r="H456">
        <v>51</v>
      </c>
      <c r="I456">
        <v>1016.27</v>
      </c>
      <c r="J456">
        <v>6097.62</v>
      </c>
    </row>
    <row r="457" spans="1:10" x14ac:dyDescent="0.35">
      <c r="A457" s="17">
        <v>45148</v>
      </c>
      <c r="B457" t="s">
        <v>20</v>
      </c>
      <c r="C457" t="s">
        <v>21</v>
      </c>
      <c r="D457" t="s">
        <v>35</v>
      </c>
      <c r="E457" t="s">
        <v>15</v>
      </c>
      <c r="F457">
        <v>17</v>
      </c>
      <c r="G457" t="s">
        <v>59</v>
      </c>
      <c r="H457">
        <v>55</v>
      </c>
      <c r="I457">
        <v>1645.97</v>
      </c>
      <c r="J457">
        <v>27981.49</v>
      </c>
    </row>
    <row r="458" spans="1:10" x14ac:dyDescent="0.35">
      <c r="A458" s="17">
        <v>45220</v>
      </c>
      <c r="B458" t="s">
        <v>12</v>
      </c>
      <c r="C458" t="s">
        <v>13</v>
      </c>
      <c r="D458" t="s">
        <v>14</v>
      </c>
      <c r="E458" t="s">
        <v>18</v>
      </c>
      <c r="F458">
        <v>13</v>
      </c>
      <c r="G458" t="s">
        <v>48</v>
      </c>
      <c r="H458">
        <v>30</v>
      </c>
      <c r="I458">
        <v>1976.63</v>
      </c>
      <c r="J458">
        <v>25696.19</v>
      </c>
    </row>
    <row r="459" spans="1:10" x14ac:dyDescent="0.35">
      <c r="A459" s="17">
        <v>44996</v>
      </c>
      <c r="B459" t="s">
        <v>8</v>
      </c>
      <c r="C459" t="s">
        <v>9</v>
      </c>
      <c r="D459" t="s">
        <v>10</v>
      </c>
      <c r="E459" t="s">
        <v>15</v>
      </c>
      <c r="F459">
        <v>20</v>
      </c>
      <c r="G459" t="s">
        <v>49</v>
      </c>
      <c r="H459">
        <v>19</v>
      </c>
      <c r="I459">
        <v>1222.92</v>
      </c>
      <c r="J459">
        <v>24458.400000000001</v>
      </c>
    </row>
    <row r="460" spans="1:10" x14ac:dyDescent="0.35">
      <c r="A460" s="17">
        <v>45120</v>
      </c>
      <c r="B460" t="s">
        <v>12</v>
      </c>
      <c r="C460" t="s">
        <v>16</v>
      </c>
      <c r="D460" t="s">
        <v>25</v>
      </c>
      <c r="E460" t="s">
        <v>27</v>
      </c>
      <c r="F460">
        <v>9</v>
      </c>
      <c r="G460" t="s">
        <v>50</v>
      </c>
      <c r="H460">
        <v>20</v>
      </c>
      <c r="I460">
        <v>491.64</v>
      </c>
      <c r="J460">
        <v>4424.76</v>
      </c>
    </row>
    <row r="461" spans="1:10" x14ac:dyDescent="0.35">
      <c r="A461" s="17">
        <v>44996</v>
      </c>
      <c r="B461" t="s">
        <v>8</v>
      </c>
      <c r="C461" t="s">
        <v>9</v>
      </c>
      <c r="D461" t="s">
        <v>31</v>
      </c>
      <c r="E461" t="s">
        <v>18</v>
      </c>
      <c r="F461">
        <v>5</v>
      </c>
      <c r="G461" t="s">
        <v>51</v>
      </c>
      <c r="H461">
        <v>40</v>
      </c>
      <c r="I461">
        <v>2583.81</v>
      </c>
      <c r="J461">
        <v>12919.05</v>
      </c>
    </row>
    <row r="462" spans="1:10" x14ac:dyDescent="0.35">
      <c r="A462" s="17">
        <v>45229</v>
      </c>
      <c r="B462" t="s">
        <v>8</v>
      </c>
      <c r="C462" t="s">
        <v>9</v>
      </c>
      <c r="D462" t="s">
        <v>10</v>
      </c>
      <c r="E462" t="s">
        <v>15</v>
      </c>
      <c r="F462">
        <v>5</v>
      </c>
      <c r="G462" t="s">
        <v>52</v>
      </c>
      <c r="H462">
        <v>19</v>
      </c>
      <c r="I462">
        <v>3288.58</v>
      </c>
      <c r="J462">
        <v>16442.900000000001</v>
      </c>
    </row>
    <row r="463" spans="1:10" x14ac:dyDescent="0.35">
      <c r="A463" s="17">
        <v>45262</v>
      </c>
      <c r="B463" t="s">
        <v>12</v>
      </c>
      <c r="C463" t="s">
        <v>13</v>
      </c>
      <c r="D463" t="s">
        <v>26</v>
      </c>
      <c r="E463" t="s">
        <v>15</v>
      </c>
      <c r="F463">
        <v>3</v>
      </c>
      <c r="G463" t="s">
        <v>53</v>
      </c>
      <c r="H463">
        <v>38</v>
      </c>
      <c r="I463">
        <v>3445.08</v>
      </c>
      <c r="J463">
        <v>10335.24</v>
      </c>
    </row>
    <row r="464" spans="1:10" x14ac:dyDescent="0.35">
      <c r="A464" s="17">
        <v>45291</v>
      </c>
      <c r="B464" t="s">
        <v>8</v>
      </c>
      <c r="C464" t="s">
        <v>9</v>
      </c>
      <c r="D464" t="s">
        <v>31</v>
      </c>
      <c r="E464" t="s">
        <v>11</v>
      </c>
      <c r="F464">
        <v>10</v>
      </c>
      <c r="G464" t="s">
        <v>54</v>
      </c>
      <c r="H464">
        <v>32</v>
      </c>
      <c r="I464">
        <v>3806.67</v>
      </c>
      <c r="J464">
        <v>38066.699999999997</v>
      </c>
    </row>
    <row r="465" spans="1:10" x14ac:dyDescent="0.35">
      <c r="A465" s="17">
        <v>45162</v>
      </c>
      <c r="B465" t="s">
        <v>8</v>
      </c>
      <c r="C465" t="s">
        <v>28</v>
      </c>
      <c r="D465" t="s">
        <v>29</v>
      </c>
      <c r="E465" t="s">
        <v>27</v>
      </c>
      <c r="F465">
        <v>16</v>
      </c>
      <c r="G465" t="s">
        <v>55</v>
      </c>
      <c r="H465">
        <v>26</v>
      </c>
      <c r="I465">
        <v>796.69</v>
      </c>
      <c r="J465">
        <v>12747.04</v>
      </c>
    </row>
    <row r="466" spans="1:10" x14ac:dyDescent="0.35">
      <c r="A466" s="17">
        <v>44969</v>
      </c>
      <c r="B466" t="s">
        <v>20</v>
      </c>
      <c r="C466" t="s">
        <v>21</v>
      </c>
      <c r="D466" t="s">
        <v>35</v>
      </c>
      <c r="E466" t="s">
        <v>24</v>
      </c>
      <c r="F466">
        <v>1</v>
      </c>
      <c r="G466" t="s">
        <v>56</v>
      </c>
      <c r="H466">
        <v>25</v>
      </c>
      <c r="I466">
        <v>2489.17</v>
      </c>
      <c r="J466">
        <v>2489.17</v>
      </c>
    </row>
    <row r="467" spans="1:10" x14ac:dyDescent="0.35">
      <c r="A467" s="17">
        <v>45146</v>
      </c>
      <c r="B467" t="s">
        <v>8</v>
      </c>
      <c r="C467" t="s">
        <v>9</v>
      </c>
      <c r="D467" t="s">
        <v>10</v>
      </c>
      <c r="E467" t="s">
        <v>27</v>
      </c>
      <c r="F467">
        <v>6</v>
      </c>
      <c r="G467" t="s">
        <v>57</v>
      </c>
      <c r="H467">
        <v>25</v>
      </c>
      <c r="I467">
        <v>1701.04</v>
      </c>
      <c r="J467">
        <v>10206.24</v>
      </c>
    </row>
    <row r="468" spans="1:10" x14ac:dyDescent="0.35">
      <c r="A468" s="17">
        <v>45028</v>
      </c>
      <c r="B468" t="s">
        <v>20</v>
      </c>
      <c r="C468" t="s">
        <v>21</v>
      </c>
      <c r="D468" t="s">
        <v>22</v>
      </c>
      <c r="E468" t="s">
        <v>18</v>
      </c>
      <c r="F468">
        <v>5</v>
      </c>
      <c r="G468" t="s">
        <v>58</v>
      </c>
      <c r="H468">
        <v>31</v>
      </c>
      <c r="I468">
        <v>143.78</v>
      </c>
      <c r="J468">
        <v>718.9</v>
      </c>
    </row>
    <row r="469" spans="1:10" x14ac:dyDescent="0.35">
      <c r="A469" s="17">
        <v>45256</v>
      </c>
      <c r="B469" t="s">
        <v>8</v>
      </c>
      <c r="C469" t="s">
        <v>9</v>
      </c>
      <c r="D469" t="s">
        <v>23</v>
      </c>
      <c r="E469" t="s">
        <v>27</v>
      </c>
      <c r="F469">
        <v>20</v>
      </c>
      <c r="G469" t="s">
        <v>59</v>
      </c>
      <c r="H469">
        <v>43</v>
      </c>
      <c r="I469">
        <v>1260.25</v>
      </c>
      <c r="J469">
        <v>25205</v>
      </c>
    </row>
    <row r="470" spans="1:10" x14ac:dyDescent="0.35">
      <c r="A470" s="17">
        <v>44969</v>
      </c>
      <c r="B470" t="s">
        <v>8</v>
      </c>
      <c r="C470" t="s">
        <v>9</v>
      </c>
      <c r="D470" t="s">
        <v>31</v>
      </c>
      <c r="E470" t="s">
        <v>18</v>
      </c>
      <c r="F470">
        <v>18</v>
      </c>
      <c r="G470" t="s">
        <v>48</v>
      </c>
      <c r="H470">
        <v>37</v>
      </c>
      <c r="I470">
        <v>3040.28</v>
      </c>
      <c r="J470">
        <v>54725.04</v>
      </c>
    </row>
    <row r="471" spans="1:10" x14ac:dyDescent="0.35">
      <c r="A471" s="17">
        <v>45097</v>
      </c>
      <c r="B471" t="s">
        <v>8</v>
      </c>
      <c r="C471" t="s">
        <v>28</v>
      </c>
      <c r="D471" t="s">
        <v>29</v>
      </c>
      <c r="E471" t="s">
        <v>27</v>
      </c>
      <c r="F471">
        <v>4</v>
      </c>
      <c r="G471" t="s">
        <v>49</v>
      </c>
      <c r="H471">
        <v>50</v>
      </c>
      <c r="I471">
        <v>3561.12</v>
      </c>
      <c r="J471">
        <v>14244.48</v>
      </c>
    </row>
    <row r="472" spans="1:10" x14ac:dyDescent="0.35">
      <c r="A472" s="17">
        <v>45279</v>
      </c>
      <c r="B472" t="s">
        <v>8</v>
      </c>
      <c r="C472" t="s">
        <v>9</v>
      </c>
      <c r="D472" t="s">
        <v>10</v>
      </c>
      <c r="E472" t="s">
        <v>27</v>
      </c>
      <c r="F472">
        <v>19</v>
      </c>
      <c r="G472" t="s">
        <v>50</v>
      </c>
      <c r="H472">
        <v>23</v>
      </c>
      <c r="I472">
        <v>3718.59</v>
      </c>
      <c r="J472">
        <v>70653.210000000006</v>
      </c>
    </row>
    <row r="473" spans="1:10" x14ac:dyDescent="0.35">
      <c r="A473" s="17">
        <v>44940</v>
      </c>
      <c r="B473" t="s">
        <v>20</v>
      </c>
      <c r="C473" t="s">
        <v>21</v>
      </c>
      <c r="D473" t="s">
        <v>34</v>
      </c>
      <c r="E473" t="s">
        <v>24</v>
      </c>
      <c r="F473">
        <v>12</v>
      </c>
      <c r="G473" t="s">
        <v>51</v>
      </c>
      <c r="H473">
        <v>25</v>
      </c>
      <c r="I473">
        <v>4011.85</v>
      </c>
      <c r="J473">
        <v>48142.2</v>
      </c>
    </row>
    <row r="474" spans="1:10" x14ac:dyDescent="0.35">
      <c r="A474" s="17">
        <v>45033</v>
      </c>
      <c r="B474" t="s">
        <v>20</v>
      </c>
      <c r="C474" t="s">
        <v>21</v>
      </c>
      <c r="D474" t="s">
        <v>34</v>
      </c>
      <c r="E474" t="s">
        <v>27</v>
      </c>
      <c r="F474">
        <v>13</v>
      </c>
      <c r="G474" t="s">
        <v>52</v>
      </c>
      <c r="H474">
        <v>29</v>
      </c>
      <c r="I474">
        <v>4542.74</v>
      </c>
      <c r="J474">
        <v>59055.62</v>
      </c>
    </row>
    <row r="475" spans="1:10" x14ac:dyDescent="0.35">
      <c r="A475" s="17">
        <v>45094</v>
      </c>
      <c r="B475" t="s">
        <v>12</v>
      </c>
      <c r="C475" t="s">
        <v>16</v>
      </c>
      <c r="D475" t="s">
        <v>19</v>
      </c>
      <c r="E475" t="s">
        <v>15</v>
      </c>
      <c r="F475">
        <v>15</v>
      </c>
      <c r="G475" t="s">
        <v>53</v>
      </c>
      <c r="H475">
        <v>18</v>
      </c>
      <c r="I475">
        <v>3048.36</v>
      </c>
      <c r="J475">
        <v>45725.4</v>
      </c>
    </row>
    <row r="476" spans="1:10" x14ac:dyDescent="0.35">
      <c r="A476" s="17">
        <v>45004</v>
      </c>
      <c r="B476" t="s">
        <v>12</v>
      </c>
      <c r="C476" t="s">
        <v>16</v>
      </c>
      <c r="D476" t="s">
        <v>17</v>
      </c>
      <c r="E476" t="s">
        <v>24</v>
      </c>
      <c r="F476">
        <v>4</v>
      </c>
      <c r="G476" t="s">
        <v>54</v>
      </c>
      <c r="H476">
        <v>25</v>
      </c>
      <c r="I476">
        <v>366.33</v>
      </c>
      <c r="J476">
        <v>1465.32</v>
      </c>
    </row>
    <row r="477" spans="1:10" x14ac:dyDescent="0.35">
      <c r="A477" s="17">
        <v>44940</v>
      </c>
      <c r="B477" t="s">
        <v>20</v>
      </c>
      <c r="C477" t="s">
        <v>21</v>
      </c>
      <c r="D477" t="s">
        <v>34</v>
      </c>
      <c r="E477" t="s">
        <v>18</v>
      </c>
      <c r="F477">
        <v>9</v>
      </c>
      <c r="G477" t="s">
        <v>55</v>
      </c>
      <c r="H477">
        <v>17</v>
      </c>
      <c r="I477">
        <v>3137.87</v>
      </c>
      <c r="J477">
        <v>28240.83</v>
      </c>
    </row>
    <row r="478" spans="1:10" x14ac:dyDescent="0.35">
      <c r="A478" s="17">
        <v>45227</v>
      </c>
      <c r="B478" t="s">
        <v>20</v>
      </c>
      <c r="C478" t="s">
        <v>21</v>
      </c>
      <c r="D478" t="s">
        <v>34</v>
      </c>
      <c r="E478" t="s">
        <v>15</v>
      </c>
      <c r="F478">
        <v>12</v>
      </c>
      <c r="G478" t="s">
        <v>56</v>
      </c>
      <c r="H478">
        <v>41</v>
      </c>
      <c r="I478">
        <v>225.88</v>
      </c>
      <c r="J478">
        <v>2710.56</v>
      </c>
    </row>
    <row r="479" spans="1:10" x14ac:dyDescent="0.35">
      <c r="A479" s="17">
        <v>45168</v>
      </c>
      <c r="B479" t="s">
        <v>12</v>
      </c>
      <c r="C479" t="s">
        <v>16</v>
      </c>
      <c r="D479" t="s">
        <v>25</v>
      </c>
      <c r="E479" t="s">
        <v>18</v>
      </c>
      <c r="F479">
        <v>11</v>
      </c>
      <c r="G479" t="s">
        <v>57</v>
      </c>
      <c r="H479">
        <v>29</v>
      </c>
      <c r="I479">
        <v>920.95</v>
      </c>
      <c r="J479">
        <v>10130.450000000001</v>
      </c>
    </row>
    <row r="480" spans="1:10" x14ac:dyDescent="0.35">
      <c r="A480" s="17">
        <v>45058</v>
      </c>
      <c r="B480" t="s">
        <v>20</v>
      </c>
      <c r="C480" t="s">
        <v>21</v>
      </c>
      <c r="D480" t="s">
        <v>35</v>
      </c>
      <c r="E480" t="s">
        <v>18</v>
      </c>
      <c r="F480">
        <v>16</v>
      </c>
      <c r="G480" t="s">
        <v>58</v>
      </c>
      <c r="H480">
        <v>32</v>
      </c>
      <c r="I480">
        <v>2991.84</v>
      </c>
      <c r="J480">
        <v>47869.440000000002</v>
      </c>
    </row>
    <row r="481" spans="1:10" x14ac:dyDescent="0.35">
      <c r="A481" s="17">
        <v>45141</v>
      </c>
      <c r="B481" t="s">
        <v>20</v>
      </c>
      <c r="C481" t="s">
        <v>21</v>
      </c>
      <c r="D481" t="s">
        <v>22</v>
      </c>
      <c r="E481" t="s">
        <v>11</v>
      </c>
      <c r="F481">
        <v>18</v>
      </c>
      <c r="G481" t="s">
        <v>59</v>
      </c>
      <c r="H481">
        <v>27</v>
      </c>
      <c r="I481">
        <v>3287.05</v>
      </c>
      <c r="J481">
        <v>59166.9</v>
      </c>
    </row>
    <row r="482" spans="1:10" x14ac:dyDescent="0.35">
      <c r="A482" s="17">
        <v>45253</v>
      </c>
      <c r="B482" t="s">
        <v>12</v>
      </c>
      <c r="C482" t="s">
        <v>13</v>
      </c>
      <c r="D482" t="s">
        <v>26</v>
      </c>
      <c r="E482" t="s">
        <v>18</v>
      </c>
      <c r="F482">
        <v>12</v>
      </c>
      <c r="G482" t="s">
        <v>48</v>
      </c>
      <c r="H482">
        <v>30</v>
      </c>
      <c r="I482">
        <v>1748.6</v>
      </c>
      <c r="J482">
        <v>20983.200000000001</v>
      </c>
    </row>
    <row r="483" spans="1:10" x14ac:dyDescent="0.35">
      <c r="A483" s="17">
        <v>45132</v>
      </c>
      <c r="B483" t="s">
        <v>12</v>
      </c>
      <c r="C483" t="s">
        <v>13</v>
      </c>
      <c r="D483" t="s">
        <v>26</v>
      </c>
      <c r="E483" t="s">
        <v>15</v>
      </c>
      <c r="F483">
        <v>10</v>
      </c>
      <c r="G483" t="s">
        <v>49</v>
      </c>
      <c r="H483">
        <v>31</v>
      </c>
      <c r="I483">
        <v>159.27000000000001</v>
      </c>
      <c r="J483">
        <v>1592.7</v>
      </c>
    </row>
    <row r="484" spans="1:10" x14ac:dyDescent="0.35">
      <c r="A484" s="17">
        <v>45200</v>
      </c>
      <c r="B484" t="s">
        <v>8</v>
      </c>
      <c r="C484" t="s">
        <v>28</v>
      </c>
      <c r="D484" t="s">
        <v>32</v>
      </c>
      <c r="E484" t="s">
        <v>15</v>
      </c>
      <c r="F484">
        <v>20</v>
      </c>
      <c r="G484" t="s">
        <v>50</v>
      </c>
      <c r="H484">
        <v>21</v>
      </c>
      <c r="I484">
        <v>4712.75</v>
      </c>
      <c r="J484">
        <v>94255</v>
      </c>
    </row>
    <row r="485" spans="1:10" x14ac:dyDescent="0.35">
      <c r="A485" s="17">
        <v>45132</v>
      </c>
      <c r="B485" t="s">
        <v>12</v>
      </c>
      <c r="C485" t="s">
        <v>16</v>
      </c>
      <c r="D485" t="s">
        <v>17</v>
      </c>
      <c r="E485" t="s">
        <v>11</v>
      </c>
      <c r="F485">
        <v>12</v>
      </c>
      <c r="G485" t="s">
        <v>51</v>
      </c>
      <c r="H485">
        <v>53</v>
      </c>
      <c r="I485">
        <v>2821.2</v>
      </c>
      <c r="J485">
        <v>33854.400000000001</v>
      </c>
    </row>
    <row r="486" spans="1:10" x14ac:dyDescent="0.35">
      <c r="A486" s="17">
        <v>45114</v>
      </c>
      <c r="B486" t="s">
        <v>12</v>
      </c>
      <c r="C486" t="s">
        <v>16</v>
      </c>
      <c r="D486" t="s">
        <v>25</v>
      </c>
      <c r="E486" t="s">
        <v>18</v>
      </c>
      <c r="F486">
        <v>20</v>
      </c>
      <c r="G486" t="s">
        <v>52</v>
      </c>
      <c r="H486">
        <v>26</v>
      </c>
      <c r="I486">
        <v>3891.28</v>
      </c>
      <c r="J486">
        <v>77825.600000000006</v>
      </c>
    </row>
    <row r="487" spans="1:10" x14ac:dyDescent="0.35">
      <c r="A487" s="17">
        <v>45080</v>
      </c>
      <c r="B487" t="s">
        <v>8</v>
      </c>
      <c r="C487" t="s">
        <v>9</v>
      </c>
      <c r="D487" t="s">
        <v>23</v>
      </c>
      <c r="E487" t="s">
        <v>15</v>
      </c>
      <c r="F487">
        <v>16</v>
      </c>
      <c r="G487" t="s">
        <v>53</v>
      </c>
      <c r="H487">
        <v>45</v>
      </c>
      <c r="I487">
        <v>3599.32</v>
      </c>
      <c r="J487">
        <v>57589.120000000003</v>
      </c>
    </row>
    <row r="488" spans="1:10" x14ac:dyDescent="0.35">
      <c r="A488" s="17">
        <v>44968</v>
      </c>
      <c r="B488" t="s">
        <v>8</v>
      </c>
      <c r="C488" t="s">
        <v>28</v>
      </c>
      <c r="D488" t="s">
        <v>30</v>
      </c>
      <c r="E488" t="s">
        <v>11</v>
      </c>
      <c r="F488">
        <v>20</v>
      </c>
      <c r="G488" t="s">
        <v>54</v>
      </c>
      <c r="H488">
        <v>41</v>
      </c>
      <c r="I488">
        <v>633.87</v>
      </c>
      <c r="J488">
        <v>12677.4</v>
      </c>
    </row>
    <row r="489" spans="1:10" x14ac:dyDescent="0.35">
      <c r="A489" s="17">
        <v>45257</v>
      </c>
      <c r="B489" t="s">
        <v>8</v>
      </c>
      <c r="C489" t="s">
        <v>28</v>
      </c>
      <c r="D489" t="s">
        <v>30</v>
      </c>
      <c r="E489" t="s">
        <v>27</v>
      </c>
      <c r="F489">
        <v>1</v>
      </c>
      <c r="G489" t="s">
        <v>55</v>
      </c>
      <c r="H489">
        <v>51</v>
      </c>
      <c r="I489">
        <v>983.24</v>
      </c>
      <c r="J489">
        <v>983.24</v>
      </c>
    </row>
    <row r="490" spans="1:10" x14ac:dyDescent="0.35">
      <c r="A490" s="17">
        <v>45119</v>
      </c>
      <c r="B490" t="s">
        <v>12</v>
      </c>
      <c r="C490" t="s">
        <v>16</v>
      </c>
      <c r="D490" t="s">
        <v>19</v>
      </c>
      <c r="E490" t="s">
        <v>27</v>
      </c>
      <c r="F490">
        <v>9</v>
      </c>
      <c r="G490" t="s">
        <v>56</v>
      </c>
      <c r="H490">
        <v>40</v>
      </c>
      <c r="I490">
        <v>2427.88</v>
      </c>
      <c r="J490">
        <v>21850.92</v>
      </c>
    </row>
    <row r="491" spans="1:10" x14ac:dyDescent="0.35">
      <c r="A491" s="17">
        <v>45253</v>
      </c>
      <c r="B491" t="s">
        <v>12</v>
      </c>
      <c r="C491" t="s">
        <v>13</v>
      </c>
      <c r="D491" t="s">
        <v>26</v>
      </c>
      <c r="E491" t="s">
        <v>15</v>
      </c>
      <c r="F491">
        <v>16</v>
      </c>
      <c r="G491" t="s">
        <v>57</v>
      </c>
      <c r="H491">
        <v>38</v>
      </c>
      <c r="I491">
        <v>2600.48</v>
      </c>
      <c r="J491">
        <v>41607.68</v>
      </c>
    </row>
    <row r="492" spans="1:10" x14ac:dyDescent="0.35">
      <c r="A492" s="17">
        <v>45013</v>
      </c>
      <c r="B492" t="s">
        <v>20</v>
      </c>
      <c r="C492" t="s">
        <v>21</v>
      </c>
      <c r="D492" t="s">
        <v>22</v>
      </c>
      <c r="E492" t="s">
        <v>27</v>
      </c>
      <c r="F492">
        <v>1</v>
      </c>
      <c r="G492" t="s">
        <v>58</v>
      </c>
      <c r="H492">
        <v>23</v>
      </c>
      <c r="I492">
        <v>1967.8</v>
      </c>
      <c r="J492">
        <v>1967.8</v>
      </c>
    </row>
    <row r="493" spans="1:10" x14ac:dyDescent="0.35">
      <c r="A493" s="17">
        <v>45141</v>
      </c>
      <c r="B493" t="s">
        <v>8</v>
      </c>
      <c r="C493" t="s">
        <v>9</v>
      </c>
      <c r="D493" t="s">
        <v>10</v>
      </c>
      <c r="E493" t="s">
        <v>24</v>
      </c>
      <c r="F493">
        <v>14</v>
      </c>
      <c r="G493" t="s">
        <v>59</v>
      </c>
      <c r="H493">
        <v>40</v>
      </c>
      <c r="I493">
        <v>2918.42</v>
      </c>
      <c r="J493">
        <v>40857.879999999997</v>
      </c>
    </row>
    <row r="494" spans="1:10" x14ac:dyDescent="0.35">
      <c r="A494" s="17">
        <v>45267</v>
      </c>
      <c r="B494" t="s">
        <v>20</v>
      </c>
      <c r="C494" t="s">
        <v>21</v>
      </c>
      <c r="D494" t="s">
        <v>35</v>
      </c>
      <c r="E494" t="s">
        <v>24</v>
      </c>
      <c r="F494">
        <v>20</v>
      </c>
      <c r="G494" t="s">
        <v>48</v>
      </c>
      <c r="H494">
        <v>17</v>
      </c>
      <c r="I494">
        <v>4821.82</v>
      </c>
      <c r="J494">
        <v>96436.4</v>
      </c>
    </row>
    <row r="495" spans="1:10" x14ac:dyDescent="0.35">
      <c r="A495" s="17">
        <v>45287</v>
      </c>
      <c r="B495" t="s">
        <v>8</v>
      </c>
      <c r="C495" t="s">
        <v>9</v>
      </c>
      <c r="D495" t="s">
        <v>31</v>
      </c>
      <c r="E495" t="s">
        <v>11</v>
      </c>
      <c r="F495">
        <v>11</v>
      </c>
      <c r="G495" t="s">
        <v>49</v>
      </c>
      <c r="H495">
        <v>16</v>
      </c>
      <c r="I495">
        <v>923.59</v>
      </c>
      <c r="J495">
        <v>10159.49</v>
      </c>
    </row>
    <row r="496" spans="1:10" x14ac:dyDescent="0.35">
      <c r="A496" s="17">
        <v>45028</v>
      </c>
      <c r="B496" t="s">
        <v>20</v>
      </c>
      <c r="C496" t="s">
        <v>21</v>
      </c>
      <c r="D496" t="s">
        <v>22</v>
      </c>
      <c r="E496" t="s">
        <v>24</v>
      </c>
      <c r="F496">
        <v>1</v>
      </c>
      <c r="G496" t="s">
        <v>50</v>
      </c>
      <c r="H496">
        <v>34</v>
      </c>
      <c r="I496">
        <v>1410.8</v>
      </c>
      <c r="J496">
        <v>1410.8</v>
      </c>
    </row>
    <row r="497" spans="1:10" x14ac:dyDescent="0.35">
      <c r="A497" s="17">
        <v>45003</v>
      </c>
      <c r="B497" t="s">
        <v>12</v>
      </c>
      <c r="C497" t="s">
        <v>16</v>
      </c>
      <c r="D497" t="s">
        <v>19</v>
      </c>
      <c r="E497" t="s">
        <v>15</v>
      </c>
      <c r="F497">
        <v>16</v>
      </c>
      <c r="G497" t="s">
        <v>51</v>
      </c>
      <c r="H497">
        <v>41</v>
      </c>
      <c r="I497">
        <v>874.99</v>
      </c>
      <c r="J497">
        <v>13999.84</v>
      </c>
    </row>
    <row r="498" spans="1:10" x14ac:dyDescent="0.35">
      <c r="A498" s="17">
        <v>45172</v>
      </c>
      <c r="B498" t="s">
        <v>20</v>
      </c>
      <c r="C498" t="s">
        <v>21</v>
      </c>
      <c r="D498" t="s">
        <v>35</v>
      </c>
      <c r="E498" t="s">
        <v>27</v>
      </c>
      <c r="F498">
        <v>5</v>
      </c>
      <c r="G498" t="s">
        <v>52</v>
      </c>
      <c r="H498">
        <v>33</v>
      </c>
      <c r="I498">
        <v>4165.41</v>
      </c>
      <c r="J498">
        <v>20827.05</v>
      </c>
    </row>
    <row r="499" spans="1:10" x14ac:dyDescent="0.35">
      <c r="A499" s="17">
        <v>44940</v>
      </c>
      <c r="B499" t="s">
        <v>12</v>
      </c>
      <c r="C499" t="s">
        <v>16</v>
      </c>
      <c r="D499" t="s">
        <v>19</v>
      </c>
      <c r="E499" t="s">
        <v>24</v>
      </c>
      <c r="F499">
        <v>2</v>
      </c>
      <c r="G499" t="s">
        <v>53</v>
      </c>
      <c r="H499">
        <v>47</v>
      </c>
      <c r="I499">
        <v>3072.48</v>
      </c>
      <c r="J499">
        <v>6144.96</v>
      </c>
    </row>
    <row r="500" spans="1:10" x14ac:dyDescent="0.35">
      <c r="A500" s="17">
        <v>45199</v>
      </c>
      <c r="B500" t="s">
        <v>8</v>
      </c>
      <c r="C500" t="s">
        <v>28</v>
      </c>
      <c r="D500" t="s">
        <v>32</v>
      </c>
      <c r="E500" t="s">
        <v>15</v>
      </c>
      <c r="F500">
        <v>11</v>
      </c>
      <c r="G500" t="s">
        <v>54</v>
      </c>
      <c r="H500">
        <v>25</v>
      </c>
      <c r="I500">
        <v>793.45</v>
      </c>
      <c r="J500">
        <v>8727.9500000000007</v>
      </c>
    </row>
    <row r="501" spans="1:10" x14ac:dyDescent="0.35">
      <c r="A501" s="17">
        <v>45124</v>
      </c>
      <c r="B501" t="s">
        <v>20</v>
      </c>
      <c r="C501" t="s">
        <v>21</v>
      </c>
      <c r="D501" t="s">
        <v>34</v>
      </c>
      <c r="E501" t="s">
        <v>11</v>
      </c>
      <c r="F501">
        <v>3</v>
      </c>
      <c r="G501" t="s">
        <v>55</v>
      </c>
      <c r="H501">
        <v>32</v>
      </c>
      <c r="I501">
        <v>2040.38</v>
      </c>
      <c r="J501">
        <v>6121.14</v>
      </c>
    </row>
    <row r="502" spans="1:10" x14ac:dyDescent="0.35">
      <c r="A502" s="17">
        <v>44985</v>
      </c>
      <c r="B502" t="s">
        <v>8</v>
      </c>
      <c r="C502" t="s">
        <v>9</v>
      </c>
      <c r="D502" t="s">
        <v>10</v>
      </c>
      <c r="E502" t="s">
        <v>18</v>
      </c>
      <c r="F502">
        <v>4</v>
      </c>
      <c r="G502" t="s">
        <v>56</v>
      </c>
      <c r="H502">
        <v>40</v>
      </c>
      <c r="I502">
        <v>1080.1600000000001</v>
      </c>
      <c r="J502">
        <v>4320.6400000000003</v>
      </c>
    </row>
    <row r="503" spans="1:10" x14ac:dyDescent="0.35">
      <c r="A503" s="17">
        <v>45129</v>
      </c>
      <c r="B503" t="s">
        <v>8</v>
      </c>
      <c r="C503" t="s">
        <v>9</v>
      </c>
      <c r="D503" t="s">
        <v>10</v>
      </c>
      <c r="E503" t="s">
        <v>15</v>
      </c>
      <c r="F503">
        <v>20</v>
      </c>
      <c r="G503" t="s">
        <v>57</v>
      </c>
      <c r="H503">
        <v>50</v>
      </c>
      <c r="I503">
        <v>2631.58</v>
      </c>
      <c r="J503">
        <v>52631.6</v>
      </c>
    </row>
    <row r="504" spans="1:10" x14ac:dyDescent="0.35">
      <c r="A504" s="17">
        <v>44987</v>
      </c>
      <c r="B504" t="s">
        <v>8</v>
      </c>
      <c r="C504" t="s">
        <v>28</v>
      </c>
      <c r="D504" t="s">
        <v>29</v>
      </c>
      <c r="E504" t="s">
        <v>15</v>
      </c>
      <c r="F504">
        <v>18</v>
      </c>
      <c r="G504" t="s">
        <v>58</v>
      </c>
      <c r="H504">
        <v>48</v>
      </c>
      <c r="I504">
        <v>1164.29</v>
      </c>
      <c r="J504">
        <v>20957.22</v>
      </c>
    </row>
    <row r="505" spans="1:10" x14ac:dyDescent="0.35">
      <c r="A505" s="17">
        <v>45257</v>
      </c>
      <c r="B505" t="s">
        <v>8</v>
      </c>
      <c r="C505" t="s">
        <v>9</v>
      </c>
      <c r="D505" t="s">
        <v>31</v>
      </c>
      <c r="E505" t="s">
        <v>11</v>
      </c>
      <c r="F505">
        <v>6</v>
      </c>
      <c r="G505" t="s">
        <v>59</v>
      </c>
      <c r="H505">
        <v>53</v>
      </c>
      <c r="I505">
        <v>177.34</v>
      </c>
      <c r="J505">
        <v>1064.04</v>
      </c>
    </row>
    <row r="506" spans="1:10" x14ac:dyDescent="0.35">
      <c r="A506" s="17">
        <v>45279</v>
      </c>
      <c r="B506" t="s">
        <v>8</v>
      </c>
      <c r="C506" t="s">
        <v>9</v>
      </c>
      <c r="D506" t="s">
        <v>10</v>
      </c>
      <c r="E506" t="s">
        <v>15</v>
      </c>
      <c r="F506">
        <v>20</v>
      </c>
      <c r="G506" t="s">
        <v>48</v>
      </c>
      <c r="H506">
        <v>18</v>
      </c>
      <c r="I506">
        <v>1507.52</v>
      </c>
      <c r="J506">
        <v>30150.400000000001</v>
      </c>
    </row>
    <row r="507" spans="1:10" x14ac:dyDescent="0.35">
      <c r="A507" s="17">
        <v>45073</v>
      </c>
      <c r="B507" t="s">
        <v>8</v>
      </c>
      <c r="C507" t="s">
        <v>9</v>
      </c>
      <c r="D507" t="s">
        <v>31</v>
      </c>
      <c r="E507" t="s">
        <v>11</v>
      </c>
      <c r="F507">
        <v>10</v>
      </c>
      <c r="G507" t="s">
        <v>49</v>
      </c>
      <c r="H507">
        <v>29</v>
      </c>
      <c r="I507">
        <v>938.57</v>
      </c>
      <c r="J507">
        <v>9385.7000000000007</v>
      </c>
    </row>
    <row r="508" spans="1:10" x14ac:dyDescent="0.35">
      <c r="A508" s="17">
        <v>45043</v>
      </c>
      <c r="B508" t="s">
        <v>12</v>
      </c>
      <c r="C508" t="s">
        <v>13</v>
      </c>
      <c r="D508" t="s">
        <v>14</v>
      </c>
      <c r="E508" t="s">
        <v>11</v>
      </c>
      <c r="F508">
        <v>18</v>
      </c>
      <c r="G508" t="s">
        <v>50</v>
      </c>
      <c r="H508">
        <v>38</v>
      </c>
      <c r="I508">
        <v>1156.17</v>
      </c>
      <c r="J508">
        <v>20811.060000000001</v>
      </c>
    </row>
    <row r="509" spans="1:10" x14ac:dyDescent="0.35">
      <c r="A509" s="17">
        <v>45225</v>
      </c>
      <c r="B509" t="s">
        <v>8</v>
      </c>
      <c r="C509" t="s">
        <v>9</v>
      </c>
      <c r="D509" t="s">
        <v>10</v>
      </c>
      <c r="E509" t="s">
        <v>11</v>
      </c>
      <c r="F509">
        <v>4</v>
      </c>
      <c r="G509" t="s">
        <v>51</v>
      </c>
      <c r="H509">
        <v>18</v>
      </c>
      <c r="I509">
        <v>4386.54</v>
      </c>
      <c r="J509">
        <v>17546.16</v>
      </c>
    </row>
    <row r="510" spans="1:10" x14ac:dyDescent="0.35">
      <c r="A510" s="17">
        <v>45245</v>
      </c>
      <c r="B510" t="s">
        <v>20</v>
      </c>
      <c r="C510" t="s">
        <v>21</v>
      </c>
      <c r="D510" t="s">
        <v>34</v>
      </c>
      <c r="E510" t="s">
        <v>15</v>
      </c>
      <c r="F510">
        <v>6</v>
      </c>
      <c r="G510" t="s">
        <v>52</v>
      </c>
      <c r="H510">
        <v>36</v>
      </c>
      <c r="I510">
        <v>3175.44</v>
      </c>
      <c r="J510">
        <v>19052.64</v>
      </c>
    </row>
    <row r="511" spans="1:10" x14ac:dyDescent="0.35">
      <c r="A511" s="17">
        <v>45044</v>
      </c>
      <c r="B511" t="s">
        <v>8</v>
      </c>
      <c r="C511" t="s">
        <v>9</v>
      </c>
      <c r="D511" t="s">
        <v>23</v>
      </c>
      <c r="E511" t="s">
        <v>18</v>
      </c>
      <c r="F511">
        <v>12</v>
      </c>
      <c r="G511" t="s">
        <v>53</v>
      </c>
      <c r="H511">
        <v>26</v>
      </c>
      <c r="I511">
        <v>992.16</v>
      </c>
      <c r="J511">
        <v>11905.92</v>
      </c>
    </row>
    <row r="512" spans="1:10" x14ac:dyDescent="0.35">
      <c r="A512" s="17">
        <v>45209</v>
      </c>
      <c r="B512" t="s">
        <v>8</v>
      </c>
      <c r="C512" t="s">
        <v>9</v>
      </c>
      <c r="D512" t="s">
        <v>23</v>
      </c>
      <c r="E512" t="s">
        <v>15</v>
      </c>
      <c r="F512">
        <v>15</v>
      </c>
      <c r="G512" t="s">
        <v>54</v>
      </c>
      <c r="H512">
        <v>43</v>
      </c>
      <c r="I512">
        <v>2148.0100000000002</v>
      </c>
      <c r="J512">
        <v>32220.15</v>
      </c>
    </row>
    <row r="513" spans="1:10" x14ac:dyDescent="0.35">
      <c r="A513" s="17">
        <v>44936</v>
      </c>
      <c r="B513" t="s">
        <v>12</v>
      </c>
      <c r="C513" t="s">
        <v>16</v>
      </c>
      <c r="D513" t="s">
        <v>19</v>
      </c>
      <c r="E513" t="s">
        <v>27</v>
      </c>
      <c r="F513">
        <v>11</v>
      </c>
      <c r="G513" t="s">
        <v>55</v>
      </c>
      <c r="H513">
        <v>28</v>
      </c>
      <c r="I513">
        <v>2491.8000000000002</v>
      </c>
      <c r="J513">
        <v>27409.8</v>
      </c>
    </row>
    <row r="514" spans="1:10" x14ac:dyDescent="0.35">
      <c r="A514" s="17">
        <v>44940</v>
      </c>
      <c r="B514" t="s">
        <v>12</v>
      </c>
      <c r="C514" t="s">
        <v>16</v>
      </c>
      <c r="D514" t="s">
        <v>17</v>
      </c>
      <c r="E514" t="s">
        <v>27</v>
      </c>
      <c r="F514">
        <v>14</v>
      </c>
      <c r="G514" t="s">
        <v>56</v>
      </c>
      <c r="H514">
        <v>16</v>
      </c>
      <c r="I514">
        <v>1293.27</v>
      </c>
      <c r="J514">
        <v>18105.78</v>
      </c>
    </row>
    <row r="515" spans="1:10" x14ac:dyDescent="0.35">
      <c r="A515" s="17">
        <v>44958</v>
      </c>
      <c r="B515" t="s">
        <v>8</v>
      </c>
      <c r="C515" t="s">
        <v>28</v>
      </c>
      <c r="D515" t="s">
        <v>29</v>
      </c>
      <c r="E515" t="s">
        <v>24</v>
      </c>
      <c r="F515">
        <v>17</v>
      </c>
      <c r="G515" t="s">
        <v>57</v>
      </c>
      <c r="H515">
        <v>24</v>
      </c>
      <c r="I515">
        <v>1356.25</v>
      </c>
      <c r="J515">
        <v>23056.25</v>
      </c>
    </row>
    <row r="516" spans="1:10" x14ac:dyDescent="0.35">
      <c r="A516" s="17">
        <v>44984</v>
      </c>
      <c r="B516" t="s">
        <v>8</v>
      </c>
      <c r="C516" t="s">
        <v>9</v>
      </c>
      <c r="D516" t="s">
        <v>23</v>
      </c>
      <c r="E516" t="s">
        <v>11</v>
      </c>
      <c r="F516">
        <v>2</v>
      </c>
      <c r="G516" t="s">
        <v>58</v>
      </c>
      <c r="H516">
        <v>20</v>
      </c>
      <c r="I516">
        <v>2875.84</v>
      </c>
      <c r="J516">
        <v>5751.68</v>
      </c>
    </row>
    <row r="517" spans="1:10" x14ac:dyDescent="0.35">
      <c r="A517" s="17">
        <v>45054</v>
      </c>
      <c r="B517" t="s">
        <v>8</v>
      </c>
      <c r="C517" t="s">
        <v>28</v>
      </c>
      <c r="D517" t="s">
        <v>29</v>
      </c>
      <c r="E517" t="s">
        <v>27</v>
      </c>
      <c r="F517">
        <v>3</v>
      </c>
      <c r="G517" t="s">
        <v>59</v>
      </c>
      <c r="H517">
        <v>35</v>
      </c>
      <c r="I517">
        <v>3861.09</v>
      </c>
      <c r="J517">
        <v>11583.27</v>
      </c>
    </row>
    <row r="518" spans="1:10" x14ac:dyDescent="0.35">
      <c r="A518" s="17">
        <v>45207</v>
      </c>
      <c r="B518" t="s">
        <v>8</v>
      </c>
      <c r="C518" t="s">
        <v>9</v>
      </c>
      <c r="D518" t="s">
        <v>31</v>
      </c>
      <c r="E518" t="s">
        <v>15</v>
      </c>
      <c r="F518">
        <v>19</v>
      </c>
      <c r="G518" t="s">
        <v>48</v>
      </c>
      <c r="H518">
        <v>41</v>
      </c>
      <c r="I518">
        <v>182.01</v>
      </c>
      <c r="J518">
        <v>3458.19</v>
      </c>
    </row>
    <row r="519" spans="1:10" x14ac:dyDescent="0.35">
      <c r="A519" s="17">
        <v>44932</v>
      </c>
      <c r="B519" t="s">
        <v>12</v>
      </c>
      <c r="C519" t="s">
        <v>16</v>
      </c>
      <c r="D519" t="s">
        <v>17</v>
      </c>
      <c r="E519" t="s">
        <v>11</v>
      </c>
      <c r="F519">
        <v>2</v>
      </c>
      <c r="G519" t="s">
        <v>49</v>
      </c>
      <c r="H519">
        <v>42</v>
      </c>
      <c r="I519">
        <v>1582.65</v>
      </c>
      <c r="J519">
        <v>3165.3</v>
      </c>
    </row>
    <row r="520" spans="1:10" x14ac:dyDescent="0.35">
      <c r="A520" s="17">
        <v>45282</v>
      </c>
      <c r="B520" t="s">
        <v>20</v>
      </c>
      <c r="C520" t="s">
        <v>21</v>
      </c>
      <c r="D520" t="s">
        <v>22</v>
      </c>
      <c r="E520" t="s">
        <v>15</v>
      </c>
      <c r="F520">
        <v>12</v>
      </c>
      <c r="G520" t="s">
        <v>50</v>
      </c>
      <c r="H520">
        <v>43</v>
      </c>
      <c r="I520">
        <v>538.91</v>
      </c>
      <c r="J520">
        <v>6466.92</v>
      </c>
    </row>
    <row r="521" spans="1:10" x14ac:dyDescent="0.35">
      <c r="A521" s="17">
        <v>45040</v>
      </c>
      <c r="B521" t="s">
        <v>8</v>
      </c>
      <c r="C521" t="s">
        <v>9</v>
      </c>
      <c r="D521" t="s">
        <v>23</v>
      </c>
      <c r="E521" t="s">
        <v>27</v>
      </c>
      <c r="F521">
        <v>19</v>
      </c>
      <c r="G521" t="s">
        <v>51</v>
      </c>
      <c r="H521">
        <v>52</v>
      </c>
      <c r="I521">
        <v>4943.6899999999996</v>
      </c>
      <c r="J521">
        <v>93930.11</v>
      </c>
    </row>
    <row r="522" spans="1:10" x14ac:dyDescent="0.35">
      <c r="A522" s="17">
        <v>45076</v>
      </c>
      <c r="B522" t="s">
        <v>12</v>
      </c>
      <c r="C522" t="s">
        <v>16</v>
      </c>
      <c r="D522" t="s">
        <v>25</v>
      </c>
      <c r="E522" t="s">
        <v>11</v>
      </c>
      <c r="F522">
        <v>1</v>
      </c>
      <c r="G522" t="s">
        <v>52</v>
      </c>
      <c r="H522">
        <v>37</v>
      </c>
      <c r="I522">
        <v>2664.84</v>
      </c>
      <c r="J522">
        <v>2664.84</v>
      </c>
    </row>
    <row r="523" spans="1:10" x14ac:dyDescent="0.35">
      <c r="A523" s="17">
        <v>45074</v>
      </c>
      <c r="B523" t="s">
        <v>8</v>
      </c>
      <c r="C523" t="s">
        <v>28</v>
      </c>
      <c r="D523" t="s">
        <v>29</v>
      </c>
      <c r="E523" t="s">
        <v>18</v>
      </c>
      <c r="F523">
        <v>5</v>
      </c>
      <c r="G523" t="s">
        <v>53</v>
      </c>
      <c r="H523">
        <v>36</v>
      </c>
      <c r="I523">
        <v>877.62</v>
      </c>
      <c r="J523">
        <v>4388.1000000000004</v>
      </c>
    </row>
    <row r="524" spans="1:10" x14ac:dyDescent="0.35">
      <c r="A524" s="17">
        <v>45059</v>
      </c>
      <c r="B524" t="s">
        <v>8</v>
      </c>
      <c r="C524" t="s">
        <v>28</v>
      </c>
      <c r="D524" t="s">
        <v>30</v>
      </c>
      <c r="E524" t="s">
        <v>15</v>
      </c>
      <c r="F524">
        <v>3</v>
      </c>
      <c r="G524" t="s">
        <v>54</v>
      </c>
      <c r="H524">
        <v>20</v>
      </c>
      <c r="I524">
        <v>4059.76</v>
      </c>
      <c r="J524">
        <v>12179.28</v>
      </c>
    </row>
    <row r="525" spans="1:10" x14ac:dyDescent="0.35">
      <c r="A525" s="17">
        <v>45200</v>
      </c>
      <c r="B525" t="s">
        <v>8</v>
      </c>
      <c r="C525" t="s">
        <v>9</v>
      </c>
      <c r="D525" t="s">
        <v>23</v>
      </c>
      <c r="E525" t="s">
        <v>24</v>
      </c>
      <c r="F525">
        <v>16</v>
      </c>
      <c r="G525" t="s">
        <v>55</v>
      </c>
      <c r="H525">
        <v>34</v>
      </c>
      <c r="I525">
        <v>3988.32</v>
      </c>
      <c r="J525">
        <v>63813.120000000003</v>
      </c>
    </row>
    <row r="526" spans="1:10" x14ac:dyDescent="0.35">
      <c r="A526" s="17">
        <v>45241</v>
      </c>
      <c r="B526" t="s">
        <v>8</v>
      </c>
      <c r="C526" t="s">
        <v>28</v>
      </c>
      <c r="D526" t="s">
        <v>32</v>
      </c>
      <c r="E526" t="s">
        <v>24</v>
      </c>
      <c r="F526">
        <v>16</v>
      </c>
      <c r="G526" t="s">
        <v>56</v>
      </c>
      <c r="H526">
        <v>28</v>
      </c>
      <c r="I526">
        <v>1023.78</v>
      </c>
      <c r="J526">
        <v>16380.48</v>
      </c>
    </row>
    <row r="527" spans="1:10" x14ac:dyDescent="0.35">
      <c r="A527" s="17">
        <v>44930</v>
      </c>
      <c r="B527" t="s">
        <v>8</v>
      </c>
      <c r="C527" t="s">
        <v>28</v>
      </c>
      <c r="D527" t="s">
        <v>32</v>
      </c>
      <c r="E527" t="s">
        <v>27</v>
      </c>
      <c r="F527">
        <v>4</v>
      </c>
      <c r="G527" t="s">
        <v>57</v>
      </c>
      <c r="H527">
        <v>46</v>
      </c>
      <c r="I527">
        <v>1027.32</v>
      </c>
      <c r="J527">
        <v>4109.28</v>
      </c>
    </row>
    <row r="528" spans="1:10" x14ac:dyDescent="0.35">
      <c r="A528" s="17">
        <v>45194</v>
      </c>
      <c r="B528" t="s">
        <v>8</v>
      </c>
      <c r="C528" t="s">
        <v>9</v>
      </c>
      <c r="D528" t="s">
        <v>23</v>
      </c>
      <c r="E528" t="s">
        <v>15</v>
      </c>
      <c r="F528">
        <v>7</v>
      </c>
      <c r="G528" t="s">
        <v>58</v>
      </c>
      <c r="H528">
        <v>27</v>
      </c>
      <c r="I528">
        <v>392.9</v>
      </c>
      <c r="J528">
        <v>2750.3</v>
      </c>
    </row>
    <row r="529" spans="1:10" x14ac:dyDescent="0.35">
      <c r="A529" s="17">
        <v>45040</v>
      </c>
      <c r="B529" t="s">
        <v>12</v>
      </c>
      <c r="C529" t="s">
        <v>13</v>
      </c>
      <c r="D529" t="s">
        <v>14</v>
      </c>
      <c r="E529" t="s">
        <v>15</v>
      </c>
      <c r="F529">
        <v>7</v>
      </c>
      <c r="G529" t="s">
        <v>59</v>
      </c>
      <c r="H529">
        <v>52</v>
      </c>
      <c r="I529">
        <v>1590.73</v>
      </c>
      <c r="J529">
        <v>11135.11</v>
      </c>
    </row>
    <row r="530" spans="1:10" x14ac:dyDescent="0.35">
      <c r="A530" s="17">
        <v>45257</v>
      </c>
      <c r="B530" t="s">
        <v>12</v>
      </c>
      <c r="C530" t="s">
        <v>13</v>
      </c>
      <c r="D530" t="s">
        <v>14</v>
      </c>
      <c r="E530" t="s">
        <v>15</v>
      </c>
      <c r="F530">
        <v>8</v>
      </c>
      <c r="G530" t="s">
        <v>48</v>
      </c>
      <c r="H530">
        <v>55</v>
      </c>
      <c r="I530">
        <v>3120.6</v>
      </c>
      <c r="J530">
        <v>24964.799999999999</v>
      </c>
    </row>
    <row r="531" spans="1:10" x14ac:dyDescent="0.35">
      <c r="A531" s="17">
        <v>45257</v>
      </c>
      <c r="B531" t="s">
        <v>12</v>
      </c>
      <c r="C531" t="s">
        <v>13</v>
      </c>
      <c r="D531" t="s">
        <v>14</v>
      </c>
      <c r="E531" t="s">
        <v>11</v>
      </c>
      <c r="F531">
        <v>7</v>
      </c>
      <c r="G531" t="s">
        <v>49</v>
      </c>
      <c r="H531">
        <v>55</v>
      </c>
      <c r="I531">
        <v>633.15</v>
      </c>
      <c r="J531">
        <v>4432.05</v>
      </c>
    </row>
    <row r="532" spans="1:10" x14ac:dyDescent="0.35">
      <c r="A532" s="17">
        <v>45226</v>
      </c>
      <c r="B532" t="s">
        <v>12</v>
      </c>
      <c r="C532" t="s">
        <v>16</v>
      </c>
      <c r="D532" t="s">
        <v>25</v>
      </c>
      <c r="E532" t="s">
        <v>15</v>
      </c>
      <c r="F532">
        <v>1</v>
      </c>
      <c r="G532" t="s">
        <v>50</v>
      </c>
      <c r="H532">
        <v>22</v>
      </c>
      <c r="I532">
        <v>4443.22</v>
      </c>
      <c r="J532">
        <v>4443.22</v>
      </c>
    </row>
    <row r="533" spans="1:10" x14ac:dyDescent="0.35">
      <c r="A533" s="17">
        <v>45058</v>
      </c>
      <c r="B533" t="s">
        <v>20</v>
      </c>
      <c r="C533" t="s">
        <v>21</v>
      </c>
      <c r="D533" t="s">
        <v>34</v>
      </c>
      <c r="E533" t="s">
        <v>15</v>
      </c>
      <c r="F533">
        <v>16</v>
      </c>
      <c r="G533" t="s">
        <v>51</v>
      </c>
      <c r="H533">
        <v>35</v>
      </c>
      <c r="I533">
        <v>199.87</v>
      </c>
      <c r="J533">
        <v>3197.92</v>
      </c>
    </row>
    <row r="534" spans="1:10" x14ac:dyDescent="0.35">
      <c r="A534" s="17">
        <v>45022</v>
      </c>
      <c r="B534" t="s">
        <v>8</v>
      </c>
      <c r="C534" t="s">
        <v>28</v>
      </c>
      <c r="D534" t="s">
        <v>32</v>
      </c>
      <c r="E534" t="s">
        <v>18</v>
      </c>
      <c r="F534">
        <v>3</v>
      </c>
      <c r="G534" t="s">
        <v>52</v>
      </c>
      <c r="H534">
        <v>48</v>
      </c>
      <c r="I534">
        <v>1129.83</v>
      </c>
      <c r="J534">
        <v>3389.49</v>
      </c>
    </row>
    <row r="535" spans="1:10" x14ac:dyDescent="0.35">
      <c r="A535" s="17">
        <v>45055</v>
      </c>
      <c r="B535" t="s">
        <v>12</v>
      </c>
      <c r="C535" t="s">
        <v>13</v>
      </c>
      <c r="D535" t="s">
        <v>33</v>
      </c>
      <c r="E535" t="s">
        <v>15</v>
      </c>
      <c r="F535">
        <v>16</v>
      </c>
      <c r="G535" t="s">
        <v>53</v>
      </c>
      <c r="H535">
        <v>31</v>
      </c>
      <c r="I535">
        <v>502.59</v>
      </c>
      <c r="J535">
        <v>8041.44</v>
      </c>
    </row>
    <row r="536" spans="1:10" x14ac:dyDescent="0.35">
      <c r="A536" s="17">
        <v>45158</v>
      </c>
      <c r="B536" t="s">
        <v>8</v>
      </c>
      <c r="C536" t="s">
        <v>28</v>
      </c>
      <c r="D536" t="s">
        <v>32</v>
      </c>
      <c r="E536" t="s">
        <v>18</v>
      </c>
      <c r="F536">
        <v>17</v>
      </c>
      <c r="G536" t="s">
        <v>54</v>
      </c>
      <c r="H536">
        <v>17</v>
      </c>
      <c r="I536">
        <v>1217.48</v>
      </c>
      <c r="J536">
        <v>20697.16</v>
      </c>
    </row>
    <row r="537" spans="1:10" x14ac:dyDescent="0.35">
      <c r="A537" s="17">
        <v>44932</v>
      </c>
      <c r="B537" t="s">
        <v>20</v>
      </c>
      <c r="C537" t="s">
        <v>21</v>
      </c>
      <c r="D537" t="s">
        <v>35</v>
      </c>
      <c r="E537" t="s">
        <v>11</v>
      </c>
      <c r="F537">
        <v>6</v>
      </c>
      <c r="G537" t="s">
        <v>55</v>
      </c>
      <c r="H537">
        <v>36</v>
      </c>
      <c r="I537">
        <v>4673.01</v>
      </c>
      <c r="J537">
        <v>28038.06</v>
      </c>
    </row>
    <row r="538" spans="1:10" x14ac:dyDescent="0.35">
      <c r="A538" s="17">
        <v>45006</v>
      </c>
      <c r="B538" t="s">
        <v>8</v>
      </c>
      <c r="C538" t="s">
        <v>9</v>
      </c>
      <c r="D538" t="s">
        <v>31</v>
      </c>
      <c r="E538" t="s">
        <v>11</v>
      </c>
      <c r="F538">
        <v>19</v>
      </c>
      <c r="G538" t="s">
        <v>56</v>
      </c>
      <c r="H538">
        <v>34</v>
      </c>
      <c r="I538">
        <v>4229.42</v>
      </c>
      <c r="J538">
        <v>80358.98</v>
      </c>
    </row>
    <row r="539" spans="1:10" x14ac:dyDescent="0.35">
      <c r="A539" s="17">
        <v>45163</v>
      </c>
      <c r="B539" t="s">
        <v>8</v>
      </c>
      <c r="C539" t="s">
        <v>9</v>
      </c>
      <c r="D539" t="s">
        <v>10</v>
      </c>
      <c r="E539" t="s">
        <v>11</v>
      </c>
      <c r="F539">
        <v>16</v>
      </c>
      <c r="G539" t="s">
        <v>57</v>
      </c>
      <c r="H539">
        <v>40</v>
      </c>
      <c r="I539">
        <v>3580.79</v>
      </c>
      <c r="J539">
        <v>57292.639999999999</v>
      </c>
    </row>
    <row r="540" spans="1:10" x14ac:dyDescent="0.35">
      <c r="A540" s="17">
        <v>45037</v>
      </c>
      <c r="B540" t="s">
        <v>20</v>
      </c>
      <c r="C540" t="s">
        <v>21</v>
      </c>
      <c r="D540" t="s">
        <v>35</v>
      </c>
      <c r="E540" t="s">
        <v>15</v>
      </c>
      <c r="F540">
        <v>5</v>
      </c>
      <c r="G540" t="s">
        <v>58</v>
      </c>
      <c r="H540">
        <v>21</v>
      </c>
      <c r="I540">
        <v>3181.48</v>
      </c>
      <c r="J540">
        <v>15907.4</v>
      </c>
    </row>
    <row r="541" spans="1:10" x14ac:dyDescent="0.35">
      <c r="A541" s="17">
        <v>45076</v>
      </c>
      <c r="B541" t="s">
        <v>12</v>
      </c>
      <c r="C541" t="s">
        <v>13</v>
      </c>
      <c r="D541" t="s">
        <v>14</v>
      </c>
      <c r="E541" t="s">
        <v>24</v>
      </c>
      <c r="F541">
        <v>8</v>
      </c>
      <c r="G541" t="s">
        <v>59</v>
      </c>
      <c r="H541">
        <v>25</v>
      </c>
      <c r="I541">
        <v>659.36</v>
      </c>
      <c r="J541">
        <v>5274.88</v>
      </c>
    </row>
    <row r="542" spans="1:10" x14ac:dyDescent="0.35">
      <c r="A542" s="17">
        <v>45110</v>
      </c>
      <c r="B542" t="s">
        <v>20</v>
      </c>
      <c r="C542" t="s">
        <v>21</v>
      </c>
      <c r="D542" t="s">
        <v>22</v>
      </c>
      <c r="E542" t="s">
        <v>15</v>
      </c>
      <c r="F542">
        <v>17</v>
      </c>
      <c r="G542" t="s">
        <v>48</v>
      </c>
      <c r="H542">
        <v>50</v>
      </c>
      <c r="I542">
        <v>2045.39</v>
      </c>
      <c r="J542">
        <v>34771.629999999997</v>
      </c>
    </row>
    <row r="543" spans="1:10" x14ac:dyDescent="0.35">
      <c r="A543" s="17">
        <v>45159</v>
      </c>
      <c r="B543" t="s">
        <v>12</v>
      </c>
      <c r="C543" t="s">
        <v>16</v>
      </c>
      <c r="D543" t="s">
        <v>17</v>
      </c>
      <c r="E543" t="s">
        <v>18</v>
      </c>
      <c r="F543">
        <v>7</v>
      </c>
      <c r="G543" t="s">
        <v>49</v>
      </c>
      <c r="H543">
        <v>26</v>
      </c>
      <c r="I543">
        <v>711.35</v>
      </c>
      <c r="J543">
        <v>4979.45</v>
      </c>
    </row>
    <row r="544" spans="1:10" x14ac:dyDescent="0.35">
      <c r="A544" s="17">
        <v>44930</v>
      </c>
      <c r="B544" t="s">
        <v>12</v>
      </c>
      <c r="C544" t="s">
        <v>16</v>
      </c>
      <c r="D544" t="s">
        <v>19</v>
      </c>
      <c r="E544" t="s">
        <v>27</v>
      </c>
      <c r="F544">
        <v>13</v>
      </c>
      <c r="G544" t="s">
        <v>50</v>
      </c>
      <c r="H544">
        <v>23</v>
      </c>
      <c r="I544">
        <v>2913.56</v>
      </c>
      <c r="J544">
        <v>37876.28</v>
      </c>
    </row>
    <row r="545" spans="1:10" x14ac:dyDescent="0.35">
      <c r="A545" s="17">
        <v>45016</v>
      </c>
      <c r="B545" t="s">
        <v>12</v>
      </c>
      <c r="C545" t="s">
        <v>16</v>
      </c>
      <c r="D545" t="s">
        <v>19</v>
      </c>
      <c r="E545" t="s">
        <v>24</v>
      </c>
      <c r="F545">
        <v>4</v>
      </c>
      <c r="G545" t="s">
        <v>51</v>
      </c>
      <c r="H545">
        <v>17</v>
      </c>
      <c r="I545">
        <v>2701.93</v>
      </c>
      <c r="J545">
        <v>10807.72</v>
      </c>
    </row>
    <row r="546" spans="1:10" x14ac:dyDescent="0.35">
      <c r="A546" s="17">
        <v>45201</v>
      </c>
      <c r="B546" t="s">
        <v>20</v>
      </c>
      <c r="C546" t="s">
        <v>21</v>
      </c>
      <c r="D546" t="s">
        <v>35</v>
      </c>
      <c r="E546" t="s">
        <v>11</v>
      </c>
      <c r="F546">
        <v>11</v>
      </c>
      <c r="G546" t="s">
        <v>52</v>
      </c>
      <c r="H546">
        <v>32</v>
      </c>
      <c r="I546">
        <v>124.03</v>
      </c>
      <c r="J546">
        <v>1364.33</v>
      </c>
    </row>
    <row r="547" spans="1:10" x14ac:dyDescent="0.35">
      <c r="A547" s="17">
        <v>45113</v>
      </c>
      <c r="B547" t="s">
        <v>8</v>
      </c>
      <c r="C547" t="s">
        <v>9</v>
      </c>
      <c r="D547" t="s">
        <v>23</v>
      </c>
      <c r="E547" t="s">
        <v>27</v>
      </c>
      <c r="F547">
        <v>15</v>
      </c>
      <c r="G547" t="s">
        <v>53</v>
      </c>
      <c r="H547">
        <v>19</v>
      </c>
      <c r="I547">
        <v>2551.6</v>
      </c>
      <c r="J547">
        <v>38274</v>
      </c>
    </row>
    <row r="548" spans="1:10" x14ac:dyDescent="0.35">
      <c r="A548" s="17">
        <v>44949</v>
      </c>
      <c r="B548" t="s">
        <v>8</v>
      </c>
      <c r="C548" t="s">
        <v>9</v>
      </c>
      <c r="D548" t="s">
        <v>10</v>
      </c>
      <c r="E548" t="s">
        <v>24</v>
      </c>
      <c r="F548">
        <v>8</v>
      </c>
      <c r="G548" t="s">
        <v>54</v>
      </c>
      <c r="H548">
        <v>32</v>
      </c>
      <c r="I548">
        <v>1412.48</v>
      </c>
      <c r="J548">
        <v>11299.84</v>
      </c>
    </row>
    <row r="549" spans="1:10" x14ac:dyDescent="0.35">
      <c r="A549" s="17">
        <v>45056</v>
      </c>
      <c r="B549" t="s">
        <v>8</v>
      </c>
      <c r="C549" t="s">
        <v>9</v>
      </c>
      <c r="D549" t="s">
        <v>10</v>
      </c>
      <c r="E549" t="s">
        <v>15</v>
      </c>
      <c r="F549">
        <v>18</v>
      </c>
      <c r="G549" t="s">
        <v>55</v>
      </c>
      <c r="H549">
        <v>24</v>
      </c>
      <c r="I549">
        <v>2074.52</v>
      </c>
      <c r="J549">
        <v>37341.360000000001</v>
      </c>
    </row>
    <row r="550" spans="1:10" x14ac:dyDescent="0.35">
      <c r="A550" s="17">
        <v>44985</v>
      </c>
      <c r="B550" t="s">
        <v>12</v>
      </c>
      <c r="C550" t="s">
        <v>16</v>
      </c>
      <c r="D550" t="s">
        <v>25</v>
      </c>
      <c r="E550" t="s">
        <v>11</v>
      </c>
      <c r="F550">
        <v>14</v>
      </c>
      <c r="G550" t="s">
        <v>56</v>
      </c>
      <c r="H550">
        <v>36</v>
      </c>
      <c r="I550">
        <v>4009.33</v>
      </c>
      <c r="J550">
        <v>56130.62</v>
      </c>
    </row>
    <row r="551" spans="1:10" x14ac:dyDescent="0.35">
      <c r="A551" s="17">
        <v>45206</v>
      </c>
      <c r="B551" t="s">
        <v>8</v>
      </c>
      <c r="C551" t="s">
        <v>28</v>
      </c>
      <c r="D551" t="s">
        <v>29</v>
      </c>
      <c r="E551" t="s">
        <v>15</v>
      </c>
      <c r="F551">
        <v>2</v>
      </c>
      <c r="G551" t="s">
        <v>57</v>
      </c>
      <c r="H551">
        <v>50</v>
      </c>
      <c r="I551">
        <v>4664.91</v>
      </c>
      <c r="J551">
        <v>9329.82</v>
      </c>
    </row>
    <row r="552" spans="1:10" x14ac:dyDescent="0.35">
      <c r="A552" s="17">
        <v>44992</v>
      </c>
      <c r="B552" t="s">
        <v>8</v>
      </c>
      <c r="C552" t="s">
        <v>9</v>
      </c>
      <c r="D552" t="s">
        <v>31</v>
      </c>
      <c r="E552" t="s">
        <v>15</v>
      </c>
      <c r="F552">
        <v>17</v>
      </c>
      <c r="G552" t="s">
        <v>58</v>
      </c>
      <c r="H552">
        <v>53</v>
      </c>
      <c r="I552">
        <v>1759.91</v>
      </c>
      <c r="J552">
        <v>29918.47</v>
      </c>
    </row>
    <row r="553" spans="1:10" x14ac:dyDescent="0.35">
      <c r="A553" s="17">
        <v>45044</v>
      </c>
      <c r="B553" t="s">
        <v>12</v>
      </c>
      <c r="C553" t="s">
        <v>13</v>
      </c>
      <c r="D553" t="s">
        <v>14</v>
      </c>
      <c r="E553" t="s">
        <v>18</v>
      </c>
      <c r="F553">
        <v>9</v>
      </c>
      <c r="G553" t="s">
        <v>59</v>
      </c>
      <c r="H553">
        <v>21</v>
      </c>
      <c r="I553">
        <v>4485.21</v>
      </c>
      <c r="J553">
        <v>40366.89</v>
      </c>
    </row>
    <row r="554" spans="1:10" x14ac:dyDescent="0.35">
      <c r="A554" s="17">
        <v>45164</v>
      </c>
      <c r="B554" t="s">
        <v>8</v>
      </c>
      <c r="C554" t="s">
        <v>9</v>
      </c>
      <c r="D554" t="s">
        <v>10</v>
      </c>
      <c r="E554" t="s">
        <v>27</v>
      </c>
      <c r="F554">
        <v>4</v>
      </c>
      <c r="G554" t="s">
        <v>48</v>
      </c>
      <c r="H554">
        <v>51</v>
      </c>
      <c r="I554">
        <v>1788.95</v>
      </c>
      <c r="J554">
        <v>7155.8</v>
      </c>
    </row>
    <row r="555" spans="1:10" x14ac:dyDescent="0.35">
      <c r="A555" s="17">
        <v>45177</v>
      </c>
      <c r="B555" t="s">
        <v>8</v>
      </c>
      <c r="C555" t="s">
        <v>28</v>
      </c>
      <c r="D555" t="s">
        <v>32</v>
      </c>
      <c r="E555" t="s">
        <v>11</v>
      </c>
      <c r="F555">
        <v>15</v>
      </c>
      <c r="G555" t="s">
        <v>49</v>
      </c>
      <c r="H555">
        <v>38</v>
      </c>
      <c r="I555">
        <v>916.75</v>
      </c>
      <c r="J555">
        <v>13751.25</v>
      </c>
    </row>
    <row r="556" spans="1:10" x14ac:dyDescent="0.35">
      <c r="A556" s="17">
        <v>45043</v>
      </c>
      <c r="B556" t="s">
        <v>20</v>
      </c>
      <c r="C556" t="s">
        <v>21</v>
      </c>
      <c r="D556" t="s">
        <v>34</v>
      </c>
      <c r="E556" t="s">
        <v>11</v>
      </c>
      <c r="F556">
        <v>13</v>
      </c>
      <c r="G556" t="s">
        <v>50</v>
      </c>
      <c r="H556">
        <v>32</v>
      </c>
      <c r="I556">
        <v>2327.81</v>
      </c>
      <c r="J556">
        <v>30261.53</v>
      </c>
    </row>
    <row r="557" spans="1:10" x14ac:dyDescent="0.35">
      <c r="A557" s="17">
        <v>44968</v>
      </c>
      <c r="B557" t="s">
        <v>8</v>
      </c>
      <c r="C557" t="s">
        <v>9</v>
      </c>
      <c r="D557" t="s">
        <v>10</v>
      </c>
      <c r="E557" t="s">
        <v>27</v>
      </c>
      <c r="F557">
        <v>16</v>
      </c>
      <c r="G557" t="s">
        <v>51</v>
      </c>
      <c r="H557">
        <v>35</v>
      </c>
      <c r="I557">
        <v>2954.32</v>
      </c>
      <c r="J557">
        <v>47269.120000000003</v>
      </c>
    </row>
    <row r="558" spans="1:10" x14ac:dyDescent="0.35">
      <c r="A558" s="17">
        <v>45041</v>
      </c>
      <c r="B558" t="s">
        <v>12</v>
      </c>
      <c r="C558" t="s">
        <v>16</v>
      </c>
      <c r="D558" t="s">
        <v>25</v>
      </c>
      <c r="E558" t="s">
        <v>11</v>
      </c>
      <c r="F558">
        <v>14</v>
      </c>
      <c r="G558" t="s">
        <v>52</v>
      </c>
      <c r="H558">
        <v>38</v>
      </c>
      <c r="I558">
        <v>4935.34</v>
      </c>
      <c r="J558">
        <v>69094.759999999995</v>
      </c>
    </row>
    <row r="559" spans="1:10" x14ac:dyDescent="0.35">
      <c r="A559" s="17">
        <v>45063</v>
      </c>
      <c r="B559" t="s">
        <v>12</v>
      </c>
      <c r="C559" t="s">
        <v>13</v>
      </c>
      <c r="D559" t="s">
        <v>33</v>
      </c>
      <c r="E559" t="s">
        <v>11</v>
      </c>
      <c r="F559">
        <v>2</v>
      </c>
      <c r="G559" t="s">
        <v>53</v>
      </c>
      <c r="H559">
        <v>34</v>
      </c>
      <c r="I559">
        <v>1063.3499999999999</v>
      </c>
      <c r="J559">
        <v>2126.6999999999998</v>
      </c>
    </row>
    <row r="560" spans="1:10" x14ac:dyDescent="0.35">
      <c r="A560" s="17">
        <v>45098</v>
      </c>
      <c r="B560" t="s">
        <v>8</v>
      </c>
      <c r="C560" t="s">
        <v>9</v>
      </c>
      <c r="D560" t="s">
        <v>31</v>
      </c>
      <c r="E560" t="s">
        <v>27</v>
      </c>
      <c r="F560">
        <v>7</v>
      </c>
      <c r="G560" t="s">
        <v>54</v>
      </c>
      <c r="H560">
        <v>25</v>
      </c>
      <c r="I560">
        <v>859.87</v>
      </c>
      <c r="J560">
        <v>6019.09</v>
      </c>
    </row>
    <row r="561" spans="1:10" x14ac:dyDescent="0.35">
      <c r="A561" s="17">
        <v>45074</v>
      </c>
      <c r="B561" t="s">
        <v>12</v>
      </c>
      <c r="C561" t="s">
        <v>16</v>
      </c>
      <c r="D561" t="s">
        <v>17</v>
      </c>
      <c r="E561" t="s">
        <v>18</v>
      </c>
      <c r="F561">
        <v>10</v>
      </c>
      <c r="G561" t="s">
        <v>55</v>
      </c>
      <c r="H561">
        <v>27</v>
      </c>
      <c r="I561">
        <v>4413.5</v>
      </c>
      <c r="J561">
        <v>44135</v>
      </c>
    </row>
    <row r="562" spans="1:10" x14ac:dyDescent="0.35">
      <c r="A562" s="17">
        <v>45058</v>
      </c>
      <c r="B562" t="s">
        <v>8</v>
      </c>
      <c r="C562" t="s">
        <v>28</v>
      </c>
      <c r="D562" t="s">
        <v>30</v>
      </c>
      <c r="E562" t="s">
        <v>18</v>
      </c>
      <c r="F562">
        <v>12</v>
      </c>
      <c r="G562" t="s">
        <v>56</v>
      </c>
      <c r="H562">
        <v>22</v>
      </c>
      <c r="I562">
        <v>2438.6799999999998</v>
      </c>
      <c r="J562">
        <v>29264.16</v>
      </c>
    </row>
    <row r="563" spans="1:10" x14ac:dyDescent="0.35">
      <c r="A563" s="17">
        <v>45219</v>
      </c>
      <c r="B563" t="s">
        <v>20</v>
      </c>
      <c r="C563" t="s">
        <v>21</v>
      </c>
      <c r="D563" t="s">
        <v>35</v>
      </c>
      <c r="E563" t="s">
        <v>11</v>
      </c>
      <c r="F563">
        <v>5</v>
      </c>
      <c r="G563" t="s">
        <v>57</v>
      </c>
      <c r="H563">
        <v>42</v>
      </c>
      <c r="I563">
        <v>214.25</v>
      </c>
      <c r="J563">
        <v>1071.25</v>
      </c>
    </row>
    <row r="564" spans="1:10" x14ac:dyDescent="0.35">
      <c r="A564" s="17">
        <v>45210</v>
      </c>
      <c r="B564" t="s">
        <v>12</v>
      </c>
      <c r="C564" t="s">
        <v>13</v>
      </c>
      <c r="D564" t="s">
        <v>33</v>
      </c>
      <c r="E564" t="s">
        <v>24</v>
      </c>
      <c r="F564">
        <v>9</v>
      </c>
      <c r="G564" t="s">
        <v>58</v>
      </c>
      <c r="H564">
        <v>40</v>
      </c>
      <c r="I564">
        <v>3193.9</v>
      </c>
      <c r="J564">
        <v>28745.1</v>
      </c>
    </row>
    <row r="565" spans="1:10" x14ac:dyDescent="0.35">
      <c r="A565" s="17">
        <v>45249</v>
      </c>
      <c r="B565" t="s">
        <v>8</v>
      </c>
      <c r="C565" t="s">
        <v>9</v>
      </c>
      <c r="D565" t="s">
        <v>10</v>
      </c>
      <c r="E565" t="s">
        <v>24</v>
      </c>
      <c r="F565">
        <v>15</v>
      </c>
      <c r="G565" t="s">
        <v>59</v>
      </c>
      <c r="H565">
        <v>44</v>
      </c>
      <c r="I565">
        <v>4785.6099999999997</v>
      </c>
      <c r="J565">
        <v>71784.149999999994</v>
      </c>
    </row>
    <row r="566" spans="1:10" x14ac:dyDescent="0.35">
      <c r="A566" s="17">
        <v>45117</v>
      </c>
      <c r="B566" t="s">
        <v>20</v>
      </c>
      <c r="C566" t="s">
        <v>21</v>
      </c>
      <c r="D566" t="s">
        <v>22</v>
      </c>
      <c r="E566" t="s">
        <v>27</v>
      </c>
      <c r="F566">
        <v>8</v>
      </c>
      <c r="G566" t="s">
        <v>48</v>
      </c>
      <c r="H566">
        <v>22</v>
      </c>
      <c r="I566">
        <v>2606.36</v>
      </c>
      <c r="J566">
        <v>20850.88</v>
      </c>
    </row>
    <row r="567" spans="1:10" x14ac:dyDescent="0.35">
      <c r="A567" s="17">
        <v>45186</v>
      </c>
      <c r="B567" t="s">
        <v>20</v>
      </c>
      <c r="C567" t="s">
        <v>21</v>
      </c>
      <c r="D567" t="s">
        <v>35</v>
      </c>
      <c r="E567" t="s">
        <v>15</v>
      </c>
      <c r="F567">
        <v>18</v>
      </c>
      <c r="G567" t="s">
        <v>49</v>
      </c>
      <c r="H567">
        <v>16</v>
      </c>
      <c r="I567">
        <v>1986.52</v>
      </c>
      <c r="J567">
        <v>35757.360000000001</v>
      </c>
    </row>
    <row r="568" spans="1:10" x14ac:dyDescent="0.35">
      <c r="A568" s="17">
        <v>44980</v>
      </c>
      <c r="B568" t="s">
        <v>8</v>
      </c>
      <c r="C568" t="s">
        <v>9</v>
      </c>
      <c r="D568" t="s">
        <v>23</v>
      </c>
      <c r="E568" t="s">
        <v>24</v>
      </c>
      <c r="F568">
        <v>4</v>
      </c>
      <c r="G568" t="s">
        <v>50</v>
      </c>
      <c r="H568">
        <v>28</v>
      </c>
      <c r="I568">
        <v>4245.67</v>
      </c>
      <c r="J568">
        <v>16982.68</v>
      </c>
    </row>
    <row r="569" spans="1:10" x14ac:dyDescent="0.35">
      <c r="A569" s="17">
        <v>45106</v>
      </c>
      <c r="B569" t="s">
        <v>8</v>
      </c>
      <c r="C569" t="s">
        <v>28</v>
      </c>
      <c r="D569" t="s">
        <v>29</v>
      </c>
      <c r="E569" t="s">
        <v>18</v>
      </c>
      <c r="F569">
        <v>14</v>
      </c>
      <c r="G569" t="s">
        <v>51</v>
      </c>
      <c r="H569">
        <v>31</v>
      </c>
      <c r="I569">
        <v>283.7</v>
      </c>
      <c r="J569">
        <v>3971.8</v>
      </c>
    </row>
    <row r="570" spans="1:10" x14ac:dyDescent="0.35">
      <c r="A570" s="17">
        <v>45223</v>
      </c>
      <c r="B570" t="s">
        <v>8</v>
      </c>
      <c r="C570" t="s">
        <v>9</v>
      </c>
      <c r="D570" t="s">
        <v>31</v>
      </c>
      <c r="E570" t="s">
        <v>11</v>
      </c>
      <c r="F570">
        <v>2</v>
      </c>
      <c r="G570" t="s">
        <v>52</v>
      </c>
      <c r="H570">
        <v>35</v>
      </c>
      <c r="I570">
        <v>3753.37</v>
      </c>
      <c r="J570">
        <v>7506.74</v>
      </c>
    </row>
    <row r="571" spans="1:10" x14ac:dyDescent="0.35">
      <c r="A571" s="17">
        <v>45038</v>
      </c>
      <c r="B571" t="s">
        <v>12</v>
      </c>
      <c r="C571" t="s">
        <v>13</v>
      </c>
      <c r="D571" t="s">
        <v>14</v>
      </c>
      <c r="E571" t="s">
        <v>27</v>
      </c>
      <c r="F571">
        <v>5</v>
      </c>
      <c r="G571" t="s">
        <v>53</v>
      </c>
      <c r="H571">
        <v>44</v>
      </c>
      <c r="I571">
        <v>1566.04</v>
      </c>
      <c r="J571">
        <v>7830.2</v>
      </c>
    </row>
    <row r="572" spans="1:10" x14ac:dyDescent="0.35">
      <c r="A572" s="17">
        <v>45129</v>
      </c>
      <c r="B572" t="s">
        <v>20</v>
      </c>
      <c r="C572" t="s">
        <v>21</v>
      </c>
      <c r="D572" t="s">
        <v>35</v>
      </c>
      <c r="E572" t="s">
        <v>24</v>
      </c>
      <c r="F572">
        <v>19</v>
      </c>
      <c r="G572" t="s">
        <v>54</v>
      </c>
      <c r="H572">
        <v>34</v>
      </c>
      <c r="I572">
        <v>3694.62</v>
      </c>
      <c r="J572">
        <v>70197.78</v>
      </c>
    </row>
    <row r="573" spans="1:10" x14ac:dyDescent="0.35">
      <c r="A573" s="17">
        <v>45195</v>
      </c>
      <c r="B573" t="s">
        <v>12</v>
      </c>
      <c r="C573" t="s">
        <v>13</v>
      </c>
      <c r="D573" t="s">
        <v>26</v>
      </c>
      <c r="E573" t="s">
        <v>24</v>
      </c>
      <c r="F573">
        <v>15</v>
      </c>
      <c r="G573" t="s">
        <v>55</v>
      </c>
      <c r="H573">
        <v>34</v>
      </c>
      <c r="I573">
        <v>413.63</v>
      </c>
      <c r="J573">
        <v>6204.45</v>
      </c>
    </row>
    <row r="574" spans="1:10" x14ac:dyDescent="0.35">
      <c r="A574" s="17">
        <v>45283</v>
      </c>
      <c r="B574" t="s">
        <v>8</v>
      </c>
      <c r="C574" t="s">
        <v>9</v>
      </c>
      <c r="D574" t="s">
        <v>23</v>
      </c>
      <c r="E574" t="s">
        <v>15</v>
      </c>
      <c r="F574">
        <v>10</v>
      </c>
      <c r="G574" t="s">
        <v>56</v>
      </c>
      <c r="H574">
        <v>25</v>
      </c>
      <c r="I574">
        <v>3907.49</v>
      </c>
      <c r="J574">
        <v>39074.9</v>
      </c>
    </row>
    <row r="575" spans="1:10" x14ac:dyDescent="0.35">
      <c r="A575" s="17">
        <v>44992</v>
      </c>
      <c r="B575" t="s">
        <v>8</v>
      </c>
      <c r="C575" t="s">
        <v>9</v>
      </c>
      <c r="D575" t="s">
        <v>10</v>
      </c>
      <c r="E575" t="s">
        <v>24</v>
      </c>
      <c r="F575">
        <v>14</v>
      </c>
      <c r="G575" t="s">
        <v>57</v>
      </c>
      <c r="H575">
        <v>16</v>
      </c>
      <c r="I575">
        <v>3259.64</v>
      </c>
      <c r="J575">
        <v>45634.96</v>
      </c>
    </row>
    <row r="576" spans="1:10" x14ac:dyDescent="0.35">
      <c r="A576" s="17">
        <v>45200</v>
      </c>
      <c r="B576" t="s">
        <v>12</v>
      </c>
      <c r="C576" t="s">
        <v>16</v>
      </c>
      <c r="D576" t="s">
        <v>17</v>
      </c>
      <c r="E576" t="s">
        <v>11</v>
      </c>
      <c r="F576">
        <v>4</v>
      </c>
      <c r="G576" t="s">
        <v>58</v>
      </c>
      <c r="H576">
        <v>54</v>
      </c>
      <c r="I576">
        <v>637.89</v>
      </c>
      <c r="J576">
        <v>2551.56</v>
      </c>
    </row>
    <row r="577" spans="1:10" x14ac:dyDescent="0.35">
      <c r="A577" s="17">
        <v>45282</v>
      </c>
      <c r="B577" t="s">
        <v>12</v>
      </c>
      <c r="C577" t="s">
        <v>16</v>
      </c>
      <c r="D577" t="s">
        <v>17</v>
      </c>
      <c r="E577" t="s">
        <v>15</v>
      </c>
      <c r="F577">
        <v>20</v>
      </c>
      <c r="G577" t="s">
        <v>59</v>
      </c>
      <c r="H577">
        <v>54</v>
      </c>
      <c r="I577">
        <v>2123.15</v>
      </c>
      <c r="J577">
        <v>42463</v>
      </c>
    </row>
    <row r="578" spans="1:10" x14ac:dyDescent="0.35">
      <c r="A578" s="17">
        <v>44942</v>
      </c>
      <c r="B578" t="s">
        <v>12</v>
      </c>
      <c r="C578" t="s">
        <v>16</v>
      </c>
      <c r="D578" t="s">
        <v>19</v>
      </c>
      <c r="E578" t="s">
        <v>24</v>
      </c>
      <c r="F578">
        <v>19</v>
      </c>
      <c r="G578" t="s">
        <v>48</v>
      </c>
      <c r="H578">
        <v>43</v>
      </c>
      <c r="I578">
        <v>4771.5</v>
      </c>
      <c r="J578">
        <v>90658.5</v>
      </c>
    </row>
    <row r="579" spans="1:10" x14ac:dyDescent="0.35">
      <c r="A579" s="17">
        <v>45250</v>
      </c>
      <c r="B579" t="s">
        <v>12</v>
      </c>
      <c r="C579" t="s">
        <v>13</v>
      </c>
      <c r="D579" t="s">
        <v>26</v>
      </c>
      <c r="E579" t="s">
        <v>11</v>
      </c>
      <c r="F579">
        <v>12</v>
      </c>
      <c r="G579" t="s">
        <v>49</v>
      </c>
      <c r="H579">
        <v>49</v>
      </c>
      <c r="I579">
        <v>3703.31</v>
      </c>
      <c r="J579">
        <v>44439.72</v>
      </c>
    </row>
    <row r="580" spans="1:10" x14ac:dyDescent="0.35">
      <c r="A580" s="17">
        <v>44938</v>
      </c>
      <c r="B580" t="s">
        <v>8</v>
      </c>
      <c r="C580" t="s">
        <v>28</v>
      </c>
      <c r="D580" t="s">
        <v>30</v>
      </c>
      <c r="E580" t="s">
        <v>11</v>
      </c>
      <c r="F580">
        <v>5</v>
      </c>
      <c r="G580" t="s">
        <v>50</v>
      </c>
      <c r="H580">
        <v>25</v>
      </c>
      <c r="I580">
        <v>3631.01</v>
      </c>
      <c r="J580">
        <v>18155.05</v>
      </c>
    </row>
    <row r="581" spans="1:10" x14ac:dyDescent="0.35">
      <c r="A581" s="17">
        <v>45097</v>
      </c>
      <c r="B581" t="s">
        <v>20</v>
      </c>
      <c r="C581" t="s">
        <v>21</v>
      </c>
      <c r="D581" t="s">
        <v>22</v>
      </c>
      <c r="E581" t="s">
        <v>24</v>
      </c>
      <c r="F581">
        <v>20</v>
      </c>
      <c r="G581" t="s">
        <v>51</v>
      </c>
      <c r="H581">
        <v>43</v>
      </c>
      <c r="I581">
        <v>4035.61</v>
      </c>
      <c r="J581">
        <v>80712.2</v>
      </c>
    </row>
    <row r="582" spans="1:10" x14ac:dyDescent="0.35">
      <c r="A582" s="17">
        <v>44955</v>
      </c>
      <c r="B582" t="s">
        <v>8</v>
      </c>
      <c r="C582" t="s">
        <v>9</v>
      </c>
      <c r="D582" t="s">
        <v>23</v>
      </c>
      <c r="E582" t="s">
        <v>24</v>
      </c>
      <c r="F582">
        <v>2</v>
      </c>
      <c r="G582" t="s">
        <v>52</v>
      </c>
      <c r="H582">
        <v>49</v>
      </c>
      <c r="I582">
        <v>3297.48</v>
      </c>
      <c r="J582">
        <v>6594.96</v>
      </c>
    </row>
    <row r="583" spans="1:10" x14ac:dyDescent="0.35">
      <c r="A583" s="17">
        <v>44934</v>
      </c>
      <c r="B583" t="s">
        <v>20</v>
      </c>
      <c r="C583" t="s">
        <v>21</v>
      </c>
      <c r="D583" t="s">
        <v>22</v>
      </c>
      <c r="E583" t="s">
        <v>11</v>
      </c>
      <c r="F583">
        <v>9</v>
      </c>
      <c r="G583" t="s">
        <v>53</v>
      </c>
      <c r="H583">
        <v>19</v>
      </c>
      <c r="I583">
        <v>455.98</v>
      </c>
      <c r="J583">
        <v>4103.82</v>
      </c>
    </row>
    <row r="584" spans="1:10" x14ac:dyDescent="0.35">
      <c r="A584" s="17">
        <v>44993</v>
      </c>
      <c r="B584" t="s">
        <v>20</v>
      </c>
      <c r="C584" t="s">
        <v>21</v>
      </c>
      <c r="D584" t="s">
        <v>22</v>
      </c>
      <c r="E584" t="s">
        <v>11</v>
      </c>
      <c r="F584">
        <v>19</v>
      </c>
      <c r="G584" t="s">
        <v>54</v>
      </c>
      <c r="H584">
        <v>26</v>
      </c>
      <c r="I584">
        <v>1414.78</v>
      </c>
      <c r="J584">
        <v>26880.82</v>
      </c>
    </row>
    <row r="585" spans="1:10" x14ac:dyDescent="0.35">
      <c r="A585" s="17">
        <v>45105</v>
      </c>
      <c r="B585" t="s">
        <v>12</v>
      </c>
      <c r="C585" t="s">
        <v>16</v>
      </c>
      <c r="D585" t="s">
        <v>25</v>
      </c>
      <c r="E585" t="s">
        <v>18</v>
      </c>
      <c r="F585">
        <v>7</v>
      </c>
      <c r="G585" t="s">
        <v>55</v>
      </c>
      <c r="H585">
        <v>32</v>
      </c>
      <c r="I585">
        <v>705.03</v>
      </c>
      <c r="J585">
        <v>4935.21</v>
      </c>
    </row>
    <row r="586" spans="1:10" x14ac:dyDescent="0.35">
      <c r="A586" s="17">
        <v>45278</v>
      </c>
      <c r="B586" t="s">
        <v>8</v>
      </c>
      <c r="C586" t="s">
        <v>9</v>
      </c>
      <c r="D586" t="s">
        <v>10</v>
      </c>
      <c r="E586" t="s">
        <v>24</v>
      </c>
      <c r="F586">
        <v>2</v>
      </c>
      <c r="G586" t="s">
        <v>56</v>
      </c>
      <c r="H586">
        <v>45</v>
      </c>
      <c r="I586">
        <v>1377.64</v>
      </c>
      <c r="J586">
        <v>2755.28</v>
      </c>
    </row>
    <row r="587" spans="1:10" x14ac:dyDescent="0.35">
      <c r="A587" s="17">
        <v>45071</v>
      </c>
      <c r="B587" t="s">
        <v>20</v>
      </c>
      <c r="C587" t="s">
        <v>21</v>
      </c>
      <c r="D587" t="s">
        <v>34</v>
      </c>
      <c r="E587" t="s">
        <v>18</v>
      </c>
      <c r="F587">
        <v>20</v>
      </c>
      <c r="G587" t="s">
        <v>57</v>
      </c>
      <c r="H587">
        <v>35</v>
      </c>
      <c r="I587">
        <v>2344.7600000000002</v>
      </c>
      <c r="J587">
        <v>46895.199999999997</v>
      </c>
    </row>
    <row r="588" spans="1:10" x14ac:dyDescent="0.35">
      <c r="A588" s="17">
        <v>44956</v>
      </c>
      <c r="B588" t="s">
        <v>8</v>
      </c>
      <c r="C588" t="s">
        <v>28</v>
      </c>
      <c r="D588" t="s">
        <v>29</v>
      </c>
      <c r="E588" t="s">
        <v>11</v>
      </c>
      <c r="F588">
        <v>19</v>
      </c>
      <c r="G588" t="s">
        <v>58</v>
      </c>
      <c r="H588">
        <v>28</v>
      </c>
      <c r="I588">
        <v>4920.4399999999996</v>
      </c>
      <c r="J588">
        <v>93488.36</v>
      </c>
    </row>
    <row r="589" spans="1:10" x14ac:dyDescent="0.35">
      <c r="A589" s="17">
        <v>45252</v>
      </c>
      <c r="B589" t="s">
        <v>8</v>
      </c>
      <c r="C589" t="s">
        <v>28</v>
      </c>
      <c r="D589" t="s">
        <v>30</v>
      </c>
      <c r="E589" t="s">
        <v>18</v>
      </c>
      <c r="F589">
        <v>9</v>
      </c>
      <c r="G589" t="s">
        <v>59</v>
      </c>
      <c r="H589">
        <v>35</v>
      </c>
      <c r="I589">
        <v>3209.83</v>
      </c>
      <c r="J589">
        <v>28888.47</v>
      </c>
    </row>
    <row r="590" spans="1:10" x14ac:dyDescent="0.35">
      <c r="A590" s="17">
        <v>44992</v>
      </c>
      <c r="B590" t="s">
        <v>8</v>
      </c>
      <c r="C590" t="s">
        <v>28</v>
      </c>
      <c r="D590" t="s">
        <v>29</v>
      </c>
      <c r="E590" t="s">
        <v>18</v>
      </c>
      <c r="F590">
        <v>20</v>
      </c>
      <c r="G590" t="s">
        <v>48</v>
      </c>
      <c r="H590">
        <v>24</v>
      </c>
      <c r="I590">
        <v>1916.52</v>
      </c>
      <c r="J590">
        <v>38330.400000000001</v>
      </c>
    </row>
    <row r="591" spans="1:10" x14ac:dyDescent="0.35">
      <c r="A591" s="17">
        <v>45148</v>
      </c>
      <c r="B591" t="s">
        <v>12</v>
      </c>
      <c r="C591" t="s">
        <v>16</v>
      </c>
      <c r="D591" t="s">
        <v>19</v>
      </c>
      <c r="E591" t="s">
        <v>18</v>
      </c>
      <c r="F591">
        <v>4</v>
      </c>
      <c r="G591" t="s">
        <v>49</v>
      </c>
      <c r="H591">
        <v>18</v>
      </c>
      <c r="I591">
        <v>2740.14</v>
      </c>
      <c r="J591">
        <v>10960.56</v>
      </c>
    </row>
    <row r="592" spans="1:10" x14ac:dyDescent="0.35">
      <c r="A592" s="17">
        <v>45020</v>
      </c>
      <c r="B592" t="s">
        <v>20</v>
      </c>
      <c r="C592" t="s">
        <v>21</v>
      </c>
      <c r="D592" t="s">
        <v>22</v>
      </c>
      <c r="E592" t="s">
        <v>15</v>
      </c>
      <c r="F592">
        <v>14</v>
      </c>
      <c r="G592" t="s">
        <v>50</v>
      </c>
      <c r="H592">
        <v>55</v>
      </c>
      <c r="I592">
        <v>1116.79</v>
      </c>
      <c r="J592">
        <v>15635.06</v>
      </c>
    </row>
    <row r="593" spans="1:10" x14ac:dyDescent="0.35">
      <c r="A593" s="17">
        <v>44964</v>
      </c>
      <c r="B593" t="s">
        <v>8</v>
      </c>
      <c r="C593" t="s">
        <v>9</v>
      </c>
      <c r="D593" t="s">
        <v>23</v>
      </c>
      <c r="E593" t="s">
        <v>15</v>
      </c>
      <c r="F593">
        <v>11</v>
      </c>
      <c r="G593" t="s">
        <v>51</v>
      </c>
      <c r="H593">
        <v>28</v>
      </c>
      <c r="I593">
        <v>335.31</v>
      </c>
      <c r="J593">
        <v>3688.41</v>
      </c>
    </row>
    <row r="594" spans="1:10" x14ac:dyDescent="0.35">
      <c r="A594" s="17">
        <v>44977</v>
      </c>
      <c r="B594" t="s">
        <v>8</v>
      </c>
      <c r="C594" t="s">
        <v>9</v>
      </c>
      <c r="D594" t="s">
        <v>23</v>
      </c>
      <c r="E594" t="s">
        <v>11</v>
      </c>
      <c r="F594">
        <v>9</v>
      </c>
      <c r="G594" t="s">
        <v>52</v>
      </c>
      <c r="H594">
        <v>35</v>
      </c>
      <c r="I594">
        <v>1474.56</v>
      </c>
      <c r="J594">
        <v>13271.04</v>
      </c>
    </row>
    <row r="595" spans="1:10" x14ac:dyDescent="0.35">
      <c r="A595" s="17">
        <v>45010</v>
      </c>
      <c r="B595" t="s">
        <v>12</v>
      </c>
      <c r="C595" t="s">
        <v>16</v>
      </c>
      <c r="D595" t="s">
        <v>19</v>
      </c>
      <c r="E595" t="s">
        <v>18</v>
      </c>
      <c r="F595">
        <v>5</v>
      </c>
      <c r="G595" t="s">
        <v>53</v>
      </c>
      <c r="H595">
        <v>24</v>
      </c>
      <c r="I595">
        <v>695.3</v>
      </c>
      <c r="J595">
        <v>3476.5</v>
      </c>
    </row>
    <row r="596" spans="1:10" x14ac:dyDescent="0.35">
      <c r="A596" s="17">
        <v>45056</v>
      </c>
      <c r="B596" t="s">
        <v>12</v>
      </c>
      <c r="C596" t="s">
        <v>13</v>
      </c>
      <c r="D596" t="s">
        <v>33</v>
      </c>
      <c r="E596" t="s">
        <v>15</v>
      </c>
      <c r="F596">
        <v>15</v>
      </c>
      <c r="G596" t="s">
        <v>54</v>
      </c>
      <c r="H596">
        <v>36</v>
      </c>
      <c r="I596">
        <v>3611.2</v>
      </c>
      <c r="J596">
        <v>54168</v>
      </c>
    </row>
    <row r="597" spans="1:10" x14ac:dyDescent="0.35">
      <c r="A597" s="17">
        <v>45031</v>
      </c>
      <c r="B597" t="s">
        <v>12</v>
      </c>
      <c r="C597" t="s">
        <v>16</v>
      </c>
      <c r="D597" t="s">
        <v>25</v>
      </c>
      <c r="E597" t="s">
        <v>24</v>
      </c>
      <c r="F597">
        <v>8</v>
      </c>
      <c r="G597" t="s">
        <v>55</v>
      </c>
      <c r="H597">
        <v>55</v>
      </c>
      <c r="I597">
        <v>592.82000000000005</v>
      </c>
      <c r="J597">
        <v>4742.5600000000004</v>
      </c>
    </row>
    <row r="598" spans="1:10" x14ac:dyDescent="0.35">
      <c r="A598" s="17">
        <v>45001</v>
      </c>
      <c r="B598" t="s">
        <v>8</v>
      </c>
      <c r="C598" t="s">
        <v>9</v>
      </c>
      <c r="D598" t="s">
        <v>10</v>
      </c>
      <c r="E598" t="s">
        <v>27</v>
      </c>
      <c r="F598">
        <v>1</v>
      </c>
      <c r="G598" t="s">
        <v>56</v>
      </c>
      <c r="H598">
        <v>26</v>
      </c>
      <c r="I598">
        <v>568.54999999999995</v>
      </c>
      <c r="J598">
        <v>568.54999999999995</v>
      </c>
    </row>
    <row r="599" spans="1:10" x14ac:dyDescent="0.35">
      <c r="A599" s="17">
        <v>44985</v>
      </c>
      <c r="B599" t="s">
        <v>12</v>
      </c>
      <c r="C599" t="s">
        <v>16</v>
      </c>
      <c r="D599" t="s">
        <v>25</v>
      </c>
      <c r="E599" t="s">
        <v>24</v>
      </c>
      <c r="F599">
        <v>5</v>
      </c>
      <c r="G599" t="s">
        <v>57</v>
      </c>
      <c r="H599">
        <v>33</v>
      </c>
      <c r="I599">
        <v>1319.46</v>
      </c>
      <c r="J599">
        <v>6597.3</v>
      </c>
    </row>
    <row r="600" spans="1:10" x14ac:dyDescent="0.35">
      <c r="A600" s="17">
        <v>45127</v>
      </c>
      <c r="B600" t="s">
        <v>12</v>
      </c>
      <c r="C600" t="s">
        <v>16</v>
      </c>
      <c r="D600" t="s">
        <v>25</v>
      </c>
      <c r="E600" t="s">
        <v>27</v>
      </c>
      <c r="F600">
        <v>7</v>
      </c>
      <c r="G600" t="s">
        <v>58</v>
      </c>
      <c r="H600">
        <v>45</v>
      </c>
      <c r="I600">
        <v>222.61</v>
      </c>
      <c r="J600">
        <v>1558.27</v>
      </c>
    </row>
    <row r="601" spans="1:10" x14ac:dyDescent="0.35">
      <c r="A601" s="17">
        <v>45101</v>
      </c>
      <c r="B601" t="s">
        <v>8</v>
      </c>
      <c r="C601" t="s">
        <v>28</v>
      </c>
      <c r="D601" t="s">
        <v>32</v>
      </c>
      <c r="E601" t="s">
        <v>24</v>
      </c>
      <c r="F601">
        <v>1</v>
      </c>
      <c r="G601" t="s">
        <v>59</v>
      </c>
      <c r="H601">
        <v>51</v>
      </c>
      <c r="I601">
        <v>4117.97</v>
      </c>
      <c r="J601">
        <v>4117.97</v>
      </c>
    </row>
    <row r="602" spans="1:10" x14ac:dyDescent="0.35">
      <c r="A602" s="17">
        <v>45106</v>
      </c>
      <c r="B602" t="s">
        <v>20</v>
      </c>
      <c r="C602" t="s">
        <v>21</v>
      </c>
      <c r="D602" t="s">
        <v>35</v>
      </c>
      <c r="E602" t="s">
        <v>15</v>
      </c>
      <c r="F602">
        <v>1</v>
      </c>
      <c r="G602" t="s">
        <v>48</v>
      </c>
      <c r="H602">
        <v>18</v>
      </c>
      <c r="I602">
        <v>1793.18</v>
      </c>
      <c r="J602">
        <v>1793.18</v>
      </c>
    </row>
    <row r="603" spans="1:10" x14ac:dyDescent="0.35">
      <c r="A603" s="17">
        <v>44977</v>
      </c>
      <c r="B603" t="s">
        <v>8</v>
      </c>
      <c r="C603" t="s">
        <v>9</v>
      </c>
      <c r="D603" t="s">
        <v>23</v>
      </c>
      <c r="E603" t="s">
        <v>15</v>
      </c>
      <c r="F603">
        <v>7</v>
      </c>
      <c r="G603" t="s">
        <v>49</v>
      </c>
      <c r="H603">
        <v>51</v>
      </c>
      <c r="I603">
        <v>4046.34</v>
      </c>
      <c r="J603">
        <v>28324.38</v>
      </c>
    </row>
    <row r="604" spans="1:10" x14ac:dyDescent="0.35">
      <c r="A604" s="17">
        <v>45089</v>
      </c>
      <c r="B604" t="s">
        <v>12</v>
      </c>
      <c r="C604" t="s">
        <v>16</v>
      </c>
      <c r="D604" t="s">
        <v>17</v>
      </c>
      <c r="E604" t="s">
        <v>15</v>
      </c>
      <c r="F604">
        <v>18</v>
      </c>
      <c r="G604" t="s">
        <v>50</v>
      </c>
      <c r="H604">
        <v>31</v>
      </c>
      <c r="I604">
        <v>4403.6899999999996</v>
      </c>
      <c r="J604">
        <v>79266.42</v>
      </c>
    </row>
    <row r="605" spans="1:10" x14ac:dyDescent="0.35">
      <c r="A605" s="17">
        <v>45108</v>
      </c>
      <c r="B605" t="s">
        <v>20</v>
      </c>
      <c r="C605" t="s">
        <v>21</v>
      </c>
      <c r="D605" t="s">
        <v>34</v>
      </c>
      <c r="E605" t="s">
        <v>24</v>
      </c>
      <c r="F605">
        <v>16</v>
      </c>
      <c r="G605" t="s">
        <v>51</v>
      </c>
      <c r="H605">
        <v>48</v>
      </c>
      <c r="I605">
        <v>338.38</v>
      </c>
      <c r="J605">
        <v>5414.08</v>
      </c>
    </row>
    <row r="606" spans="1:10" x14ac:dyDescent="0.35">
      <c r="A606" s="17">
        <v>44929</v>
      </c>
      <c r="B606" t="s">
        <v>8</v>
      </c>
      <c r="C606" t="s">
        <v>28</v>
      </c>
      <c r="D606" t="s">
        <v>30</v>
      </c>
      <c r="E606" t="s">
        <v>15</v>
      </c>
      <c r="F606">
        <v>12</v>
      </c>
      <c r="G606" t="s">
        <v>52</v>
      </c>
      <c r="H606">
        <v>38</v>
      </c>
      <c r="I606">
        <v>2232.4899999999998</v>
      </c>
      <c r="J606">
        <v>26789.88</v>
      </c>
    </row>
    <row r="607" spans="1:10" x14ac:dyDescent="0.35">
      <c r="A607" s="17">
        <v>44946</v>
      </c>
      <c r="B607" t="s">
        <v>12</v>
      </c>
      <c r="C607" t="s">
        <v>16</v>
      </c>
      <c r="D607" t="s">
        <v>19</v>
      </c>
      <c r="E607" t="s">
        <v>11</v>
      </c>
      <c r="F607">
        <v>20</v>
      </c>
      <c r="G607" t="s">
        <v>53</v>
      </c>
      <c r="H607">
        <v>42</v>
      </c>
      <c r="I607">
        <v>3280.87</v>
      </c>
      <c r="J607">
        <v>65617.399999999994</v>
      </c>
    </row>
    <row r="608" spans="1:10" x14ac:dyDescent="0.35">
      <c r="A608" s="17">
        <v>44950</v>
      </c>
      <c r="B608" t="s">
        <v>8</v>
      </c>
      <c r="C608" t="s">
        <v>28</v>
      </c>
      <c r="D608" t="s">
        <v>29</v>
      </c>
      <c r="E608" t="s">
        <v>18</v>
      </c>
      <c r="F608">
        <v>6</v>
      </c>
      <c r="G608" t="s">
        <v>54</v>
      </c>
      <c r="H608">
        <v>42</v>
      </c>
      <c r="I608">
        <v>744.85</v>
      </c>
      <c r="J608">
        <v>4469.1000000000004</v>
      </c>
    </row>
    <row r="609" spans="1:10" x14ac:dyDescent="0.35">
      <c r="A609" s="17">
        <v>45284</v>
      </c>
      <c r="B609" t="s">
        <v>20</v>
      </c>
      <c r="C609" t="s">
        <v>21</v>
      </c>
      <c r="D609" t="s">
        <v>34</v>
      </c>
      <c r="E609" t="s">
        <v>11</v>
      </c>
      <c r="F609">
        <v>18</v>
      </c>
      <c r="G609" t="s">
        <v>55</v>
      </c>
      <c r="H609">
        <v>54</v>
      </c>
      <c r="I609">
        <v>2880.41</v>
      </c>
      <c r="J609">
        <v>51847.38</v>
      </c>
    </row>
    <row r="610" spans="1:10" x14ac:dyDescent="0.35">
      <c r="A610" s="17">
        <v>45113</v>
      </c>
      <c r="B610" t="s">
        <v>8</v>
      </c>
      <c r="C610" t="s">
        <v>28</v>
      </c>
      <c r="D610" t="s">
        <v>32</v>
      </c>
      <c r="E610" t="s">
        <v>27</v>
      </c>
      <c r="F610">
        <v>6</v>
      </c>
      <c r="G610" t="s">
        <v>56</v>
      </c>
      <c r="H610">
        <v>23</v>
      </c>
      <c r="I610">
        <v>4265.8599999999997</v>
      </c>
      <c r="J610">
        <v>25595.16</v>
      </c>
    </row>
    <row r="611" spans="1:10" x14ac:dyDescent="0.35">
      <c r="A611" s="17">
        <v>45178</v>
      </c>
      <c r="B611" t="s">
        <v>8</v>
      </c>
      <c r="C611" t="s">
        <v>9</v>
      </c>
      <c r="D611" t="s">
        <v>23</v>
      </c>
      <c r="E611" t="s">
        <v>27</v>
      </c>
      <c r="F611">
        <v>15</v>
      </c>
      <c r="G611" t="s">
        <v>57</v>
      </c>
      <c r="H611">
        <v>34</v>
      </c>
      <c r="I611">
        <v>1790.03</v>
      </c>
      <c r="J611">
        <v>26850.45</v>
      </c>
    </row>
    <row r="612" spans="1:10" x14ac:dyDescent="0.35">
      <c r="A612" s="17">
        <v>45044</v>
      </c>
      <c r="B612" t="s">
        <v>12</v>
      </c>
      <c r="C612" t="s">
        <v>13</v>
      </c>
      <c r="D612" t="s">
        <v>26</v>
      </c>
      <c r="E612" t="s">
        <v>27</v>
      </c>
      <c r="F612">
        <v>12</v>
      </c>
      <c r="G612" t="s">
        <v>58</v>
      </c>
      <c r="H612">
        <v>47</v>
      </c>
      <c r="I612">
        <v>1104.74</v>
      </c>
      <c r="J612">
        <v>13256.88</v>
      </c>
    </row>
    <row r="613" spans="1:10" x14ac:dyDescent="0.35">
      <c r="A613" s="17">
        <v>45138</v>
      </c>
      <c r="B613" t="s">
        <v>8</v>
      </c>
      <c r="C613" t="s">
        <v>28</v>
      </c>
      <c r="D613" t="s">
        <v>30</v>
      </c>
      <c r="E613" t="s">
        <v>24</v>
      </c>
      <c r="F613">
        <v>14</v>
      </c>
      <c r="G613" t="s">
        <v>59</v>
      </c>
      <c r="H613">
        <v>20</v>
      </c>
      <c r="I613">
        <v>948.05</v>
      </c>
      <c r="J613">
        <v>13272.7</v>
      </c>
    </row>
    <row r="614" spans="1:10" x14ac:dyDescent="0.35">
      <c r="A614" s="17">
        <v>44951</v>
      </c>
      <c r="B614" t="s">
        <v>12</v>
      </c>
      <c r="C614" t="s">
        <v>13</v>
      </c>
      <c r="D614" t="s">
        <v>26</v>
      </c>
      <c r="E614" t="s">
        <v>27</v>
      </c>
      <c r="F614">
        <v>4</v>
      </c>
      <c r="G614" t="s">
        <v>48</v>
      </c>
      <c r="H614">
        <v>55</v>
      </c>
      <c r="I614">
        <v>2625.31</v>
      </c>
      <c r="J614">
        <v>10501.24</v>
      </c>
    </row>
    <row r="615" spans="1:10" x14ac:dyDescent="0.35">
      <c r="A615" s="17">
        <v>45078</v>
      </c>
      <c r="B615" t="s">
        <v>12</v>
      </c>
      <c r="C615" t="s">
        <v>16</v>
      </c>
      <c r="D615" t="s">
        <v>17</v>
      </c>
      <c r="E615" t="s">
        <v>15</v>
      </c>
      <c r="F615">
        <v>12</v>
      </c>
      <c r="G615" t="s">
        <v>49</v>
      </c>
      <c r="H615">
        <v>36</v>
      </c>
      <c r="I615">
        <v>3785.29</v>
      </c>
      <c r="J615">
        <v>45423.48</v>
      </c>
    </row>
    <row r="616" spans="1:10" x14ac:dyDescent="0.35">
      <c r="A616" s="17">
        <v>45226</v>
      </c>
      <c r="B616" t="s">
        <v>12</v>
      </c>
      <c r="C616" t="s">
        <v>13</v>
      </c>
      <c r="D616" t="s">
        <v>26</v>
      </c>
      <c r="E616" t="s">
        <v>11</v>
      </c>
      <c r="F616">
        <v>19</v>
      </c>
      <c r="G616" t="s">
        <v>50</v>
      </c>
      <c r="H616">
        <v>32</v>
      </c>
      <c r="I616">
        <v>2386.59</v>
      </c>
      <c r="J616">
        <v>45345.21</v>
      </c>
    </row>
    <row r="617" spans="1:10" x14ac:dyDescent="0.35">
      <c r="A617" s="17">
        <v>45159</v>
      </c>
      <c r="B617" t="s">
        <v>20</v>
      </c>
      <c r="C617" t="s">
        <v>21</v>
      </c>
      <c r="D617" t="s">
        <v>35</v>
      </c>
      <c r="E617" t="s">
        <v>27</v>
      </c>
      <c r="F617">
        <v>20</v>
      </c>
      <c r="G617" t="s">
        <v>51</v>
      </c>
      <c r="H617">
        <v>19</v>
      </c>
      <c r="I617">
        <v>3438.25</v>
      </c>
      <c r="J617">
        <v>68765</v>
      </c>
    </row>
    <row r="618" spans="1:10" x14ac:dyDescent="0.35">
      <c r="A618" s="17">
        <v>45183</v>
      </c>
      <c r="B618" t="s">
        <v>12</v>
      </c>
      <c r="C618" t="s">
        <v>16</v>
      </c>
      <c r="D618" t="s">
        <v>25</v>
      </c>
      <c r="E618" t="s">
        <v>15</v>
      </c>
      <c r="F618">
        <v>18</v>
      </c>
      <c r="G618" t="s">
        <v>52</v>
      </c>
      <c r="H618">
        <v>55</v>
      </c>
      <c r="I618">
        <v>4422.21</v>
      </c>
      <c r="J618">
        <v>79599.78</v>
      </c>
    </row>
    <row r="619" spans="1:10" x14ac:dyDescent="0.35">
      <c r="A619" s="17">
        <v>45037</v>
      </c>
      <c r="B619" t="s">
        <v>12</v>
      </c>
      <c r="C619" t="s">
        <v>16</v>
      </c>
      <c r="D619" t="s">
        <v>25</v>
      </c>
      <c r="E619" t="s">
        <v>11</v>
      </c>
      <c r="F619">
        <v>7</v>
      </c>
      <c r="G619" t="s">
        <v>53</v>
      </c>
      <c r="H619">
        <v>34</v>
      </c>
      <c r="I619">
        <v>299.68</v>
      </c>
      <c r="J619">
        <v>2097.7600000000002</v>
      </c>
    </row>
    <row r="620" spans="1:10" x14ac:dyDescent="0.35">
      <c r="A620" s="17">
        <v>45182</v>
      </c>
      <c r="B620" t="s">
        <v>8</v>
      </c>
      <c r="C620" t="s">
        <v>9</v>
      </c>
      <c r="D620" t="s">
        <v>23</v>
      </c>
      <c r="E620" t="s">
        <v>15</v>
      </c>
      <c r="F620">
        <v>6</v>
      </c>
      <c r="G620" t="s">
        <v>54</v>
      </c>
      <c r="H620">
        <v>36</v>
      </c>
      <c r="I620">
        <v>3279.45</v>
      </c>
      <c r="J620">
        <v>19676.7</v>
      </c>
    </row>
    <row r="621" spans="1:10" x14ac:dyDescent="0.35">
      <c r="A621" s="17">
        <v>45077</v>
      </c>
      <c r="B621" t="s">
        <v>8</v>
      </c>
      <c r="C621" t="s">
        <v>9</v>
      </c>
      <c r="D621" t="s">
        <v>23</v>
      </c>
      <c r="E621" t="s">
        <v>18</v>
      </c>
      <c r="F621">
        <v>4</v>
      </c>
      <c r="G621" t="s">
        <v>55</v>
      </c>
      <c r="H621">
        <v>30</v>
      </c>
      <c r="I621">
        <v>2298.98</v>
      </c>
      <c r="J621">
        <v>9195.92</v>
      </c>
    </row>
    <row r="622" spans="1:10" x14ac:dyDescent="0.35">
      <c r="A622" s="17">
        <v>44942</v>
      </c>
      <c r="B622" t="s">
        <v>12</v>
      </c>
      <c r="C622" t="s">
        <v>16</v>
      </c>
      <c r="D622" t="s">
        <v>19</v>
      </c>
      <c r="E622" t="s">
        <v>15</v>
      </c>
      <c r="F622">
        <v>15</v>
      </c>
      <c r="G622" t="s">
        <v>56</v>
      </c>
      <c r="H622">
        <v>42</v>
      </c>
      <c r="I622">
        <v>2174.4499999999998</v>
      </c>
      <c r="J622">
        <v>32616.75</v>
      </c>
    </row>
    <row r="623" spans="1:10" x14ac:dyDescent="0.35">
      <c r="A623" s="17">
        <v>45105</v>
      </c>
      <c r="B623" t="s">
        <v>12</v>
      </c>
      <c r="C623" t="s">
        <v>13</v>
      </c>
      <c r="D623" t="s">
        <v>33</v>
      </c>
      <c r="E623" t="s">
        <v>18</v>
      </c>
      <c r="F623">
        <v>10</v>
      </c>
      <c r="G623" t="s">
        <v>57</v>
      </c>
      <c r="H623">
        <v>47</v>
      </c>
      <c r="I623">
        <v>4761.1899999999996</v>
      </c>
      <c r="J623">
        <v>47611.9</v>
      </c>
    </row>
    <row r="624" spans="1:10" x14ac:dyDescent="0.35">
      <c r="A624" s="17">
        <v>45290</v>
      </c>
      <c r="B624" t="s">
        <v>8</v>
      </c>
      <c r="C624" t="s">
        <v>9</v>
      </c>
      <c r="D624" t="s">
        <v>10</v>
      </c>
      <c r="E624" t="s">
        <v>15</v>
      </c>
      <c r="F624">
        <v>18</v>
      </c>
      <c r="G624" t="s">
        <v>58</v>
      </c>
      <c r="H624">
        <v>31</v>
      </c>
      <c r="I624">
        <v>1533.77</v>
      </c>
      <c r="J624">
        <v>27607.86</v>
      </c>
    </row>
    <row r="625" spans="1:10" x14ac:dyDescent="0.35">
      <c r="A625" s="17">
        <v>44973</v>
      </c>
      <c r="B625" t="s">
        <v>8</v>
      </c>
      <c r="C625" t="s">
        <v>28</v>
      </c>
      <c r="D625" t="s">
        <v>30</v>
      </c>
      <c r="E625" t="s">
        <v>11</v>
      </c>
      <c r="F625">
        <v>4</v>
      </c>
      <c r="G625" t="s">
        <v>59</v>
      </c>
      <c r="H625">
        <v>54</v>
      </c>
      <c r="I625">
        <v>2331.1</v>
      </c>
      <c r="J625">
        <v>9324.4</v>
      </c>
    </row>
    <row r="626" spans="1:10" x14ac:dyDescent="0.35">
      <c r="A626" s="17">
        <v>44967</v>
      </c>
      <c r="B626" t="s">
        <v>8</v>
      </c>
      <c r="C626" t="s">
        <v>28</v>
      </c>
      <c r="D626" t="s">
        <v>30</v>
      </c>
      <c r="E626" t="s">
        <v>27</v>
      </c>
      <c r="F626">
        <v>12</v>
      </c>
      <c r="G626" t="s">
        <v>48</v>
      </c>
      <c r="H626">
        <v>55</v>
      </c>
      <c r="I626">
        <v>3443.54</v>
      </c>
      <c r="J626">
        <v>41322.480000000003</v>
      </c>
    </row>
    <row r="627" spans="1:10" x14ac:dyDescent="0.35">
      <c r="A627" s="17">
        <v>45163</v>
      </c>
      <c r="B627" t="s">
        <v>12</v>
      </c>
      <c r="C627" t="s">
        <v>13</v>
      </c>
      <c r="D627" t="s">
        <v>14</v>
      </c>
      <c r="E627" t="s">
        <v>18</v>
      </c>
      <c r="F627">
        <v>8</v>
      </c>
      <c r="G627" t="s">
        <v>49</v>
      </c>
      <c r="H627">
        <v>41</v>
      </c>
      <c r="I627">
        <v>3547.38</v>
      </c>
      <c r="J627">
        <v>28379.040000000001</v>
      </c>
    </row>
    <row r="628" spans="1:10" x14ac:dyDescent="0.35">
      <c r="A628" s="17">
        <v>45043</v>
      </c>
      <c r="B628" t="s">
        <v>8</v>
      </c>
      <c r="C628" t="s">
        <v>28</v>
      </c>
      <c r="D628" t="s">
        <v>32</v>
      </c>
      <c r="E628" t="s">
        <v>11</v>
      </c>
      <c r="F628">
        <v>15</v>
      </c>
      <c r="G628" t="s">
        <v>50</v>
      </c>
      <c r="H628">
        <v>49</v>
      </c>
      <c r="I628">
        <v>866.62</v>
      </c>
      <c r="J628">
        <v>12999.3</v>
      </c>
    </row>
    <row r="629" spans="1:10" x14ac:dyDescent="0.35">
      <c r="A629" s="17">
        <v>45134</v>
      </c>
      <c r="B629" t="s">
        <v>8</v>
      </c>
      <c r="C629" t="s">
        <v>9</v>
      </c>
      <c r="D629" t="s">
        <v>23</v>
      </c>
      <c r="E629" t="s">
        <v>27</v>
      </c>
      <c r="F629">
        <v>9</v>
      </c>
      <c r="G629" t="s">
        <v>51</v>
      </c>
      <c r="H629">
        <v>50</v>
      </c>
      <c r="I629">
        <v>1280.74</v>
      </c>
      <c r="J629">
        <v>11526.66</v>
      </c>
    </row>
    <row r="630" spans="1:10" x14ac:dyDescent="0.35">
      <c r="A630" s="17">
        <v>45287</v>
      </c>
      <c r="B630" t="s">
        <v>12</v>
      </c>
      <c r="C630" t="s">
        <v>13</v>
      </c>
      <c r="D630" t="s">
        <v>14</v>
      </c>
      <c r="E630" t="s">
        <v>18</v>
      </c>
      <c r="F630">
        <v>19</v>
      </c>
      <c r="G630" t="s">
        <v>52</v>
      </c>
      <c r="H630">
        <v>23</v>
      </c>
      <c r="I630">
        <v>2513.27</v>
      </c>
      <c r="J630">
        <v>47752.13</v>
      </c>
    </row>
    <row r="631" spans="1:10" x14ac:dyDescent="0.35">
      <c r="A631" s="17">
        <v>44960</v>
      </c>
      <c r="B631" t="s">
        <v>20</v>
      </c>
      <c r="C631" t="s">
        <v>21</v>
      </c>
      <c r="D631" t="s">
        <v>35</v>
      </c>
      <c r="E631" t="s">
        <v>15</v>
      </c>
      <c r="F631">
        <v>14</v>
      </c>
      <c r="G631" t="s">
        <v>53</v>
      </c>
      <c r="H631">
        <v>26</v>
      </c>
      <c r="I631">
        <v>2371.85</v>
      </c>
      <c r="J631">
        <v>33205.9</v>
      </c>
    </row>
    <row r="632" spans="1:10" x14ac:dyDescent="0.35">
      <c r="A632" s="17">
        <v>45083</v>
      </c>
      <c r="B632" t="s">
        <v>12</v>
      </c>
      <c r="C632" t="s">
        <v>13</v>
      </c>
      <c r="D632" t="s">
        <v>14</v>
      </c>
      <c r="E632" t="s">
        <v>15</v>
      </c>
      <c r="F632">
        <v>9</v>
      </c>
      <c r="G632" t="s">
        <v>54</v>
      </c>
      <c r="H632">
        <v>52</v>
      </c>
      <c r="I632">
        <v>2438.9899999999998</v>
      </c>
      <c r="J632">
        <v>21950.91</v>
      </c>
    </row>
    <row r="633" spans="1:10" x14ac:dyDescent="0.35">
      <c r="A633" s="17">
        <v>45086</v>
      </c>
      <c r="B633" t="s">
        <v>12</v>
      </c>
      <c r="C633" t="s">
        <v>13</v>
      </c>
      <c r="D633" t="s">
        <v>14</v>
      </c>
      <c r="E633" t="s">
        <v>24</v>
      </c>
      <c r="F633">
        <v>19</v>
      </c>
      <c r="G633" t="s">
        <v>55</v>
      </c>
      <c r="H633">
        <v>53</v>
      </c>
      <c r="I633">
        <v>3044.32</v>
      </c>
      <c r="J633">
        <v>57842.080000000002</v>
      </c>
    </row>
    <row r="634" spans="1:10" x14ac:dyDescent="0.35">
      <c r="A634" s="17">
        <v>45007</v>
      </c>
      <c r="B634" t="s">
        <v>8</v>
      </c>
      <c r="C634" t="s">
        <v>28</v>
      </c>
      <c r="D634" t="s">
        <v>29</v>
      </c>
      <c r="E634" t="s">
        <v>11</v>
      </c>
      <c r="F634">
        <v>3</v>
      </c>
      <c r="G634" t="s">
        <v>56</v>
      </c>
      <c r="H634">
        <v>48</v>
      </c>
      <c r="I634">
        <v>2880.4</v>
      </c>
      <c r="J634">
        <v>8641.2000000000007</v>
      </c>
    </row>
    <row r="635" spans="1:10" x14ac:dyDescent="0.35">
      <c r="A635" s="17">
        <v>45260</v>
      </c>
      <c r="B635" t="s">
        <v>12</v>
      </c>
      <c r="C635" t="s">
        <v>13</v>
      </c>
      <c r="D635" t="s">
        <v>33</v>
      </c>
      <c r="E635" t="s">
        <v>15</v>
      </c>
      <c r="F635">
        <v>2</v>
      </c>
      <c r="G635" t="s">
        <v>57</v>
      </c>
      <c r="H635">
        <v>21</v>
      </c>
      <c r="I635">
        <v>2087.14</v>
      </c>
      <c r="J635">
        <v>4174.28</v>
      </c>
    </row>
    <row r="636" spans="1:10" x14ac:dyDescent="0.35">
      <c r="A636" s="17">
        <v>44993</v>
      </c>
      <c r="B636" t="s">
        <v>8</v>
      </c>
      <c r="C636" t="s">
        <v>9</v>
      </c>
      <c r="D636" t="s">
        <v>23</v>
      </c>
      <c r="E636" t="s">
        <v>18</v>
      </c>
      <c r="F636">
        <v>14</v>
      </c>
      <c r="G636" t="s">
        <v>58</v>
      </c>
      <c r="H636">
        <v>38</v>
      </c>
      <c r="I636">
        <v>1694.59</v>
      </c>
      <c r="J636">
        <v>23724.26</v>
      </c>
    </row>
    <row r="637" spans="1:10" x14ac:dyDescent="0.35">
      <c r="A637" s="17">
        <v>45025</v>
      </c>
      <c r="B637" t="s">
        <v>8</v>
      </c>
      <c r="C637" t="s">
        <v>28</v>
      </c>
      <c r="D637" t="s">
        <v>30</v>
      </c>
      <c r="E637" t="s">
        <v>15</v>
      </c>
      <c r="F637">
        <v>5</v>
      </c>
      <c r="G637" t="s">
        <v>59</v>
      </c>
      <c r="H637">
        <v>16</v>
      </c>
      <c r="I637">
        <v>4182.07</v>
      </c>
      <c r="J637">
        <v>20910.349999999999</v>
      </c>
    </row>
    <row r="638" spans="1:10" x14ac:dyDescent="0.35">
      <c r="A638" s="17">
        <v>44980</v>
      </c>
      <c r="B638" t="s">
        <v>8</v>
      </c>
      <c r="C638" t="s">
        <v>9</v>
      </c>
      <c r="D638" t="s">
        <v>10</v>
      </c>
      <c r="E638" t="s">
        <v>18</v>
      </c>
      <c r="F638">
        <v>20</v>
      </c>
      <c r="G638" t="s">
        <v>48</v>
      </c>
      <c r="H638">
        <v>27</v>
      </c>
      <c r="I638">
        <v>4638.2</v>
      </c>
      <c r="J638">
        <v>92764</v>
      </c>
    </row>
    <row r="639" spans="1:10" x14ac:dyDescent="0.35">
      <c r="A639" s="17">
        <v>45226</v>
      </c>
      <c r="B639" t="s">
        <v>8</v>
      </c>
      <c r="C639" t="s">
        <v>9</v>
      </c>
      <c r="D639" t="s">
        <v>31</v>
      </c>
      <c r="E639" t="s">
        <v>18</v>
      </c>
      <c r="F639">
        <v>1</v>
      </c>
      <c r="G639" t="s">
        <v>49</v>
      </c>
      <c r="H639">
        <v>45</v>
      </c>
      <c r="I639">
        <v>1999.98</v>
      </c>
      <c r="J639">
        <v>1999.98</v>
      </c>
    </row>
    <row r="640" spans="1:10" x14ac:dyDescent="0.35">
      <c r="A640" s="17">
        <v>45212</v>
      </c>
      <c r="B640" t="s">
        <v>8</v>
      </c>
      <c r="C640" t="s">
        <v>28</v>
      </c>
      <c r="D640" t="s">
        <v>30</v>
      </c>
      <c r="E640" t="s">
        <v>15</v>
      </c>
      <c r="F640">
        <v>14</v>
      </c>
      <c r="G640" t="s">
        <v>50</v>
      </c>
      <c r="H640">
        <v>35</v>
      </c>
      <c r="I640">
        <v>3931.74</v>
      </c>
      <c r="J640">
        <v>55044.36</v>
      </c>
    </row>
    <row r="641" spans="1:10" x14ac:dyDescent="0.35">
      <c r="A641" s="17">
        <v>45049</v>
      </c>
      <c r="B641" t="s">
        <v>12</v>
      </c>
      <c r="C641" t="s">
        <v>13</v>
      </c>
      <c r="D641" t="s">
        <v>26</v>
      </c>
      <c r="E641" t="s">
        <v>18</v>
      </c>
      <c r="F641">
        <v>5</v>
      </c>
      <c r="G641" t="s">
        <v>51</v>
      </c>
      <c r="H641">
        <v>32</v>
      </c>
      <c r="I641">
        <v>3898.88</v>
      </c>
      <c r="J641">
        <v>19494.400000000001</v>
      </c>
    </row>
    <row r="642" spans="1:10" x14ac:dyDescent="0.35">
      <c r="A642" s="17">
        <v>44999</v>
      </c>
      <c r="B642" t="s">
        <v>12</v>
      </c>
      <c r="C642" t="s">
        <v>16</v>
      </c>
      <c r="D642" t="s">
        <v>25</v>
      </c>
      <c r="E642" t="s">
        <v>11</v>
      </c>
      <c r="F642">
        <v>19</v>
      </c>
      <c r="G642" t="s">
        <v>52</v>
      </c>
      <c r="H642">
        <v>21</v>
      </c>
      <c r="I642">
        <v>4134.01</v>
      </c>
      <c r="J642">
        <v>78546.19</v>
      </c>
    </row>
    <row r="643" spans="1:10" x14ac:dyDescent="0.35">
      <c r="A643" s="17">
        <v>45199</v>
      </c>
      <c r="B643" t="s">
        <v>8</v>
      </c>
      <c r="C643" t="s">
        <v>28</v>
      </c>
      <c r="D643" t="s">
        <v>30</v>
      </c>
      <c r="E643" t="s">
        <v>27</v>
      </c>
      <c r="F643">
        <v>1</v>
      </c>
      <c r="G643" t="s">
        <v>53</v>
      </c>
      <c r="H643">
        <v>18</v>
      </c>
      <c r="I643">
        <v>2571.59</v>
      </c>
      <c r="J643">
        <v>2571.59</v>
      </c>
    </row>
    <row r="644" spans="1:10" x14ac:dyDescent="0.35">
      <c r="A644" s="17">
        <v>45206</v>
      </c>
      <c r="B644" t="s">
        <v>8</v>
      </c>
      <c r="C644" t="s">
        <v>28</v>
      </c>
      <c r="D644" t="s">
        <v>29</v>
      </c>
      <c r="E644" t="s">
        <v>18</v>
      </c>
      <c r="F644">
        <v>1</v>
      </c>
      <c r="G644" t="s">
        <v>54</v>
      </c>
      <c r="H644">
        <v>27</v>
      </c>
      <c r="I644">
        <v>1286.1099999999999</v>
      </c>
      <c r="J644">
        <v>1286.1099999999999</v>
      </c>
    </row>
    <row r="645" spans="1:10" x14ac:dyDescent="0.35">
      <c r="A645" s="17">
        <v>45268</v>
      </c>
      <c r="B645" t="s">
        <v>12</v>
      </c>
      <c r="C645" t="s">
        <v>13</v>
      </c>
      <c r="D645" t="s">
        <v>33</v>
      </c>
      <c r="E645" t="s">
        <v>27</v>
      </c>
      <c r="F645">
        <v>5</v>
      </c>
      <c r="G645" t="s">
        <v>55</v>
      </c>
      <c r="H645">
        <v>41</v>
      </c>
      <c r="I645">
        <v>1372.78</v>
      </c>
      <c r="J645">
        <v>6863.9</v>
      </c>
    </row>
    <row r="646" spans="1:10" x14ac:dyDescent="0.35">
      <c r="A646" s="17">
        <v>45215</v>
      </c>
      <c r="B646" t="s">
        <v>8</v>
      </c>
      <c r="C646" t="s">
        <v>28</v>
      </c>
      <c r="D646" t="s">
        <v>30</v>
      </c>
      <c r="E646" t="s">
        <v>15</v>
      </c>
      <c r="F646">
        <v>2</v>
      </c>
      <c r="G646" t="s">
        <v>56</v>
      </c>
      <c r="H646">
        <v>28</v>
      </c>
      <c r="I646">
        <v>1673.1</v>
      </c>
      <c r="J646">
        <v>3346.2</v>
      </c>
    </row>
    <row r="647" spans="1:10" x14ac:dyDescent="0.35">
      <c r="A647" s="17">
        <v>45028</v>
      </c>
      <c r="B647" t="s">
        <v>8</v>
      </c>
      <c r="C647" t="s">
        <v>9</v>
      </c>
      <c r="D647" t="s">
        <v>23</v>
      </c>
      <c r="E647" t="s">
        <v>27</v>
      </c>
      <c r="F647">
        <v>7</v>
      </c>
      <c r="G647" t="s">
        <v>57</v>
      </c>
      <c r="H647">
        <v>31</v>
      </c>
      <c r="I647">
        <v>1576.4</v>
      </c>
      <c r="J647">
        <v>11034.8</v>
      </c>
    </row>
    <row r="648" spans="1:10" x14ac:dyDescent="0.35">
      <c r="A648" s="17">
        <v>45162</v>
      </c>
      <c r="B648" t="s">
        <v>8</v>
      </c>
      <c r="C648" t="s">
        <v>28</v>
      </c>
      <c r="D648" t="s">
        <v>30</v>
      </c>
      <c r="E648" t="s">
        <v>27</v>
      </c>
      <c r="F648">
        <v>3</v>
      </c>
      <c r="G648" t="s">
        <v>58</v>
      </c>
      <c r="H648">
        <v>53</v>
      </c>
      <c r="I648">
        <v>403.5</v>
      </c>
      <c r="J648">
        <v>1210.5</v>
      </c>
    </row>
    <row r="649" spans="1:10" x14ac:dyDescent="0.35">
      <c r="A649" s="17">
        <v>45193</v>
      </c>
      <c r="B649" t="s">
        <v>8</v>
      </c>
      <c r="C649" t="s">
        <v>9</v>
      </c>
      <c r="D649" t="s">
        <v>10</v>
      </c>
      <c r="E649" t="s">
        <v>18</v>
      </c>
      <c r="F649">
        <v>10</v>
      </c>
      <c r="G649" t="s">
        <v>59</v>
      </c>
      <c r="H649">
        <v>43</v>
      </c>
      <c r="I649">
        <v>2691.21</v>
      </c>
      <c r="J649">
        <v>26912.1</v>
      </c>
    </row>
    <row r="650" spans="1:10" x14ac:dyDescent="0.35">
      <c r="A650" s="17">
        <v>44985</v>
      </c>
      <c r="B650" t="s">
        <v>12</v>
      </c>
      <c r="C650" t="s">
        <v>13</v>
      </c>
      <c r="D650" t="s">
        <v>33</v>
      </c>
      <c r="E650" t="s">
        <v>27</v>
      </c>
      <c r="F650">
        <v>8</v>
      </c>
      <c r="G650" t="s">
        <v>48</v>
      </c>
      <c r="H650">
        <v>16</v>
      </c>
      <c r="I650">
        <v>372.22</v>
      </c>
      <c r="J650">
        <v>2977.76</v>
      </c>
    </row>
    <row r="651" spans="1:10" x14ac:dyDescent="0.35">
      <c r="A651" s="17">
        <v>44993</v>
      </c>
      <c r="B651" t="s">
        <v>12</v>
      </c>
      <c r="C651" t="s">
        <v>16</v>
      </c>
      <c r="D651" t="s">
        <v>17</v>
      </c>
      <c r="E651" t="s">
        <v>27</v>
      </c>
      <c r="F651">
        <v>19</v>
      </c>
      <c r="G651" t="s">
        <v>49</v>
      </c>
      <c r="H651">
        <v>37</v>
      </c>
      <c r="I651">
        <v>4642.84</v>
      </c>
      <c r="J651">
        <v>88213.96</v>
      </c>
    </row>
    <row r="652" spans="1:10" x14ac:dyDescent="0.35">
      <c r="A652" s="17">
        <v>44962</v>
      </c>
      <c r="B652" t="s">
        <v>12</v>
      </c>
      <c r="C652" t="s">
        <v>16</v>
      </c>
      <c r="D652" t="s">
        <v>19</v>
      </c>
      <c r="E652" t="s">
        <v>24</v>
      </c>
      <c r="F652">
        <v>20</v>
      </c>
      <c r="G652" t="s">
        <v>50</v>
      </c>
      <c r="H652">
        <v>24</v>
      </c>
      <c r="I652">
        <v>2860.11</v>
      </c>
      <c r="J652">
        <v>57202.2</v>
      </c>
    </row>
    <row r="653" spans="1:10" x14ac:dyDescent="0.35">
      <c r="A653" s="17">
        <v>44950</v>
      </c>
      <c r="B653" t="s">
        <v>20</v>
      </c>
      <c r="C653" t="s">
        <v>21</v>
      </c>
      <c r="D653" t="s">
        <v>22</v>
      </c>
      <c r="E653" t="s">
        <v>27</v>
      </c>
      <c r="F653">
        <v>8</v>
      </c>
      <c r="G653" t="s">
        <v>51</v>
      </c>
      <c r="H653">
        <v>35</v>
      </c>
      <c r="I653">
        <v>4986.3100000000004</v>
      </c>
      <c r="J653">
        <v>39890.480000000003</v>
      </c>
    </row>
    <row r="654" spans="1:10" x14ac:dyDescent="0.35">
      <c r="A654" s="17">
        <v>45016</v>
      </c>
      <c r="B654" t="s">
        <v>8</v>
      </c>
      <c r="C654" t="s">
        <v>28</v>
      </c>
      <c r="D654" t="s">
        <v>32</v>
      </c>
      <c r="E654" t="s">
        <v>11</v>
      </c>
      <c r="F654">
        <v>3</v>
      </c>
      <c r="G654" t="s">
        <v>52</v>
      </c>
      <c r="H654">
        <v>18</v>
      </c>
      <c r="I654">
        <v>4888.03</v>
      </c>
      <c r="J654">
        <v>14664.09</v>
      </c>
    </row>
    <row r="655" spans="1:10" x14ac:dyDescent="0.35">
      <c r="A655" s="17">
        <v>45142</v>
      </c>
      <c r="B655" t="s">
        <v>20</v>
      </c>
      <c r="C655" t="s">
        <v>21</v>
      </c>
      <c r="D655" t="s">
        <v>34</v>
      </c>
      <c r="E655" t="s">
        <v>18</v>
      </c>
      <c r="F655">
        <v>11</v>
      </c>
      <c r="G655" t="s">
        <v>53</v>
      </c>
      <c r="H655">
        <v>47</v>
      </c>
      <c r="I655">
        <v>3011.73</v>
      </c>
      <c r="J655">
        <v>33129.03</v>
      </c>
    </row>
    <row r="656" spans="1:10" x14ac:dyDescent="0.35">
      <c r="A656" s="17">
        <v>45264</v>
      </c>
      <c r="B656" t="s">
        <v>8</v>
      </c>
      <c r="C656" t="s">
        <v>28</v>
      </c>
      <c r="D656" t="s">
        <v>29</v>
      </c>
      <c r="E656" t="s">
        <v>11</v>
      </c>
      <c r="F656">
        <v>16</v>
      </c>
      <c r="G656" t="s">
        <v>54</v>
      </c>
      <c r="H656">
        <v>51</v>
      </c>
      <c r="I656">
        <v>3082.84</v>
      </c>
      <c r="J656">
        <v>49325.440000000002</v>
      </c>
    </row>
    <row r="657" spans="1:10" x14ac:dyDescent="0.35">
      <c r="A657" s="17">
        <v>45253</v>
      </c>
      <c r="B657" t="s">
        <v>8</v>
      </c>
      <c r="C657" t="s">
        <v>9</v>
      </c>
      <c r="D657" t="s">
        <v>23</v>
      </c>
      <c r="E657" t="s">
        <v>15</v>
      </c>
      <c r="F657">
        <v>6</v>
      </c>
      <c r="G657" t="s">
        <v>55</v>
      </c>
      <c r="H657">
        <v>41</v>
      </c>
      <c r="I657">
        <v>4908.9799999999996</v>
      </c>
      <c r="J657">
        <v>29453.88</v>
      </c>
    </row>
    <row r="658" spans="1:10" x14ac:dyDescent="0.35">
      <c r="A658" s="17">
        <v>44976</v>
      </c>
      <c r="B658" t="s">
        <v>8</v>
      </c>
      <c r="C658" t="s">
        <v>28</v>
      </c>
      <c r="D658" t="s">
        <v>29</v>
      </c>
      <c r="E658" t="s">
        <v>18</v>
      </c>
      <c r="F658">
        <v>16</v>
      </c>
      <c r="G658" t="s">
        <v>56</v>
      </c>
      <c r="H658">
        <v>49</v>
      </c>
      <c r="I658">
        <v>1514.31</v>
      </c>
      <c r="J658">
        <v>24228.959999999999</v>
      </c>
    </row>
    <row r="659" spans="1:10" x14ac:dyDescent="0.35">
      <c r="A659" s="17">
        <v>45016</v>
      </c>
      <c r="B659" t="s">
        <v>12</v>
      </c>
      <c r="C659" t="s">
        <v>13</v>
      </c>
      <c r="D659" t="s">
        <v>26</v>
      </c>
      <c r="E659" t="s">
        <v>27</v>
      </c>
      <c r="F659">
        <v>18</v>
      </c>
      <c r="G659" t="s">
        <v>57</v>
      </c>
      <c r="H659">
        <v>18</v>
      </c>
      <c r="I659">
        <v>4450.2299999999996</v>
      </c>
      <c r="J659">
        <v>80104.14</v>
      </c>
    </row>
    <row r="660" spans="1:10" x14ac:dyDescent="0.35">
      <c r="A660" s="17">
        <v>44965</v>
      </c>
      <c r="B660" t="s">
        <v>8</v>
      </c>
      <c r="C660" t="s">
        <v>28</v>
      </c>
      <c r="D660" t="s">
        <v>30</v>
      </c>
      <c r="E660" t="s">
        <v>24</v>
      </c>
      <c r="F660">
        <v>15</v>
      </c>
      <c r="G660" t="s">
        <v>58</v>
      </c>
      <c r="H660">
        <v>28</v>
      </c>
      <c r="I660">
        <v>4678.57</v>
      </c>
      <c r="J660">
        <v>70178.55</v>
      </c>
    </row>
    <row r="661" spans="1:10" x14ac:dyDescent="0.35">
      <c r="A661" s="17">
        <v>45116</v>
      </c>
      <c r="B661" t="s">
        <v>8</v>
      </c>
      <c r="C661" t="s">
        <v>9</v>
      </c>
      <c r="D661" t="s">
        <v>31</v>
      </c>
      <c r="E661" t="s">
        <v>27</v>
      </c>
      <c r="F661">
        <v>18</v>
      </c>
      <c r="G661" t="s">
        <v>59</v>
      </c>
      <c r="H661">
        <v>23</v>
      </c>
      <c r="I661">
        <v>1177.8</v>
      </c>
      <c r="J661">
        <v>21200.400000000001</v>
      </c>
    </row>
    <row r="662" spans="1:10" x14ac:dyDescent="0.35">
      <c r="A662" s="17">
        <v>44934</v>
      </c>
      <c r="B662" t="s">
        <v>8</v>
      </c>
      <c r="C662" t="s">
        <v>28</v>
      </c>
      <c r="D662" t="s">
        <v>29</v>
      </c>
      <c r="E662" t="s">
        <v>11</v>
      </c>
      <c r="F662">
        <v>17</v>
      </c>
      <c r="G662" t="s">
        <v>48</v>
      </c>
      <c r="H662">
        <v>39</v>
      </c>
      <c r="I662">
        <v>4136.3100000000004</v>
      </c>
      <c r="J662">
        <v>70317.27</v>
      </c>
    </row>
    <row r="663" spans="1:10" x14ac:dyDescent="0.35">
      <c r="A663" s="17">
        <v>45128</v>
      </c>
      <c r="B663" t="s">
        <v>8</v>
      </c>
      <c r="C663" t="s">
        <v>9</v>
      </c>
      <c r="D663" t="s">
        <v>10</v>
      </c>
      <c r="E663" t="s">
        <v>15</v>
      </c>
      <c r="F663">
        <v>5</v>
      </c>
      <c r="G663" t="s">
        <v>49</v>
      </c>
      <c r="H663">
        <v>38</v>
      </c>
      <c r="I663">
        <v>3156.9</v>
      </c>
      <c r="J663">
        <v>15784.5</v>
      </c>
    </row>
    <row r="664" spans="1:10" x14ac:dyDescent="0.35">
      <c r="A664" s="17">
        <v>45115</v>
      </c>
      <c r="B664" t="s">
        <v>12</v>
      </c>
      <c r="C664" t="s">
        <v>13</v>
      </c>
      <c r="D664" t="s">
        <v>26</v>
      </c>
      <c r="E664" t="s">
        <v>24</v>
      </c>
      <c r="F664">
        <v>5</v>
      </c>
      <c r="G664" t="s">
        <v>50</v>
      </c>
      <c r="H664">
        <v>41</v>
      </c>
      <c r="I664">
        <v>1185.45</v>
      </c>
      <c r="J664">
        <v>5927.25</v>
      </c>
    </row>
    <row r="665" spans="1:10" x14ac:dyDescent="0.35">
      <c r="A665" s="17">
        <v>44948</v>
      </c>
      <c r="B665" t="s">
        <v>12</v>
      </c>
      <c r="C665" t="s">
        <v>16</v>
      </c>
      <c r="D665" t="s">
        <v>25</v>
      </c>
      <c r="E665" t="s">
        <v>15</v>
      </c>
      <c r="F665">
        <v>13</v>
      </c>
      <c r="G665" t="s">
        <v>51</v>
      </c>
      <c r="H665">
        <v>50</v>
      </c>
      <c r="I665">
        <v>818.58</v>
      </c>
      <c r="J665">
        <v>10641.54</v>
      </c>
    </row>
    <row r="666" spans="1:10" x14ac:dyDescent="0.35">
      <c r="A666" s="17">
        <v>45241</v>
      </c>
      <c r="B666" t="s">
        <v>12</v>
      </c>
      <c r="C666" t="s">
        <v>13</v>
      </c>
      <c r="D666" t="s">
        <v>33</v>
      </c>
      <c r="E666" t="s">
        <v>18</v>
      </c>
      <c r="F666">
        <v>10</v>
      </c>
      <c r="G666" t="s">
        <v>52</v>
      </c>
      <c r="H666">
        <v>21</v>
      </c>
      <c r="I666">
        <v>2539.6799999999998</v>
      </c>
      <c r="J666">
        <v>25396.799999999999</v>
      </c>
    </row>
    <row r="667" spans="1:10" x14ac:dyDescent="0.35">
      <c r="A667" s="17">
        <v>45229</v>
      </c>
      <c r="B667" t="s">
        <v>12</v>
      </c>
      <c r="C667" t="s">
        <v>16</v>
      </c>
      <c r="D667" t="s">
        <v>25</v>
      </c>
      <c r="E667" t="s">
        <v>27</v>
      </c>
      <c r="F667">
        <v>7</v>
      </c>
      <c r="G667" t="s">
        <v>53</v>
      </c>
      <c r="H667">
        <v>49</v>
      </c>
      <c r="I667">
        <v>1316.13</v>
      </c>
      <c r="J667">
        <v>9212.91</v>
      </c>
    </row>
    <row r="668" spans="1:10" x14ac:dyDescent="0.35">
      <c r="A668" s="17">
        <v>44992</v>
      </c>
      <c r="B668" t="s">
        <v>12</v>
      </c>
      <c r="C668" t="s">
        <v>13</v>
      </c>
      <c r="D668" t="s">
        <v>14</v>
      </c>
      <c r="E668" t="s">
        <v>18</v>
      </c>
      <c r="F668">
        <v>5</v>
      </c>
      <c r="G668" t="s">
        <v>54</v>
      </c>
      <c r="H668">
        <v>28</v>
      </c>
      <c r="I668">
        <v>1991.64</v>
      </c>
      <c r="J668">
        <v>9958.2000000000007</v>
      </c>
    </row>
    <row r="669" spans="1:10" x14ac:dyDescent="0.35">
      <c r="A669" s="17">
        <v>45101</v>
      </c>
      <c r="B669" t="s">
        <v>12</v>
      </c>
      <c r="C669" t="s">
        <v>13</v>
      </c>
      <c r="D669" t="s">
        <v>26</v>
      </c>
      <c r="E669" t="s">
        <v>18</v>
      </c>
      <c r="F669">
        <v>12</v>
      </c>
      <c r="G669" t="s">
        <v>55</v>
      </c>
      <c r="H669">
        <v>21</v>
      </c>
      <c r="I669">
        <v>4572.79</v>
      </c>
      <c r="J669">
        <v>54873.48</v>
      </c>
    </row>
    <row r="670" spans="1:10" x14ac:dyDescent="0.35">
      <c r="A670" s="17">
        <v>45028</v>
      </c>
      <c r="B670" t="s">
        <v>12</v>
      </c>
      <c r="C670" t="s">
        <v>13</v>
      </c>
      <c r="D670" t="s">
        <v>26</v>
      </c>
      <c r="E670" t="s">
        <v>18</v>
      </c>
      <c r="F670">
        <v>2</v>
      </c>
      <c r="G670" t="s">
        <v>56</v>
      </c>
      <c r="H670">
        <v>41</v>
      </c>
      <c r="I670">
        <v>2493.06</v>
      </c>
      <c r="J670">
        <v>4986.12</v>
      </c>
    </row>
    <row r="671" spans="1:10" x14ac:dyDescent="0.35">
      <c r="A671" s="17">
        <v>44957</v>
      </c>
      <c r="B671" t="s">
        <v>12</v>
      </c>
      <c r="C671" t="s">
        <v>13</v>
      </c>
      <c r="D671" t="s">
        <v>14</v>
      </c>
      <c r="E671" t="s">
        <v>27</v>
      </c>
      <c r="F671">
        <v>15</v>
      </c>
      <c r="G671" t="s">
        <v>57</v>
      </c>
      <c r="H671">
        <v>38</v>
      </c>
      <c r="I671">
        <v>3270.81</v>
      </c>
      <c r="J671">
        <v>49062.15</v>
      </c>
    </row>
    <row r="672" spans="1:10" x14ac:dyDescent="0.35">
      <c r="A672" s="17">
        <v>45283</v>
      </c>
      <c r="B672" t="s">
        <v>8</v>
      </c>
      <c r="C672" t="s">
        <v>28</v>
      </c>
      <c r="D672" t="s">
        <v>29</v>
      </c>
      <c r="E672" t="s">
        <v>11</v>
      </c>
      <c r="F672">
        <v>8</v>
      </c>
      <c r="G672" t="s">
        <v>58</v>
      </c>
      <c r="H672">
        <v>35</v>
      </c>
      <c r="I672">
        <v>4009.51</v>
      </c>
      <c r="J672">
        <v>32076.080000000002</v>
      </c>
    </row>
    <row r="673" spans="1:10" x14ac:dyDescent="0.35">
      <c r="A673" s="17">
        <v>44976</v>
      </c>
      <c r="B673" t="s">
        <v>8</v>
      </c>
      <c r="C673" t="s">
        <v>28</v>
      </c>
      <c r="D673" t="s">
        <v>29</v>
      </c>
      <c r="E673" t="s">
        <v>18</v>
      </c>
      <c r="F673">
        <v>1</v>
      </c>
      <c r="G673" t="s">
        <v>59</v>
      </c>
      <c r="H673">
        <v>23</v>
      </c>
      <c r="I673">
        <v>302.02</v>
      </c>
      <c r="J673">
        <v>302.02</v>
      </c>
    </row>
    <row r="674" spans="1:10" x14ac:dyDescent="0.35">
      <c r="A674" s="17">
        <v>45291</v>
      </c>
      <c r="B674" t="s">
        <v>8</v>
      </c>
      <c r="C674" t="s">
        <v>9</v>
      </c>
      <c r="D674" t="s">
        <v>31</v>
      </c>
      <c r="E674" t="s">
        <v>11</v>
      </c>
      <c r="F674">
        <v>10</v>
      </c>
      <c r="G674" t="s">
        <v>48</v>
      </c>
      <c r="H674">
        <v>52</v>
      </c>
      <c r="I674">
        <v>4995.74</v>
      </c>
      <c r="J674">
        <v>49957.4</v>
      </c>
    </row>
    <row r="675" spans="1:10" x14ac:dyDescent="0.35">
      <c r="A675" s="17">
        <v>44927</v>
      </c>
      <c r="B675" t="s">
        <v>8</v>
      </c>
      <c r="C675" t="s">
        <v>9</v>
      </c>
      <c r="D675" t="s">
        <v>10</v>
      </c>
      <c r="E675" t="s">
        <v>11</v>
      </c>
      <c r="F675">
        <v>9</v>
      </c>
      <c r="G675" t="s">
        <v>49</v>
      </c>
      <c r="H675">
        <v>27</v>
      </c>
      <c r="I675">
        <v>4858.75</v>
      </c>
      <c r="J675">
        <v>43728.75</v>
      </c>
    </row>
    <row r="676" spans="1:10" x14ac:dyDescent="0.35">
      <c r="A676" s="17">
        <v>45001</v>
      </c>
      <c r="B676" t="s">
        <v>8</v>
      </c>
      <c r="C676" t="s">
        <v>28</v>
      </c>
      <c r="D676" t="s">
        <v>32</v>
      </c>
      <c r="E676" t="s">
        <v>27</v>
      </c>
      <c r="F676">
        <v>2</v>
      </c>
      <c r="G676" t="s">
        <v>50</v>
      </c>
      <c r="H676">
        <v>49</v>
      </c>
      <c r="I676">
        <v>1971</v>
      </c>
      <c r="J676">
        <v>3942</v>
      </c>
    </row>
    <row r="677" spans="1:10" x14ac:dyDescent="0.35">
      <c r="A677" s="17">
        <v>45245</v>
      </c>
      <c r="B677" t="s">
        <v>8</v>
      </c>
      <c r="C677" t="s">
        <v>9</v>
      </c>
      <c r="D677" t="s">
        <v>23</v>
      </c>
      <c r="E677" t="s">
        <v>27</v>
      </c>
      <c r="F677">
        <v>12</v>
      </c>
      <c r="G677" t="s">
        <v>51</v>
      </c>
      <c r="H677">
        <v>19</v>
      </c>
      <c r="I677">
        <v>4713.26</v>
      </c>
      <c r="J677">
        <v>56559.12</v>
      </c>
    </row>
    <row r="678" spans="1:10" x14ac:dyDescent="0.35">
      <c r="A678" s="17">
        <v>45226</v>
      </c>
      <c r="B678" t="s">
        <v>20</v>
      </c>
      <c r="C678" t="s">
        <v>21</v>
      </c>
      <c r="D678" t="s">
        <v>22</v>
      </c>
      <c r="E678" t="s">
        <v>15</v>
      </c>
      <c r="F678">
        <v>5</v>
      </c>
      <c r="G678" t="s">
        <v>52</v>
      </c>
      <c r="H678">
        <v>50</v>
      </c>
      <c r="I678">
        <v>4993.87</v>
      </c>
      <c r="J678">
        <v>24969.35</v>
      </c>
    </row>
    <row r="679" spans="1:10" x14ac:dyDescent="0.35">
      <c r="A679" s="17">
        <v>45100</v>
      </c>
      <c r="B679" t="s">
        <v>8</v>
      </c>
      <c r="C679" t="s">
        <v>28</v>
      </c>
      <c r="D679" t="s">
        <v>29</v>
      </c>
      <c r="E679" t="s">
        <v>27</v>
      </c>
      <c r="F679">
        <v>12</v>
      </c>
      <c r="G679" t="s">
        <v>53</v>
      </c>
      <c r="H679">
        <v>22</v>
      </c>
      <c r="I679">
        <v>255.59</v>
      </c>
      <c r="J679">
        <v>3067.08</v>
      </c>
    </row>
    <row r="680" spans="1:10" x14ac:dyDescent="0.35">
      <c r="A680" s="17">
        <v>45173</v>
      </c>
      <c r="B680" t="s">
        <v>12</v>
      </c>
      <c r="C680" t="s">
        <v>13</v>
      </c>
      <c r="D680" t="s">
        <v>14</v>
      </c>
      <c r="E680" t="s">
        <v>27</v>
      </c>
      <c r="F680">
        <v>11</v>
      </c>
      <c r="G680" t="s">
        <v>54</v>
      </c>
      <c r="H680">
        <v>29</v>
      </c>
      <c r="I680">
        <v>1169.3</v>
      </c>
      <c r="J680">
        <v>12862.3</v>
      </c>
    </row>
    <row r="681" spans="1:10" x14ac:dyDescent="0.35">
      <c r="A681" s="17">
        <v>45014</v>
      </c>
      <c r="B681" t="s">
        <v>8</v>
      </c>
      <c r="C681" t="s">
        <v>9</v>
      </c>
      <c r="D681" t="s">
        <v>31</v>
      </c>
      <c r="E681" t="s">
        <v>15</v>
      </c>
      <c r="F681">
        <v>12</v>
      </c>
      <c r="G681" t="s">
        <v>55</v>
      </c>
      <c r="H681">
        <v>34</v>
      </c>
      <c r="I681">
        <v>593.52</v>
      </c>
      <c r="J681">
        <v>7122.24</v>
      </c>
    </row>
    <row r="682" spans="1:10" x14ac:dyDescent="0.35">
      <c r="A682" s="17">
        <v>45280</v>
      </c>
      <c r="B682" t="s">
        <v>8</v>
      </c>
      <c r="C682" t="s">
        <v>9</v>
      </c>
      <c r="D682" t="s">
        <v>31</v>
      </c>
      <c r="E682" t="s">
        <v>11</v>
      </c>
      <c r="F682">
        <v>7</v>
      </c>
      <c r="G682" t="s">
        <v>56</v>
      </c>
      <c r="H682">
        <v>31</v>
      </c>
      <c r="I682">
        <v>1711.81</v>
      </c>
      <c r="J682">
        <v>11982.67</v>
      </c>
    </row>
    <row r="683" spans="1:10" x14ac:dyDescent="0.35">
      <c r="A683" s="17">
        <v>45201</v>
      </c>
      <c r="B683" t="s">
        <v>12</v>
      </c>
      <c r="C683" t="s">
        <v>13</v>
      </c>
      <c r="D683" t="s">
        <v>26</v>
      </c>
      <c r="E683" t="s">
        <v>24</v>
      </c>
      <c r="F683">
        <v>12</v>
      </c>
      <c r="G683" t="s">
        <v>57</v>
      </c>
      <c r="H683">
        <v>53</v>
      </c>
      <c r="I683">
        <v>4945.7700000000004</v>
      </c>
      <c r="J683">
        <v>59349.24</v>
      </c>
    </row>
    <row r="684" spans="1:10" x14ac:dyDescent="0.35">
      <c r="A684" s="17">
        <v>45127</v>
      </c>
      <c r="B684" t="s">
        <v>20</v>
      </c>
      <c r="C684" t="s">
        <v>21</v>
      </c>
      <c r="D684" t="s">
        <v>22</v>
      </c>
      <c r="E684" t="s">
        <v>24</v>
      </c>
      <c r="F684">
        <v>17</v>
      </c>
      <c r="G684" t="s">
        <v>58</v>
      </c>
      <c r="H684">
        <v>18</v>
      </c>
      <c r="I684">
        <v>4502.3900000000003</v>
      </c>
      <c r="J684">
        <v>76540.63</v>
      </c>
    </row>
    <row r="685" spans="1:10" x14ac:dyDescent="0.35">
      <c r="A685" s="17">
        <v>45096</v>
      </c>
      <c r="B685" t="s">
        <v>8</v>
      </c>
      <c r="C685" t="s">
        <v>9</v>
      </c>
      <c r="D685" t="s">
        <v>23</v>
      </c>
      <c r="E685" t="s">
        <v>11</v>
      </c>
      <c r="F685">
        <v>3</v>
      </c>
      <c r="G685" t="s">
        <v>59</v>
      </c>
      <c r="H685">
        <v>40</v>
      </c>
      <c r="I685">
        <v>264.98</v>
      </c>
      <c r="J685">
        <v>794.94</v>
      </c>
    </row>
    <row r="686" spans="1:10" x14ac:dyDescent="0.35">
      <c r="A686" s="17">
        <v>45171</v>
      </c>
      <c r="B686" t="s">
        <v>12</v>
      </c>
      <c r="C686" t="s">
        <v>13</v>
      </c>
      <c r="D686" t="s">
        <v>33</v>
      </c>
      <c r="E686" t="s">
        <v>15</v>
      </c>
      <c r="F686">
        <v>11</v>
      </c>
      <c r="G686" t="s">
        <v>48</v>
      </c>
      <c r="H686">
        <v>52</v>
      </c>
      <c r="I686">
        <v>4758.46</v>
      </c>
      <c r="J686">
        <v>52343.06</v>
      </c>
    </row>
    <row r="687" spans="1:10" x14ac:dyDescent="0.35">
      <c r="A687" s="17">
        <v>45030</v>
      </c>
      <c r="B687" t="s">
        <v>8</v>
      </c>
      <c r="C687" t="s">
        <v>9</v>
      </c>
      <c r="D687" t="s">
        <v>31</v>
      </c>
      <c r="E687" t="s">
        <v>15</v>
      </c>
      <c r="F687">
        <v>1</v>
      </c>
      <c r="G687" t="s">
        <v>49</v>
      </c>
      <c r="H687">
        <v>27</v>
      </c>
      <c r="I687">
        <v>2517.3200000000002</v>
      </c>
      <c r="J687">
        <v>2517.3200000000002</v>
      </c>
    </row>
    <row r="688" spans="1:10" x14ac:dyDescent="0.35">
      <c r="A688" s="17">
        <v>45072</v>
      </c>
      <c r="B688" t="s">
        <v>12</v>
      </c>
      <c r="C688" t="s">
        <v>13</v>
      </c>
      <c r="D688" t="s">
        <v>33</v>
      </c>
      <c r="E688" t="s">
        <v>18</v>
      </c>
      <c r="F688">
        <v>16</v>
      </c>
      <c r="G688" t="s">
        <v>50</v>
      </c>
      <c r="H688">
        <v>37</v>
      </c>
      <c r="I688">
        <v>2231.67</v>
      </c>
      <c r="J688">
        <v>35706.720000000001</v>
      </c>
    </row>
    <row r="689" spans="1:10" x14ac:dyDescent="0.35">
      <c r="A689" s="17">
        <v>45191</v>
      </c>
      <c r="B689" t="s">
        <v>12</v>
      </c>
      <c r="C689" t="s">
        <v>16</v>
      </c>
      <c r="D689" t="s">
        <v>17</v>
      </c>
      <c r="E689" t="s">
        <v>27</v>
      </c>
      <c r="F689">
        <v>20</v>
      </c>
      <c r="G689" t="s">
        <v>51</v>
      </c>
      <c r="H689">
        <v>37</v>
      </c>
      <c r="I689">
        <v>4710.8500000000004</v>
      </c>
      <c r="J689">
        <v>94217</v>
      </c>
    </row>
    <row r="690" spans="1:10" x14ac:dyDescent="0.35">
      <c r="A690" s="17">
        <v>45066</v>
      </c>
      <c r="B690" t="s">
        <v>20</v>
      </c>
      <c r="C690" t="s">
        <v>21</v>
      </c>
      <c r="D690" t="s">
        <v>34</v>
      </c>
      <c r="E690" t="s">
        <v>11</v>
      </c>
      <c r="F690">
        <v>13</v>
      </c>
      <c r="G690" t="s">
        <v>52</v>
      </c>
      <c r="H690">
        <v>43</v>
      </c>
      <c r="I690">
        <v>3423.36</v>
      </c>
      <c r="J690">
        <v>44503.68</v>
      </c>
    </row>
    <row r="691" spans="1:10" x14ac:dyDescent="0.35">
      <c r="A691" s="17">
        <v>45045</v>
      </c>
      <c r="B691" t="s">
        <v>8</v>
      </c>
      <c r="C691" t="s">
        <v>9</v>
      </c>
      <c r="D691" t="s">
        <v>31</v>
      </c>
      <c r="E691" t="s">
        <v>24</v>
      </c>
      <c r="F691">
        <v>12</v>
      </c>
      <c r="G691" t="s">
        <v>53</v>
      </c>
      <c r="H691">
        <v>32</v>
      </c>
      <c r="I691">
        <v>3686.27</v>
      </c>
      <c r="J691">
        <v>44235.24</v>
      </c>
    </row>
    <row r="692" spans="1:10" x14ac:dyDescent="0.35">
      <c r="A692" s="17">
        <v>44964</v>
      </c>
      <c r="B692" t="s">
        <v>12</v>
      </c>
      <c r="C692" t="s">
        <v>16</v>
      </c>
      <c r="D692" t="s">
        <v>17</v>
      </c>
      <c r="E692" t="s">
        <v>24</v>
      </c>
      <c r="F692">
        <v>8</v>
      </c>
      <c r="G692" t="s">
        <v>54</v>
      </c>
      <c r="H692">
        <v>54</v>
      </c>
      <c r="I692">
        <v>562.98</v>
      </c>
      <c r="J692">
        <v>4503.84</v>
      </c>
    </row>
    <row r="693" spans="1:10" x14ac:dyDescent="0.35">
      <c r="A693" s="17">
        <v>45122</v>
      </c>
      <c r="B693" t="s">
        <v>12</v>
      </c>
      <c r="C693" t="s">
        <v>13</v>
      </c>
      <c r="D693" t="s">
        <v>33</v>
      </c>
      <c r="E693" t="s">
        <v>18</v>
      </c>
      <c r="F693">
        <v>11</v>
      </c>
      <c r="G693" t="s">
        <v>55</v>
      </c>
      <c r="H693">
        <v>52</v>
      </c>
      <c r="I693">
        <v>3590.89</v>
      </c>
      <c r="J693">
        <v>39499.79</v>
      </c>
    </row>
    <row r="694" spans="1:10" x14ac:dyDescent="0.35">
      <c r="A694" s="17">
        <v>45286</v>
      </c>
      <c r="B694" t="s">
        <v>8</v>
      </c>
      <c r="C694" t="s">
        <v>9</v>
      </c>
      <c r="D694" t="s">
        <v>31</v>
      </c>
      <c r="E694" t="s">
        <v>11</v>
      </c>
      <c r="F694">
        <v>12</v>
      </c>
      <c r="G694" t="s">
        <v>56</v>
      </c>
      <c r="H694">
        <v>54</v>
      </c>
      <c r="I694">
        <v>4765.33</v>
      </c>
      <c r="J694">
        <v>57183.96</v>
      </c>
    </row>
    <row r="695" spans="1:10" x14ac:dyDescent="0.35">
      <c r="A695" s="17">
        <v>45222</v>
      </c>
      <c r="B695" t="s">
        <v>12</v>
      </c>
      <c r="C695" t="s">
        <v>16</v>
      </c>
      <c r="D695" t="s">
        <v>19</v>
      </c>
      <c r="E695" t="s">
        <v>15</v>
      </c>
      <c r="F695">
        <v>18</v>
      </c>
      <c r="G695" t="s">
        <v>57</v>
      </c>
      <c r="H695">
        <v>23</v>
      </c>
      <c r="I695">
        <v>913.13</v>
      </c>
      <c r="J695">
        <v>16436.34</v>
      </c>
    </row>
    <row r="696" spans="1:10" x14ac:dyDescent="0.35">
      <c r="A696" s="17">
        <v>44966</v>
      </c>
      <c r="B696" t="s">
        <v>20</v>
      </c>
      <c r="C696" t="s">
        <v>21</v>
      </c>
      <c r="D696" t="s">
        <v>35</v>
      </c>
      <c r="E696" t="s">
        <v>18</v>
      </c>
      <c r="F696">
        <v>18</v>
      </c>
      <c r="G696" t="s">
        <v>58</v>
      </c>
      <c r="H696">
        <v>26</v>
      </c>
      <c r="I696">
        <v>497.68</v>
      </c>
      <c r="J696">
        <v>8958.24</v>
      </c>
    </row>
    <row r="697" spans="1:10" x14ac:dyDescent="0.35">
      <c r="A697" s="17">
        <v>45257</v>
      </c>
      <c r="B697" t="s">
        <v>8</v>
      </c>
      <c r="C697" t="s">
        <v>28</v>
      </c>
      <c r="D697" t="s">
        <v>32</v>
      </c>
      <c r="E697" t="s">
        <v>15</v>
      </c>
      <c r="F697">
        <v>4</v>
      </c>
      <c r="G697" t="s">
        <v>59</v>
      </c>
      <c r="H697">
        <v>35</v>
      </c>
      <c r="I697">
        <v>1303.8800000000001</v>
      </c>
      <c r="J697">
        <v>5215.5200000000004</v>
      </c>
    </row>
    <row r="698" spans="1:10" x14ac:dyDescent="0.35">
      <c r="A698" s="17">
        <v>45114</v>
      </c>
      <c r="B698" t="s">
        <v>12</v>
      </c>
      <c r="C698" t="s">
        <v>13</v>
      </c>
      <c r="D698" t="s">
        <v>33</v>
      </c>
      <c r="E698" t="s">
        <v>18</v>
      </c>
      <c r="F698">
        <v>15</v>
      </c>
      <c r="G698" t="s">
        <v>48</v>
      </c>
      <c r="H698">
        <v>46</v>
      </c>
      <c r="I698">
        <v>2477.09</v>
      </c>
      <c r="J698">
        <v>37156.35</v>
      </c>
    </row>
    <row r="699" spans="1:10" x14ac:dyDescent="0.35">
      <c r="A699" s="17">
        <v>45118</v>
      </c>
      <c r="B699" t="s">
        <v>12</v>
      </c>
      <c r="C699" t="s">
        <v>16</v>
      </c>
      <c r="D699" t="s">
        <v>17</v>
      </c>
      <c r="E699" t="s">
        <v>15</v>
      </c>
      <c r="F699">
        <v>13</v>
      </c>
      <c r="G699" t="s">
        <v>49</v>
      </c>
      <c r="H699">
        <v>30</v>
      </c>
      <c r="I699">
        <v>4021.84</v>
      </c>
      <c r="J699">
        <v>52283.92</v>
      </c>
    </row>
    <row r="700" spans="1:10" x14ac:dyDescent="0.35">
      <c r="A700" s="17">
        <v>45166</v>
      </c>
      <c r="B700" t="s">
        <v>12</v>
      </c>
      <c r="C700" t="s">
        <v>13</v>
      </c>
      <c r="D700" t="s">
        <v>33</v>
      </c>
      <c r="E700" t="s">
        <v>11</v>
      </c>
      <c r="F700">
        <v>7</v>
      </c>
      <c r="G700" t="s">
        <v>50</v>
      </c>
      <c r="H700">
        <v>29</v>
      </c>
      <c r="I700">
        <v>4083.1</v>
      </c>
      <c r="J700">
        <v>28581.7</v>
      </c>
    </row>
    <row r="701" spans="1:10" x14ac:dyDescent="0.35">
      <c r="A701" s="17">
        <v>44993</v>
      </c>
      <c r="B701" t="s">
        <v>12</v>
      </c>
      <c r="C701" t="s">
        <v>16</v>
      </c>
      <c r="D701" t="s">
        <v>17</v>
      </c>
      <c r="E701" t="s">
        <v>18</v>
      </c>
      <c r="F701">
        <v>17</v>
      </c>
      <c r="G701" t="s">
        <v>51</v>
      </c>
      <c r="H701">
        <v>47</v>
      </c>
      <c r="I701">
        <v>2603.4899999999998</v>
      </c>
      <c r="J701">
        <v>44259.33</v>
      </c>
    </row>
    <row r="702" spans="1:10" x14ac:dyDescent="0.35">
      <c r="A702" s="17">
        <v>45222</v>
      </c>
      <c r="B702" t="s">
        <v>12</v>
      </c>
      <c r="C702" t="s">
        <v>13</v>
      </c>
      <c r="D702" t="s">
        <v>33</v>
      </c>
      <c r="E702" t="s">
        <v>27</v>
      </c>
      <c r="F702">
        <v>19</v>
      </c>
      <c r="G702" t="s">
        <v>52</v>
      </c>
      <c r="H702">
        <v>48</v>
      </c>
      <c r="I702">
        <v>2900.31</v>
      </c>
      <c r="J702">
        <v>55105.89</v>
      </c>
    </row>
    <row r="703" spans="1:10" x14ac:dyDescent="0.35">
      <c r="A703" s="17">
        <v>45127</v>
      </c>
      <c r="B703" t="s">
        <v>8</v>
      </c>
      <c r="C703" t="s">
        <v>28</v>
      </c>
      <c r="D703" t="s">
        <v>30</v>
      </c>
      <c r="E703" t="s">
        <v>24</v>
      </c>
      <c r="F703">
        <v>2</v>
      </c>
      <c r="G703" t="s">
        <v>53</v>
      </c>
      <c r="H703">
        <v>54</v>
      </c>
      <c r="I703">
        <v>1316.79</v>
      </c>
      <c r="J703">
        <v>2633.58</v>
      </c>
    </row>
    <row r="704" spans="1:10" x14ac:dyDescent="0.35">
      <c r="A704" s="17">
        <v>45110</v>
      </c>
      <c r="B704" t="s">
        <v>8</v>
      </c>
      <c r="C704" t="s">
        <v>9</v>
      </c>
      <c r="D704" t="s">
        <v>31</v>
      </c>
      <c r="E704" t="s">
        <v>11</v>
      </c>
      <c r="F704">
        <v>5</v>
      </c>
      <c r="G704" t="s">
        <v>54</v>
      </c>
      <c r="H704">
        <v>21</v>
      </c>
      <c r="I704">
        <v>4716.38</v>
      </c>
      <c r="J704">
        <v>23581.9</v>
      </c>
    </row>
    <row r="705" spans="1:10" x14ac:dyDescent="0.35">
      <c r="A705" s="17">
        <v>45185</v>
      </c>
      <c r="B705" t="s">
        <v>12</v>
      </c>
      <c r="C705" t="s">
        <v>16</v>
      </c>
      <c r="D705" t="s">
        <v>25</v>
      </c>
      <c r="E705" t="s">
        <v>15</v>
      </c>
      <c r="F705">
        <v>4</v>
      </c>
      <c r="G705" t="s">
        <v>55</v>
      </c>
      <c r="H705">
        <v>38</v>
      </c>
      <c r="I705">
        <v>4961.01</v>
      </c>
      <c r="J705">
        <v>19844.04</v>
      </c>
    </row>
    <row r="706" spans="1:10" x14ac:dyDescent="0.35">
      <c r="A706" s="17">
        <v>44994</v>
      </c>
      <c r="B706" t="s">
        <v>8</v>
      </c>
      <c r="C706" t="s">
        <v>28</v>
      </c>
      <c r="D706" t="s">
        <v>29</v>
      </c>
      <c r="E706" t="s">
        <v>18</v>
      </c>
      <c r="F706">
        <v>7</v>
      </c>
      <c r="G706" t="s">
        <v>56</v>
      </c>
      <c r="H706">
        <v>40</v>
      </c>
      <c r="I706">
        <v>1500.87</v>
      </c>
      <c r="J706">
        <v>10506.09</v>
      </c>
    </row>
    <row r="707" spans="1:10" x14ac:dyDescent="0.35">
      <c r="A707" s="17">
        <v>44953</v>
      </c>
      <c r="B707" t="s">
        <v>8</v>
      </c>
      <c r="C707" t="s">
        <v>28</v>
      </c>
      <c r="D707" t="s">
        <v>32</v>
      </c>
      <c r="E707" t="s">
        <v>18</v>
      </c>
      <c r="F707">
        <v>5</v>
      </c>
      <c r="G707" t="s">
        <v>57</v>
      </c>
      <c r="H707">
        <v>52</v>
      </c>
      <c r="I707">
        <v>879.82</v>
      </c>
      <c r="J707">
        <v>4399.1000000000004</v>
      </c>
    </row>
    <row r="708" spans="1:10" x14ac:dyDescent="0.35">
      <c r="A708" s="17">
        <v>45213</v>
      </c>
      <c r="B708" t="s">
        <v>8</v>
      </c>
      <c r="C708" t="s">
        <v>28</v>
      </c>
      <c r="D708" t="s">
        <v>29</v>
      </c>
      <c r="E708" t="s">
        <v>24</v>
      </c>
      <c r="F708">
        <v>2</v>
      </c>
      <c r="G708" t="s">
        <v>58</v>
      </c>
      <c r="H708">
        <v>44</v>
      </c>
      <c r="I708">
        <v>2400.5500000000002</v>
      </c>
      <c r="J708">
        <v>4801.1000000000004</v>
      </c>
    </row>
    <row r="709" spans="1:10" x14ac:dyDescent="0.35">
      <c r="A709" s="17">
        <v>45088</v>
      </c>
      <c r="B709" t="s">
        <v>20</v>
      </c>
      <c r="C709" t="s">
        <v>21</v>
      </c>
      <c r="D709" t="s">
        <v>35</v>
      </c>
      <c r="E709" t="s">
        <v>15</v>
      </c>
      <c r="F709">
        <v>17</v>
      </c>
      <c r="G709" t="s">
        <v>59</v>
      </c>
      <c r="H709">
        <v>20</v>
      </c>
      <c r="I709">
        <v>3878.66</v>
      </c>
      <c r="J709">
        <v>65937.22</v>
      </c>
    </row>
    <row r="710" spans="1:10" x14ac:dyDescent="0.35">
      <c r="A710" s="17">
        <v>44958</v>
      </c>
      <c r="B710" t="s">
        <v>12</v>
      </c>
      <c r="C710" t="s">
        <v>13</v>
      </c>
      <c r="D710" t="s">
        <v>33</v>
      </c>
      <c r="E710" t="s">
        <v>18</v>
      </c>
      <c r="F710">
        <v>6</v>
      </c>
      <c r="G710" t="s">
        <v>48</v>
      </c>
      <c r="H710">
        <v>19</v>
      </c>
      <c r="I710">
        <v>3116.12</v>
      </c>
      <c r="J710">
        <v>18696.72</v>
      </c>
    </row>
    <row r="711" spans="1:10" x14ac:dyDescent="0.35">
      <c r="A711" s="17">
        <v>45138</v>
      </c>
      <c r="B711" t="s">
        <v>8</v>
      </c>
      <c r="C711" t="s">
        <v>28</v>
      </c>
      <c r="D711" t="s">
        <v>29</v>
      </c>
      <c r="E711" t="s">
        <v>11</v>
      </c>
      <c r="F711">
        <v>16</v>
      </c>
      <c r="G711" t="s">
        <v>49</v>
      </c>
      <c r="H711">
        <v>16</v>
      </c>
      <c r="I711">
        <v>2747.36</v>
      </c>
      <c r="J711">
        <v>43957.760000000002</v>
      </c>
    </row>
    <row r="712" spans="1:10" x14ac:dyDescent="0.35">
      <c r="A712" s="17">
        <v>45201</v>
      </c>
      <c r="B712" t="s">
        <v>8</v>
      </c>
      <c r="C712" t="s">
        <v>28</v>
      </c>
      <c r="D712" t="s">
        <v>29</v>
      </c>
      <c r="E712" t="s">
        <v>24</v>
      </c>
      <c r="F712">
        <v>17</v>
      </c>
      <c r="G712" t="s">
        <v>50</v>
      </c>
      <c r="H712">
        <v>33</v>
      </c>
      <c r="I712">
        <v>3971.7</v>
      </c>
      <c r="J712">
        <v>67518.899999999994</v>
      </c>
    </row>
    <row r="713" spans="1:10" x14ac:dyDescent="0.35">
      <c r="A713" s="17">
        <v>45199</v>
      </c>
      <c r="B713" t="s">
        <v>12</v>
      </c>
      <c r="C713" t="s">
        <v>13</v>
      </c>
      <c r="D713" t="s">
        <v>26</v>
      </c>
      <c r="E713" t="s">
        <v>27</v>
      </c>
      <c r="F713">
        <v>18</v>
      </c>
      <c r="G713" t="s">
        <v>51</v>
      </c>
      <c r="H713">
        <v>23</v>
      </c>
      <c r="I713">
        <v>678.76</v>
      </c>
      <c r="J713">
        <v>12217.68</v>
      </c>
    </row>
    <row r="714" spans="1:10" x14ac:dyDescent="0.35">
      <c r="A714" s="17">
        <v>45224</v>
      </c>
      <c r="B714" t="s">
        <v>12</v>
      </c>
      <c r="C714" t="s">
        <v>13</v>
      </c>
      <c r="D714" t="s">
        <v>26</v>
      </c>
      <c r="E714" t="s">
        <v>11</v>
      </c>
      <c r="F714">
        <v>18</v>
      </c>
      <c r="G714" t="s">
        <v>52</v>
      </c>
      <c r="H714">
        <v>29</v>
      </c>
      <c r="I714">
        <v>4888.0200000000004</v>
      </c>
      <c r="J714">
        <v>87984.36</v>
      </c>
    </row>
    <row r="715" spans="1:10" x14ac:dyDescent="0.35">
      <c r="A715" s="17">
        <v>44978</v>
      </c>
      <c r="B715" t="s">
        <v>8</v>
      </c>
      <c r="C715" t="s">
        <v>28</v>
      </c>
      <c r="D715" t="s">
        <v>30</v>
      </c>
      <c r="E715" t="s">
        <v>27</v>
      </c>
      <c r="F715">
        <v>17</v>
      </c>
      <c r="G715" t="s">
        <v>53</v>
      </c>
      <c r="H715">
        <v>27</v>
      </c>
      <c r="I715">
        <v>2107.36</v>
      </c>
      <c r="J715">
        <v>35825.120000000003</v>
      </c>
    </row>
    <row r="716" spans="1:10" x14ac:dyDescent="0.35">
      <c r="A716" s="17">
        <v>44994</v>
      </c>
      <c r="B716" t="s">
        <v>20</v>
      </c>
      <c r="C716" t="s">
        <v>21</v>
      </c>
      <c r="D716" t="s">
        <v>35</v>
      </c>
      <c r="E716" t="s">
        <v>27</v>
      </c>
      <c r="F716">
        <v>4</v>
      </c>
      <c r="G716" t="s">
        <v>54</v>
      </c>
      <c r="H716">
        <v>42</v>
      </c>
      <c r="I716">
        <v>1181.3900000000001</v>
      </c>
      <c r="J716">
        <v>4725.5600000000004</v>
      </c>
    </row>
    <row r="717" spans="1:10" x14ac:dyDescent="0.35">
      <c r="A717" s="17">
        <v>45148</v>
      </c>
      <c r="B717" t="s">
        <v>12</v>
      </c>
      <c r="C717" t="s">
        <v>13</v>
      </c>
      <c r="D717" t="s">
        <v>14</v>
      </c>
      <c r="E717" t="s">
        <v>24</v>
      </c>
      <c r="F717">
        <v>1</v>
      </c>
      <c r="G717" t="s">
        <v>55</v>
      </c>
      <c r="H717">
        <v>51</v>
      </c>
      <c r="I717">
        <v>3374.31</v>
      </c>
      <c r="J717">
        <v>3374.31</v>
      </c>
    </row>
    <row r="718" spans="1:10" x14ac:dyDescent="0.35">
      <c r="A718" s="17">
        <v>44975</v>
      </c>
      <c r="B718" t="s">
        <v>20</v>
      </c>
      <c r="C718" t="s">
        <v>21</v>
      </c>
      <c r="D718" t="s">
        <v>22</v>
      </c>
      <c r="E718" t="s">
        <v>15</v>
      </c>
      <c r="F718">
        <v>19</v>
      </c>
      <c r="G718" t="s">
        <v>56</v>
      </c>
      <c r="H718">
        <v>53</v>
      </c>
      <c r="I718">
        <v>609.63</v>
      </c>
      <c r="J718">
        <v>11582.97</v>
      </c>
    </row>
    <row r="719" spans="1:10" x14ac:dyDescent="0.35">
      <c r="A719" s="17">
        <v>45164</v>
      </c>
      <c r="B719" t="s">
        <v>8</v>
      </c>
      <c r="C719" t="s">
        <v>28</v>
      </c>
      <c r="D719" t="s">
        <v>29</v>
      </c>
      <c r="E719" t="s">
        <v>27</v>
      </c>
      <c r="F719">
        <v>11</v>
      </c>
      <c r="G719" t="s">
        <v>57</v>
      </c>
      <c r="H719">
        <v>50</v>
      </c>
      <c r="I719">
        <v>3538.83</v>
      </c>
      <c r="J719">
        <v>38927.129999999997</v>
      </c>
    </row>
    <row r="720" spans="1:10" x14ac:dyDescent="0.35">
      <c r="A720" s="17">
        <v>45210</v>
      </c>
      <c r="B720" t="s">
        <v>12</v>
      </c>
      <c r="C720" t="s">
        <v>16</v>
      </c>
      <c r="D720" t="s">
        <v>17</v>
      </c>
      <c r="E720" t="s">
        <v>18</v>
      </c>
      <c r="F720">
        <v>16</v>
      </c>
      <c r="G720" t="s">
        <v>58</v>
      </c>
      <c r="H720">
        <v>41</v>
      </c>
      <c r="I720">
        <v>3155.43</v>
      </c>
      <c r="J720">
        <v>50486.879999999997</v>
      </c>
    </row>
    <row r="721" spans="1:10" x14ac:dyDescent="0.35">
      <c r="A721" s="17">
        <v>44947</v>
      </c>
      <c r="B721" t="s">
        <v>20</v>
      </c>
      <c r="C721" t="s">
        <v>21</v>
      </c>
      <c r="D721" t="s">
        <v>22</v>
      </c>
      <c r="E721" t="s">
        <v>24</v>
      </c>
      <c r="F721">
        <v>6</v>
      </c>
      <c r="G721" t="s">
        <v>59</v>
      </c>
      <c r="H721">
        <v>26</v>
      </c>
      <c r="I721">
        <v>863.69</v>
      </c>
      <c r="J721">
        <v>5182.1400000000003</v>
      </c>
    </row>
    <row r="722" spans="1:10" x14ac:dyDescent="0.35">
      <c r="A722" s="17">
        <v>45282</v>
      </c>
      <c r="B722" t="s">
        <v>20</v>
      </c>
      <c r="C722" t="s">
        <v>21</v>
      </c>
      <c r="D722" t="s">
        <v>34</v>
      </c>
      <c r="E722" t="s">
        <v>27</v>
      </c>
      <c r="F722">
        <v>4</v>
      </c>
      <c r="G722" t="s">
        <v>48</v>
      </c>
      <c r="H722">
        <v>50</v>
      </c>
      <c r="I722">
        <v>1128.8900000000001</v>
      </c>
      <c r="J722">
        <v>4515.5600000000004</v>
      </c>
    </row>
    <row r="723" spans="1:10" x14ac:dyDescent="0.35">
      <c r="A723" s="17">
        <v>45100</v>
      </c>
      <c r="B723" t="s">
        <v>8</v>
      </c>
      <c r="C723" t="s">
        <v>28</v>
      </c>
      <c r="D723" t="s">
        <v>30</v>
      </c>
      <c r="E723" t="s">
        <v>27</v>
      </c>
      <c r="F723">
        <v>8</v>
      </c>
      <c r="G723" t="s">
        <v>49</v>
      </c>
      <c r="H723">
        <v>41</v>
      </c>
      <c r="I723">
        <v>4197.6400000000003</v>
      </c>
      <c r="J723">
        <v>33581.120000000003</v>
      </c>
    </row>
    <row r="724" spans="1:10" x14ac:dyDescent="0.35">
      <c r="A724" s="17">
        <v>44993</v>
      </c>
      <c r="B724" t="s">
        <v>12</v>
      </c>
      <c r="C724" t="s">
        <v>16</v>
      </c>
      <c r="D724" t="s">
        <v>25</v>
      </c>
      <c r="E724" t="s">
        <v>18</v>
      </c>
      <c r="F724">
        <v>11</v>
      </c>
      <c r="G724" t="s">
        <v>50</v>
      </c>
      <c r="H724">
        <v>38</v>
      </c>
      <c r="I724">
        <v>3561.4</v>
      </c>
      <c r="J724">
        <v>39175.4</v>
      </c>
    </row>
    <row r="725" spans="1:10" x14ac:dyDescent="0.35">
      <c r="A725" s="17">
        <v>45141</v>
      </c>
      <c r="B725" t="s">
        <v>20</v>
      </c>
      <c r="C725" t="s">
        <v>21</v>
      </c>
      <c r="D725" t="s">
        <v>35</v>
      </c>
      <c r="E725" t="s">
        <v>18</v>
      </c>
      <c r="F725">
        <v>16</v>
      </c>
      <c r="G725" t="s">
        <v>51</v>
      </c>
      <c r="H725">
        <v>37</v>
      </c>
      <c r="I725">
        <v>3836.1</v>
      </c>
      <c r="J725">
        <v>61377.599999999999</v>
      </c>
    </row>
    <row r="726" spans="1:10" x14ac:dyDescent="0.35">
      <c r="A726" s="17">
        <v>45121</v>
      </c>
      <c r="B726" t="s">
        <v>8</v>
      </c>
      <c r="C726" t="s">
        <v>28</v>
      </c>
      <c r="D726" t="s">
        <v>29</v>
      </c>
      <c r="E726" t="s">
        <v>18</v>
      </c>
      <c r="F726">
        <v>18</v>
      </c>
      <c r="G726" t="s">
        <v>52</v>
      </c>
      <c r="H726">
        <v>32</v>
      </c>
      <c r="I726">
        <v>3943.82</v>
      </c>
      <c r="J726">
        <v>70988.759999999995</v>
      </c>
    </row>
    <row r="727" spans="1:10" x14ac:dyDescent="0.35">
      <c r="A727" s="17">
        <v>45118</v>
      </c>
      <c r="B727" t="s">
        <v>8</v>
      </c>
      <c r="C727" t="s">
        <v>28</v>
      </c>
      <c r="D727" t="s">
        <v>30</v>
      </c>
      <c r="E727" t="s">
        <v>27</v>
      </c>
      <c r="F727">
        <v>15</v>
      </c>
      <c r="G727" t="s">
        <v>53</v>
      </c>
      <c r="H727">
        <v>37</v>
      </c>
      <c r="I727">
        <v>3005.08</v>
      </c>
      <c r="J727">
        <v>45076.2</v>
      </c>
    </row>
    <row r="728" spans="1:10" x14ac:dyDescent="0.35">
      <c r="A728" s="17">
        <v>45070</v>
      </c>
      <c r="B728" t="s">
        <v>12</v>
      </c>
      <c r="C728" t="s">
        <v>13</v>
      </c>
      <c r="D728" t="s">
        <v>14</v>
      </c>
      <c r="E728" t="s">
        <v>15</v>
      </c>
      <c r="F728">
        <v>17</v>
      </c>
      <c r="G728" t="s">
        <v>54</v>
      </c>
      <c r="H728">
        <v>25</v>
      </c>
      <c r="I728">
        <v>3342.49</v>
      </c>
      <c r="J728">
        <v>56822.33</v>
      </c>
    </row>
    <row r="729" spans="1:10" x14ac:dyDescent="0.35">
      <c r="A729" s="17">
        <v>45238</v>
      </c>
      <c r="B729" t="s">
        <v>8</v>
      </c>
      <c r="C729" t="s">
        <v>9</v>
      </c>
      <c r="D729" t="s">
        <v>31</v>
      </c>
      <c r="E729" t="s">
        <v>24</v>
      </c>
      <c r="F729">
        <v>11</v>
      </c>
      <c r="G729" t="s">
        <v>55</v>
      </c>
      <c r="H729">
        <v>23</v>
      </c>
      <c r="I729">
        <v>212.86</v>
      </c>
      <c r="J729">
        <v>2341.46</v>
      </c>
    </row>
    <row r="730" spans="1:10" x14ac:dyDescent="0.35">
      <c r="A730" s="17">
        <v>45135</v>
      </c>
      <c r="B730" t="s">
        <v>12</v>
      </c>
      <c r="C730" t="s">
        <v>13</v>
      </c>
      <c r="D730" t="s">
        <v>33</v>
      </c>
      <c r="E730" t="s">
        <v>24</v>
      </c>
      <c r="F730">
        <v>6</v>
      </c>
      <c r="G730" t="s">
        <v>56</v>
      </c>
      <c r="H730">
        <v>44</v>
      </c>
      <c r="I730">
        <v>1872.18</v>
      </c>
      <c r="J730">
        <v>11233.08</v>
      </c>
    </row>
    <row r="731" spans="1:10" x14ac:dyDescent="0.35">
      <c r="A731" s="17">
        <v>45095</v>
      </c>
      <c r="B731" t="s">
        <v>8</v>
      </c>
      <c r="C731" t="s">
        <v>9</v>
      </c>
      <c r="D731" t="s">
        <v>10</v>
      </c>
      <c r="E731" t="s">
        <v>27</v>
      </c>
      <c r="F731">
        <v>14</v>
      </c>
      <c r="G731" t="s">
        <v>57</v>
      </c>
      <c r="H731">
        <v>34</v>
      </c>
      <c r="I731">
        <v>4428</v>
      </c>
      <c r="J731">
        <v>61992</v>
      </c>
    </row>
    <row r="732" spans="1:10" x14ac:dyDescent="0.35">
      <c r="A732" s="17">
        <v>45057</v>
      </c>
      <c r="B732" t="s">
        <v>12</v>
      </c>
      <c r="C732" t="s">
        <v>16</v>
      </c>
      <c r="D732" t="s">
        <v>17</v>
      </c>
      <c r="E732" t="s">
        <v>18</v>
      </c>
      <c r="F732">
        <v>15</v>
      </c>
      <c r="G732" t="s">
        <v>58</v>
      </c>
      <c r="H732">
        <v>23</v>
      </c>
      <c r="I732">
        <v>2905.47</v>
      </c>
      <c r="J732">
        <v>43582.05</v>
      </c>
    </row>
    <row r="733" spans="1:10" x14ac:dyDescent="0.35">
      <c r="A733" s="17">
        <v>44943</v>
      </c>
      <c r="B733" t="s">
        <v>12</v>
      </c>
      <c r="C733" t="s">
        <v>13</v>
      </c>
      <c r="D733" t="s">
        <v>33</v>
      </c>
      <c r="E733" t="s">
        <v>15</v>
      </c>
      <c r="F733">
        <v>14</v>
      </c>
      <c r="G733" t="s">
        <v>59</v>
      </c>
      <c r="H733">
        <v>42</v>
      </c>
      <c r="I733">
        <v>4200.9799999999996</v>
      </c>
      <c r="J733">
        <v>58813.72</v>
      </c>
    </row>
    <row r="734" spans="1:10" x14ac:dyDescent="0.35">
      <c r="A734" s="17">
        <v>45029</v>
      </c>
      <c r="B734" t="s">
        <v>8</v>
      </c>
      <c r="C734" t="s">
        <v>9</v>
      </c>
      <c r="D734" t="s">
        <v>31</v>
      </c>
      <c r="E734" t="s">
        <v>11</v>
      </c>
      <c r="F734">
        <v>19</v>
      </c>
      <c r="G734" t="s">
        <v>48</v>
      </c>
      <c r="H734">
        <v>49</v>
      </c>
      <c r="I734">
        <v>3927.27</v>
      </c>
      <c r="J734">
        <v>74618.13</v>
      </c>
    </row>
    <row r="735" spans="1:10" x14ac:dyDescent="0.35">
      <c r="A735" s="17">
        <v>45012</v>
      </c>
      <c r="B735" t="s">
        <v>20</v>
      </c>
      <c r="C735" t="s">
        <v>21</v>
      </c>
      <c r="D735" t="s">
        <v>35</v>
      </c>
      <c r="E735" t="s">
        <v>18</v>
      </c>
      <c r="F735">
        <v>16</v>
      </c>
      <c r="G735" t="s">
        <v>49</v>
      </c>
      <c r="H735">
        <v>51</v>
      </c>
      <c r="I735">
        <v>3788.36</v>
      </c>
      <c r="J735">
        <v>60613.760000000002</v>
      </c>
    </row>
    <row r="736" spans="1:10" x14ac:dyDescent="0.35">
      <c r="A736" s="17">
        <v>45219</v>
      </c>
      <c r="B736" t="s">
        <v>20</v>
      </c>
      <c r="C736" t="s">
        <v>21</v>
      </c>
      <c r="D736" t="s">
        <v>22</v>
      </c>
      <c r="E736" t="s">
        <v>11</v>
      </c>
      <c r="F736">
        <v>2</v>
      </c>
      <c r="G736" t="s">
        <v>50</v>
      </c>
      <c r="H736">
        <v>23</v>
      </c>
      <c r="I736">
        <v>4527.13</v>
      </c>
      <c r="J736">
        <v>9054.26</v>
      </c>
    </row>
    <row r="737" spans="1:10" x14ac:dyDescent="0.35">
      <c r="A737" s="17">
        <v>45091</v>
      </c>
      <c r="B737" t="s">
        <v>20</v>
      </c>
      <c r="C737" t="s">
        <v>21</v>
      </c>
      <c r="D737" t="s">
        <v>35</v>
      </c>
      <c r="E737" t="s">
        <v>24</v>
      </c>
      <c r="F737">
        <v>20</v>
      </c>
      <c r="G737" t="s">
        <v>51</v>
      </c>
      <c r="H737">
        <v>38</v>
      </c>
      <c r="I737">
        <v>3753.15</v>
      </c>
      <c r="J737">
        <v>75063</v>
      </c>
    </row>
    <row r="738" spans="1:10" x14ac:dyDescent="0.35">
      <c r="A738" s="17">
        <v>45144</v>
      </c>
      <c r="B738" t="s">
        <v>8</v>
      </c>
      <c r="C738" t="s">
        <v>9</v>
      </c>
      <c r="D738" t="s">
        <v>10</v>
      </c>
      <c r="E738" t="s">
        <v>11</v>
      </c>
      <c r="F738">
        <v>6</v>
      </c>
      <c r="G738" t="s">
        <v>52</v>
      </c>
      <c r="H738">
        <v>29</v>
      </c>
      <c r="I738">
        <v>3363.77</v>
      </c>
      <c r="J738">
        <v>20182.62</v>
      </c>
    </row>
    <row r="739" spans="1:10" x14ac:dyDescent="0.35">
      <c r="A739" s="17">
        <v>45172</v>
      </c>
      <c r="B739" t="s">
        <v>20</v>
      </c>
      <c r="C739" t="s">
        <v>21</v>
      </c>
      <c r="D739" t="s">
        <v>22</v>
      </c>
      <c r="E739" t="s">
        <v>11</v>
      </c>
      <c r="F739">
        <v>12</v>
      </c>
      <c r="G739" t="s">
        <v>53</v>
      </c>
      <c r="H739">
        <v>39</v>
      </c>
      <c r="I739">
        <v>1973.14</v>
      </c>
      <c r="J739">
        <v>23677.68</v>
      </c>
    </row>
    <row r="740" spans="1:10" x14ac:dyDescent="0.35">
      <c r="A740" s="17">
        <v>44993</v>
      </c>
      <c r="B740" t="s">
        <v>8</v>
      </c>
      <c r="C740" t="s">
        <v>28</v>
      </c>
      <c r="D740" t="s">
        <v>29</v>
      </c>
      <c r="E740" t="s">
        <v>11</v>
      </c>
      <c r="F740">
        <v>16</v>
      </c>
      <c r="G740" t="s">
        <v>54</v>
      </c>
      <c r="H740">
        <v>33</v>
      </c>
      <c r="I740">
        <v>355.63</v>
      </c>
      <c r="J740">
        <v>5690.08</v>
      </c>
    </row>
    <row r="741" spans="1:10" x14ac:dyDescent="0.35">
      <c r="A741" s="17">
        <v>45101</v>
      </c>
      <c r="B741" t="s">
        <v>20</v>
      </c>
      <c r="C741" t="s">
        <v>21</v>
      </c>
      <c r="D741" t="s">
        <v>34</v>
      </c>
      <c r="E741" t="s">
        <v>11</v>
      </c>
      <c r="F741">
        <v>7</v>
      </c>
      <c r="G741" t="s">
        <v>55</v>
      </c>
      <c r="H741">
        <v>54</v>
      </c>
      <c r="I741">
        <v>4243.95</v>
      </c>
      <c r="J741">
        <v>29707.65</v>
      </c>
    </row>
    <row r="742" spans="1:10" x14ac:dyDescent="0.35">
      <c r="A742" s="17">
        <v>45004</v>
      </c>
      <c r="B742" t="s">
        <v>20</v>
      </c>
      <c r="C742" t="s">
        <v>21</v>
      </c>
      <c r="D742" t="s">
        <v>35</v>
      </c>
      <c r="E742" t="s">
        <v>24</v>
      </c>
      <c r="F742">
        <v>15</v>
      </c>
      <c r="G742" t="s">
        <v>56</v>
      </c>
      <c r="H742">
        <v>49</v>
      </c>
      <c r="I742">
        <v>3256.2</v>
      </c>
      <c r="J742">
        <v>48843</v>
      </c>
    </row>
    <row r="743" spans="1:10" x14ac:dyDescent="0.35">
      <c r="A743" s="17">
        <v>45065</v>
      </c>
      <c r="B743" t="s">
        <v>8</v>
      </c>
      <c r="C743" t="s">
        <v>28</v>
      </c>
      <c r="D743" t="s">
        <v>30</v>
      </c>
      <c r="E743" t="s">
        <v>27</v>
      </c>
      <c r="F743">
        <v>13</v>
      </c>
      <c r="G743" t="s">
        <v>57</v>
      </c>
      <c r="H743">
        <v>44</v>
      </c>
      <c r="I743">
        <v>4076.94</v>
      </c>
      <c r="J743">
        <v>53000.22</v>
      </c>
    </row>
    <row r="744" spans="1:10" x14ac:dyDescent="0.35">
      <c r="A744" s="17">
        <v>45023</v>
      </c>
      <c r="B744" t="s">
        <v>12</v>
      </c>
      <c r="C744" t="s">
        <v>16</v>
      </c>
      <c r="D744" t="s">
        <v>25</v>
      </c>
      <c r="E744" t="s">
        <v>11</v>
      </c>
      <c r="F744">
        <v>17</v>
      </c>
      <c r="G744" t="s">
        <v>58</v>
      </c>
      <c r="H744">
        <v>16</v>
      </c>
      <c r="I744">
        <v>3771.79</v>
      </c>
      <c r="J744">
        <v>64120.43</v>
      </c>
    </row>
    <row r="745" spans="1:10" x14ac:dyDescent="0.35">
      <c r="A745" s="17">
        <v>45114</v>
      </c>
      <c r="B745" t="s">
        <v>12</v>
      </c>
      <c r="C745" t="s">
        <v>13</v>
      </c>
      <c r="D745" t="s">
        <v>14</v>
      </c>
      <c r="E745" t="s">
        <v>11</v>
      </c>
      <c r="F745">
        <v>7</v>
      </c>
      <c r="G745" t="s">
        <v>59</v>
      </c>
      <c r="H745">
        <v>44</v>
      </c>
      <c r="I745">
        <v>2016.03</v>
      </c>
      <c r="J745">
        <v>14112.21</v>
      </c>
    </row>
    <row r="746" spans="1:10" x14ac:dyDescent="0.35">
      <c r="A746" s="17">
        <v>45204</v>
      </c>
      <c r="B746" t="s">
        <v>8</v>
      </c>
      <c r="C746" t="s">
        <v>28</v>
      </c>
      <c r="D746" t="s">
        <v>29</v>
      </c>
      <c r="E746" t="s">
        <v>18</v>
      </c>
      <c r="F746">
        <v>9</v>
      </c>
      <c r="G746" t="s">
        <v>48</v>
      </c>
      <c r="H746">
        <v>47</v>
      </c>
      <c r="I746">
        <v>722.4</v>
      </c>
      <c r="J746">
        <v>6501.6</v>
      </c>
    </row>
    <row r="747" spans="1:10" x14ac:dyDescent="0.35">
      <c r="A747" s="17">
        <v>45018</v>
      </c>
      <c r="B747" t="s">
        <v>12</v>
      </c>
      <c r="C747" t="s">
        <v>13</v>
      </c>
      <c r="D747" t="s">
        <v>14</v>
      </c>
      <c r="E747" t="s">
        <v>11</v>
      </c>
      <c r="F747">
        <v>5</v>
      </c>
      <c r="G747" t="s">
        <v>49</v>
      </c>
      <c r="H747">
        <v>54</v>
      </c>
      <c r="I747">
        <v>491.78</v>
      </c>
      <c r="J747">
        <v>2458.9</v>
      </c>
    </row>
    <row r="748" spans="1:10" x14ac:dyDescent="0.35">
      <c r="A748" s="17">
        <v>44977</v>
      </c>
      <c r="B748" t="s">
        <v>8</v>
      </c>
      <c r="C748" t="s">
        <v>28</v>
      </c>
      <c r="D748" t="s">
        <v>29</v>
      </c>
      <c r="E748" t="s">
        <v>15</v>
      </c>
      <c r="F748">
        <v>19</v>
      </c>
      <c r="G748" t="s">
        <v>50</v>
      </c>
      <c r="H748">
        <v>29</v>
      </c>
      <c r="I748">
        <v>2146.17</v>
      </c>
      <c r="J748">
        <v>40777.230000000003</v>
      </c>
    </row>
    <row r="749" spans="1:10" x14ac:dyDescent="0.35">
      <c r="A749" s="17">
        <v>45070</v>
      </c>
      <c r="B749" t="s">
        <v>8</v>
      </c>
      <c r="C749" t="s">
        <v>28</v>
      </c>
      <c r="D749" t="s">
        <v>29</v>
      </c>
      <c r="E749" t="s">
        <v>24</v>
      </c>
      <c r="F749">
        <v>14</v>
      </c>
      <c r="G749" t="s">
        <v>51</v>
      </c>
      <c r="H749">
        <v>43</v>
      </c>
      <c r="I749">
        <v>2715.54</v>
      </c>
      <c r="J749">
        <v>38017.56</v>
      </c>
    </row>
    <row r="750" spans="1:10" x14ac:dyDescent="0.35">
      <c r="A750" s="17">
        <v>45026</v>
      </c>
      <c r="B750" t="s">
        <v>8</v>
      </c>
      <c r="C750" t="s">
        <v>9</v>
      </c>
      <c r="D750" t="s">
        <v>10</v>
      </c>
      <c r="E750" t="s">
        <v>27</v>
      </c>
      <c r="F750">
        <v>11</v>
      </c>
      <c r="G750" t="s">
        <v>52</v>
      </c>
      <c r="H750">
        <v>53</v>
      </c>
      <c r="I750">
        <v>1708.99</v>
      </c>
      <c r="J750">
        <v>18798.89</v>
      </c>
    </row>
    <row r="751" spans="1:10" x14ac:dyDescent="0.35">
      <c r="A751" s="17">
        <v>44969</v>
      </c>
      <c r="B751" t="s">
        <v>8</v>
      </c>
      <c r="C751" t="s">
        <v>28</v>
      </c>
      <c r="D751" t="s">
        <v>29</v>
      </c>
      <c r="E751" t="s">
        <v>24</v>
      </c>
      <c r="F751">
        <v>1</v>
      </c>
      <c r="G751" t="s">
        <v>53</v>
      </c>
      <c r="H751">
        <v>46</v>
      </c>
      <c r="I751">
        <v>1898.15</v>
      </c>
      <c r="J751">
        <v>1898.15</v>
      </c>
    </row>
    <row r="752" spans="1:10" x14ac:dyDescent="0.35">
      <c r="A752" s="17">
        <v>45213</v>
      </c>
      <c r="B752" t="s">
        <v>12</v>
      </c>
      <c r="C752" t="s">
        <v>16</v>
      </c>
      <c r="D752" t="s">
        <v>19</v>
      </c>
      <c r="E752" t="s">
        <v>11</v>
      </c>
      <c r="F752">
        <v>1</v>
      </c>
      <c r="G752" t="s">
        <v>54</v>
      </c>
      <c r="H752">
        <v>49</v>
      </c>
      <c r="I752">
        <v>648.88</v>
      </c>
      <c r="J752">
        <v>648.88</v>
      </c>
    </row>
    <row r="753" spans="1:10" x14ac:dyDescent="0.35">
      <c r="A753" s="17">
        <v>45284</v>
      </c>
      <c r="B753" t="s">
        <v>12</v>
      </c>
      <c r="C753" t="s">
        <v>13</v>
      </c>
      <c r="D753" t="s">
        <v>14</v>
      </c>
      <c r="E753" t="s">
        <v>11</v>
      </c>
      <c r="F753">
        <v>8</v>
      </c>
      <c r="G753" t="s">
        <v>55</v>
      </c>
      <c r="H753">
        <v>19</v>
      </c>
      <c r="I753">
        <v>4516.82</v>
      </c>
      <c r="J753">
        <v>36134.559999999998</v>
      </c>
    </row>
    <row r="754" spans="1:10" x14ac:dyDescent="0.35">
      <c r="A754" s="17">
        <v>45254</v>
      </c>
      <c r="B754" t="s">
        <v>20</v>
      </c>
      <c r="C754" t="s">
        <v>21</v>
      </c>
      <c r="D754" t="s">
        <v>35</v>
      </c>
      <c r="E754" t="s">
        <v>15</v>
      </c>
      <c r="F754">
        <v>7</v>
      </c>
      <c r="G754" t="s">
        <v>56</v>
      </c>
      <c r="H754">
        <v>34</v>
      </c>
      <c r="I754">
        <v>1102.48</v>
      </c>
      <c r="J754">
        <v>7717.36</v>
      </c>
    </row>
    <row r="755" spans="1:10" x14ac:dyDescent="0.35">
      <c r="A755" s="17">
        <v>45076</v>
      </c>
      <c r="B755" t="s">
        <v>12</v>
      </c>
      <c r="C755" t="s">
        <v>16</v>
      </c>
      <c r="D755" t="s">
        <v>19</v>
      </c>
      <c r="E755" t="s">
        <v>11</v>
      </c>
      <c r="F755">
        <v>4</v>
      </c>
      <c r="G755" t="s">
        <v>57</v>
      </c>
      <c r="H755">
        <v>23</v>
      </c>
      <c r="I755">
        <v>2830.6</v>
      </c>
      <c r="J755">
        <v>11322.4</v>
      </c>
    </row>
    <row r="756" spans="1:10" x14ac:dyDescent="0.35">
      <c r="A756" s="17">
        <v>45159</v>
      </c>
      <c r="B756" t="s">
        <v>12</v>
      </c>
      <c r="C756" t="s">
        <v>13</v>
      </c>
      <c r="D756" t="s">
        <v>33</v>
      </c>
      <c r="E756" t="s">
        <v>27</v>
      </c>
      <c r="F756">
        <v>9</v>
      </c>
      <c r="G756" t="s">
        <v>58</v>
      </c>
      <c r="H756">
        <v>23</v>
      </c>
      <c r="I756">
        <v>515.97</v>
      </c>
      <c r="J756">
        <v>4643.7299999999996</v>
      </c>
    </row>
    <row r="757" spans="1:10" x14ac:dyDescent="0.35">
      <c r="A757" s="17">
        <v>44945</v>
      </c>
      <c r="B757" t="s">
        <v>20</v>
      </c>
      <c r="C757" t="s">
        <v>21</v>
      </c>
      <c r="D757" t="s">
        <v>22</v>
      </c>
      <c r="E757" t="s">
        <v>27</v>
      </c>
      <c r="F757">
        <v>8</v>
      </c>
      <c r="G757" t="s">
        <v>59</v>
      </c>
      <c r="H757">
        <v>41</v>
      </c>
      <c r="I757">
        <v>2019.04</v>
      </c>
      <c r="J757">
        <v>16152.32</v>
      </c>
    </row>
    <row r="758" spans="1:10" x14ac:dyDescent="0.35">
      <c r="A758" s="17">
        <v>45016</v>
      </c>
      <c r="B758" t="s">
        <v>8</v>
      </c>
      <c r="C758" t="s">
        <v>9</v>
      </c>
      <c r="D758" t="s">
        <v>31</v>
      </c>
      <c r="E758" t="s">
        <v>18</v>
      </c>
      <c r="F758">
        <v>1</v>
      </c>
      <c r="G758" t="s">
        <v>48</v>
      </c>
      <c r="H758">
        <v>41</v>
      </c>
      <c r="I758">
        <v>1889.5</v>
      </c>
      <c r="J758">
        <v>1889.5</v>
      </c>
    </row>
    <row r="759" spans="1:10" x14ac:dyDescent="0.35">
      <c r="A759" s="17">
        <v>45096</v>
      </c>
      <c r="B759" t="s">
        <v>8</v>
      </c>
      <c r="C759" t="s">
        <v>9</v>
      </c>
      <c r="D759" t="s">
        <v>10</v>
      </c>
      <c r="E759" t="s">
        <v>27</v>
      </c>
      <c r="F759">
        <v>2</v>
      </c>
      <c r="G759" t="s">
        <v>49</v>
      </c>
      <c r="H759">
        <v>19</v>
      </c>
      <c r="I759">
        <v>3239.94</v>
      </c>
      <c r="J759">
        <v>6479.88</v>
      </c>
    </row>
    <row r="760" spans="1:10" x14ac:dyDescent="0.35">
      <c r="A760" s="17">
        <v>44946</v>
      </c>
      <c r="B760" t="s">
        <v>12</v>
      </c>
      <c r="C760" t="s">
        <v>16</v>
      </c>
      <c r="D760" t="s">
        <v>25</v>
      </c>
      <c r="E760" t="s">
        <v>11</v>
      </c>
      <c r="F760">
        <v>11</v>
      </c>
      <c r="G760" t="s">
        <v>50</v>
      </c>
      <c r="H760">
        <v>23</v>
      </c>
      <c r="I760">
        <v>2426.48</v>
      </c>
      <c r="J760">
        <v>26691.279999999999</v>
      </c>
    </row>
    <row r="761" spans="1:10" x14ac:dyDescent="0.35">
      <c r="A761" s="17">
        <v>45275</v>
      </c>
      <c r="B761" t="s">
        <v>12</v>
      </c>
      <c r="C761" t="s">
        <v>13</v>
      </c>
      <c r="D761" t="s">
        <v>14</v>
      </c>
      <c r="E761" t="s">
        <v>18</v>
      </c>
      <c r="F761">
        <v>3</v>
      </c>
      <c r="G761" t="s">
        <v>51</v>
      </c>
      <c r="H761">
        <v>48</v>
      </c>
      <c r="I761">
        <v>1043.3900000000001</v>
      </c>
      <c r="J761">
        <v>3130.17</v>
      </c>
    </row>
    <row r="762" spans="1:10" x14ac:dyDescent="0.35">
      <c r="A762" s="17">
        <v>44959</v>
      </c>
      <c r="B762" t="s">
        <v>8</v>
      </c>
      <c r="C762" t="s">
        <v>28</v>
      </c>
      <c r="D762" t="s">
        <v>32</v>
      </c>
      <c r="E762" t="s">
        <v>27</v>
      </c>
      <c r="F762">
        <v>6</v>
      </c>
      <c r="G762" t="s">
        <v>52</v>
      </c>
      <c r="H762">
        <v>25</v>
      </c>
      <c r="I762">
        <v>3350.51</v>
      </c>
      <c r="J762">
        <v>20103.060000000001</v>
      </c>
    </row>
    <row r="763" spans="1:10" x14ac:dyDescent="0.35">
      <c r="A763" s="17">
        <v>44934</v>
      </c>
      <c r="B763" t="s">
        <v>8</v>
      </c>
      <c r="C763" t="s">
        <v>28</v>
      </c>
      <c r="D763" t="s">
        <v>32</v>
      </c>
      <c r="E763" t="s">
        <v>11</v>
      </c>
      <c r="F763">
        <v>11</v>
      </c>
      <c r="G763" t="s">
        <v>53</v>
      </c>
      <c r="H763">
        <v>44</v>
      </c>
      <c r="I763">
        <v>1278.32</v>
      </c>
      <c r="J763">
        <v>14061.52</v>
      </c>
    </row>
    <row r="764" spans="1:10" x14ac:dyDescent="0.35">
      <c r="A764" s="17">
        <v>44974</v>
      </c>
      <c r="B764" t="s">
        <v>8</v>
      </c>
      <c r="C764" t="s">
        <v>28</v>
      </c>
      <c r="D764" t="s">
        <v>32</v>
      </c>
      <c r="E764" t="s">
        <v>24</v>
      </c>
      <c r="F764">
        <v>20</v>
      </c>
      <c r="G764" t="s">
        <v>54</v>
      </c>
      <c r="H764">
        <v>50</v>
      </c>
      <c r="I764">
        <v>1353.54</v>
      </c>
      <c r="J764">
        <v>27070.799999999999</v>
      </c>
    </row>
    <row r="765" spans="1:10" x14ac:dyDescent="0.35">
      <c r="A765" s="17">
        <v>44955</v>
      </c>
      <c r="B765" t="s">
        <v>8</v>
      </c>
      <c r="C765" t="s">
        <v>9</v>
      </c>
      <c r="D765" t="s">
        <v>23</v>
      </c>
      <c r="E765" t="s">
        <v>27</v>
      </c>
      <c r="F765">
        <v>17</v>
      </c>
      <c r="G765" t="s">
        <v>55</v>
      </c>
      <c r="H765">
        <v>38</v>
      </c>
      <c r="I765">
        <v>1457.07</v>
      </c>
      <c r="J765">
        <v>24770.19</v>
      </c>
    </row>
    <row r="766" spans="1:10" x14ac:dyDescent="0.35">
      <c r="A766" s="17">
        <v>45127</v>
      </c>
      <c r="B766" t="s">
        <v>12</v>
      </c>
      <c r="C766" t="s">
        <v>13</v>
      </c>
      <c r="D766" t="s">
        <v>33</v>
      </c>
      <c r="E766" t="s">
        <v>27</v>
      </c>
      <c r="F766">
        <v>14</v>
      </c>
      <c r="G766" t="s">
        <v>56</v>
      </c>
      <c r="H766">
        <v>16</v>
      </c>
      <c r="I766">
        <v>4894.84</v>
      </c>
      <c r="J766">
        <v>68527.759999999995</v>
      </c>
    </row>
    <row r="767" spans="1:10" x14ac:dyDescent="0.35">
      <c r="A767" s="17">
        <v>45182</v>
      </c>
      <c r="B767" t="s">
        <v>12</v>
      </c>
      <c r="C767" t="s">
        <v>16</v>
      </c>
      <c r="D767" t="s">
        <v>19</v>
      </c>
      <c r="E767" t="s">
        <v>18</v>
      </c>
      <c r="F767">
        <v>8</v>
      </c>
      <c r="G767" t="s">
        <v>57</v>
      </c>
      <c r="H767">
        <v>38</v>
      </c>
      <c r="I767">
        <v>4651.3</v>
      </c>
      <c r="J767">
        <v>37210.400000000001</v>
      </c>
    </row>
    <row r="768" spans="1:10" x14ac:dyDescent="0.35">
      <c r="A768" s="17">
        <v>45288</v>
      </c>
      <c r="B768" t="s">
        <v>8</v>
      </c>
      <c r="C768" t="s">
        <v>9</v>
      </c>
      <c r="D768" t="s">
        <v>31</v>
      </c>
      <c r="E768" t="s">
        <v>11</v>
      </c>
      <c r="F768">
        <v>1</v>
      </c>
      <c r="G768" t="s">
        <v>58</v>
      </c>
      <c r="H768">
        <v>30</v>
      </c>
      <c r="I768">
        <v>1520.22</v>
      </c>
      <c r="J768">
        <v>1520.22</v>
      </c>
    </row>
    <row r="769" spans="1:10" x14ac:dyDescent="0.35">
      <c r="A769" s="17">
        <v>45199</v>
      </c>
      <c r="B769" t="s">
        <v>12</v>
      </c>
      <c r="C769" t="s">
        <v>13</v>
      </c>
      <c r="D769" t="s">
        <v>26</v>
      </c>
      <c r="E769" t="s">
        <v>11</v>
      </c>
      <c r="F769">
        <v>1</v>
      </c>
      <c r="G769" t="s">
        <v>59</v>
      </c>
      <c r="H769">
        <v>49</v>
      </c>
      <c r="I769">
        <v>3754.28</v>
      </c>
      <c r="J769">
        <v>3754.28</v>
      </c>
    </row>
    <row r="770" spans="1:10" x14ac:dyDescent="0.35">
      <c r="A770" s="17">
        <v>45068</v>
      </c>
      <c r="B770" t="s">
        <v>12</v>
      </c>
      <c r="C770" t="s">
        <v>16</v>
      </c>
      <c r="D770" t="s">
        <v>19</v>
      </c>
      <c r="E770" t="s">
        <v>24</v>
      </c>
      <c r="F770">
        <v>17</v>
      </c>
      <c r="G770" t="s">
        <v>48</v>
      </c>
      <c r="H770">
        <v>47</v>
      </c>
      <c r="I770">
        <v>947.7</v>
      </c>
      <c r="J770">
        <v>16110.9</v>
      </c>
    </row>
    <row r="771" spans="1:10" x14ac:dyDescent="0.35">
      <c r="A771" s="17">
        <v>45181</v>
      </c>
      <c r="B771" t="s">
        <v>12</v>
      </c>
      <c r="C771" t="s">
        <v>13</v>
      </c>
      <c r="D771" t="s">
        <v>33</v>
      </c>
      <c r="E771" t="s">
        <v>18</v>
      </c>
      <c r="F771">
        <v>6</v>
      </c>
      <c r="G771" t="s">
        <v>49</v>
      </c>
      <c r="H771">
        <v>51</v>
      </c>
      <c r="I771">
        <v>2207.64</v>
      </c>
      <c r="J771">
        <v>13245.84</v>
      </c>
    </row>
    <row r="772" spans="1:10" x14ac:dyDescent="0.35">
      <c r="A772" s="17">
        <v>44936</v>
      </c>
      <c r="B772" t="s">
        <v>8</v>
      </c>
      <c r="C772" t="s">
        <v>9</v>
      </c>
      <c r="D772" t="s">
        <v>31</v>
      </c>
      <c r="E772" t="s">
        <v>18</v>
      </c>
      <c r="F772">
        <v>8</v>
      </c>
      <c r="G772" t="s">
        <v>50</v>
      </c>
      <c r="H772">
        <v>41</v>
      </c>
      <c r="I772">
        <v>4146.82</v>
      </c>
      <c r="J772">
        <v>33174.559999999998</v>
      </c>
    </row>
    <row r="773" spans="1:10" x14ac:dyDescent="0.35">
      <c r="A773" s="17">
        <v>44962</v>
      </c>
      <c r="B773" t="s">
        <v>12</v>
      </c>
      <c r="C773" t="s">
        <v>16</v>
      </c>
      <c r="D773" t="s">
        <v>25</v>
      </c>
      <c r="E773" t="s">
        <v>11</v>
      </c>
      <c r="F773">
        <v>14</v>
      </c>
      <c r="G773" t="s">
        <v>51</v>
      </c>
      <c r="H773">
        <v>50</v>
      </c>
      <c r="I773">
        <v>1273.8399999999999</v>
      </c>
      <c r="J773">
        <v>17833.759999999998</v>
      </c>
    </row>
    <row r="774" spans="1:10" x14ac:dyDescent="0.35">
      <c r="A774" s="17">
        <v>44978</v>
      </c>
      <c r="B774" t="s">
        <v>12</v>
      </c>
      <c r="C774" t="s">
        <v>16</v>
      </c>
      <c r="D774" t="s">
        <v>25</v>
      </c>
      <c r="E774" t="s">
        <v>18</v>
      </c>
      <c r="F774">
        <v>4</v>
      </c>
      <c r="G774" t="s">
        <v>52</v>
      </c>
      <c r="H774">
        <v>31</v>
      </c>
      <c r="I774">
        <v>4878.16</v>
      </c>
      <c r="J774">
        <v>19512.64</v>
      </c>
    </row>
    <row r="775" spans="1:10" x14ac:dyDescent="0.35">
      <c r="A775" s="17">
        <v>45035</v>
      </c>
      <c r="B775" t="s">
        <v>8</v>
      </c>
      <c r="C775" t="s">
        <v>28</v>
      </c>
      <c r="D775" t="s">
        <v>32</v>
      </c>
      <c r="E775" t="s">
        <v>11</v>
      </c>
      <c r="F775">
        <v>11</v>
      </c>
      <c r="G775" t="s">
        <v>53</v>
      </c>
      <c r="H775">
        <v>23</v>
      </c>
      <c r="I775">
        <v>3072.59</v>
      </c>
      <c r="J775">
        <v>33798.49</v>
      </c>
    </row>
    <row r="776" spans="1:10" x14ac:dyDescent="0.35">
      <c r="A776" s="17">
        <v>45191</v>
      </c>
      <c r="B776" t="s">
        <v>12</v>
      </c>
      <c r="C776" t="s">
        <v>13</v>
      </c>
      <c r="D776" t="s">
        <v>33</v>
      </c>
      <c r="E776" t="s">
        <v>18</v>
      </c>
      <c r="F776">
        <v>12</v>
      </c>
      <c r="G776" t="s">
        <v>54</v>
      </c>
      <c r="H776">
        <v>16</v>
      </c>
      <c r="I776">
        <v>549.84</v>
      </c>
      <c r="J776">
        <v>6598.08</v>
      </c>
    </row>
    <row r="777" spans="1:10" x14ac:dyDescent="0.35">
      <c r="A777" s="17">
        <v>45260</v>
      </c>
      <c r="B777" t="s">
        <v>12</v>
      </c>
      <c r="C777" t="s">
        <v>13</v>
      </c>
      <c r="D777" t="s">
        <v>26</v>
      </c>
      <c r="E777" t="s">
        <v>24</v>
      </c>
      <c r="F777">
        <v>7</v>
      </c>
      <c r="G777" t="s">
        <v>55</v>
      </c>
      <c r="H777">
        <v>20</v>
      </c>
      <c r="I777">
        <v>3402.48</v>
      </c>
      <c r="J777">
        <v>23817.360000000001</v>
      </c>
    </row>
    <row r="778" spans="1:10" x14ac:dyDescent="0.35">
      <c r="A778" s="17">
        <v>45288</v>
      </c>
      <c r="B778" t="s">
        <v>12</v>
      </c>
      <c r="C778" t="s">
        <v>13</v>
      </c>
      <c r="D778" t="s">
        <v>26</v>
      </c>
      <c r="E778" t="s">
        <v>27</v>
      </c>
      <c r="F778">
        <v>1</v>
      </c>
      <c r="G778" t="s">
        <v>56</v>
      </c>
      <c r="H778">
        <v>25</v>
      </c>
      <c r="I778">
        <v>979.17</v>
      </c>
      <c r="J778">
        <v>979.17</v>
      </c>
    </row>
    <row r="779" spans="1:10" x14ac:dyDescent="0.35">
      <c r="A779" s="17">
        <v>45187</v>
      </c>
      <c r="B779" t="s">
        <v>8</v>
      </c>
      <c r="C779" t="s">
        <v>28</v>
      </c>
      <c r="D779" t="s">
        <v>29</v>
      </c>
      <c r="E779" t="s">
        <v>24</v>
      </c>
      <c r="F779">
        <v>14</v>
      </c>
      <c r="G779" t="s">
        <v>57</v>
      </c>
      <c r="H779">
        <v>20</v>
      </c>
      <c r="I779">
        <v>3433.55</v>
      </c>
      <c r="J779">
        <v>48069.7</v>
      </c>
    </row>
    <row r="780" spans="1:10" x14ac:dyDescent="0.35">
      <c r="A780" s="17">
        <v>45067</v>
      </c>
      <c r="B780" t="s">
        <v>12</v>
      </c>
      <c r="C780" t="s">
        <v>13</v>
      </c>
      <c r="D780" t="s">
        <v>26</v>
      </c>
      <c r="E780" t="s">
        <v>15</v>
      </c>
      <c r="F780">
        <v>5</v>
      </c>
      <c r="G780" t="s">
        <v>58</v>
      </c>
      <c r="H780">
        <v>16</v>
      </c>
      <c r="I780">
        <v>1757.01</v>
      </c>
      <c r="J780">
        <v>8785.0499999999993</v>
      </c>
    </row>
    <row r="781" spans="1:10" x14ac:dyDescent="0.35">
      <c r="A781" s="17">
        <v>45119</v>
      </c>
      <c r="B781" t="s">
        <v>8</v>
      </c>
      <c r="C781" t="s">
        <v>28</v>
      </c>
      <c r="D781" t="s">
        <v>29</v>
      </c>
      <c r="E781" t="s">
        <v>18</v>
      </c>
      <c r="F781">
        <v>16</v>
      </c>
      <c r="G781" t="s">
        <v>59</v>
      </c>
      <c r="H781">
        <v>34</v>
      </c>
      <c r="I781">
        <v>4858.3100000000004</v>
      </c>
      <c r="J781">
        <v>77732.960000000006</v>
      </c>
    </row>
    <row r="782" spans="1:10" x14ac:dyDescent="0.35">
      <c r="A782" s="17">
        <v>45125</v>
      </c>
      <c r="B782" t="s">
        <v>12</v>
      </c>
      <c r="C782" t="s">
        <v>13</v>
      </c>
      <c r="D782" t="s">
        <v>26</v>
      </c>
      <c r="E782" t="s">
        <v>24</v>
      </c>
      <c r="F782">
        <v>8</v>
      </c>
      <c r="G782" t="s">
        <v>48</v>
      </c>
      <c r="H782">
        <v>33</v>
      </c>
      <c r="I782">
        <v>1366.18</v>
      </c>
      <c r="J782">
        <v>10929.44</v>
      </c>
    </row>
    <row r="783" spans="1:10" x14ac:dyDescent="0.35">
      <c r="A783" s="17">
        <v>45052</v>
      </c>
      <c r="B783" t="s">
        <v>12</v>
      </c>
      <c r="C783" t="s">
        <v>16</v>
      </c>
      <c r="D783" t="s">
        <v>25</v>
      </c>
      <c r="E783" t="s">
        <v>15</v>
      </c>
      <c r="F783">
        <v>4</v>
      </c>
      <c r="G783" t="s">
        <v>49</v>
      </c>
      <c r="H783">
        <v>51</v>
      </c>
      <c r="I783">
        <v>2425.52</v>
      </c>
      <c r="J783">
        <v>9702.08</v>
      </c>
    </row>
    <row r="784" spans="1:10" x14ac:dyDescent="0.35">
      <c r="A784" s="17">
        <v>45114</v>
      </c>
      <c r="B784" t="s">
        <v>12</v>
      </c>
      <c r="C784" t="s">
        <v>13</v>
      </c>
      <c r="D784" t="s">
        <v>14</v>
      </c>
      <c r="E784" t="s">
        <v>24</v>
      </c>
      <c r="F784">
        <v>19</v>
      </c>
      <c r="G784" t="s">
        <v>50</v>
      </c>
      <c r="H784">
        <v>40</v>
      </c>
      <c r="I784">
        <v>4421.6899999999996</v>
      </c>
      <c r="J784">
        <v>84012.11</v>
      </c>
    </row>
    <row r="785" spans="1:10" x14ac:dyDescent="0.35">
      <c r="A785" s="17">
        <v>45001</v>
      </c>
      <c r="B785" t="s">
        <v>12</v>
      </c>
      <c r="C785" t="s">
        <v>16</v>
      </c>
      <c r="D785" t="s">
        <v>19</v>
      </c>
      <c r="E785" t="s">
        <v>11</v>
      </c>
      <c r="F785">
        <v>15</v>
      </c>
      <c r="G785" t="s">
        <v>51</v>
      </c>
      <c r="H785">
        <v>21</v>
      </c>
      <c r="I785">
        <v>4724.91</v>
      </c>
      <c r="J785">
        <v>70873.649999999994</v>
      </c>
    </row>
    <row r="786" spans="1:10" x14ac:dyDescent="0.35">
      <c r="A786" s="17">
        <v>44959</v>
      </c>
      <c r="B786" t="s">
        <v>8</v>
      </c>
      <c r="C786" t="s">
        <v>28</v>
      </c>
      <c r="D786" t="s">
        <v>32</v>
      </c>
      <c r="E786" t="s">
        <v>18</v>
      </c>
      <c r="F786">
        <v>15</v>
      </c>
      <c r="G786" t="s">
        <v>52</v>
      </c>
      <c r="H786">
        <v>20</v>
      </c>
      <c r="I786">
        <v>3555.88</v>
      </c>
      <c r="J786">
        <v>53338.2</v>
      </c>
    </row>
    <row r="787" spans="1:10" x14ac:dyDescent="0.35">
      <c r="A787" s="17">
        <v>45154</v>
      </c>
      <c r="B787" t="s">
        <v>12</v>
      </c>
      <c r="C787" t="s">
        <v>16</v>
      </c>
      <c r="D787" t="s">
        <v>17</v>
      </c>
      <c r="E787" t="s">
        <v>15</v>
      </c>
      <c r="F787">
        <v>12</v>
      </c>
      <c r="G787" t="s">
        <v>53</v>
      </c>
      <c r="H787">
        <v>52</v>
      </c>
      <c r="I787">
        <v>2557.5700000000002</v>
      </c>
      <c r="J787">
        <v>30690.84</v>
      </c>
    </row>
    <row r="788" spans="1:10" x14ac:dyDescent="0.35">
      <c r="A788" s="17">
        <v>45140</v>
      </c>
      <c r="B788" t="s">
        <v>8</v>
      </c>
      <c r="C788" t="s">
        <v>28</v>
      </c>
      <c r="D788" t="s">
        <v>30</v>
      </c>
      <c r="E788" t="s">
        <v>15</v>
      </c>
      <c r="F788">
        <v>5</v>
      </c>
      <c r="G788" t="s">
        <v>54</v>
      </c>
      <c r="H788">
        <v>55</v>
      </c>
      <c r="I788">
        <v>1997.76</v>
      </c>
      <c r="J788">
        <v>9988.7999999999993</v>
      </c>
    </row>
    <row r="789" spans="1:10" x14ac:dyDescent="0.35">
      <c r="A789" s="17">
        <v>45021</v>
      </c>
      <c r="B789" t="s">
        <v>12</v>
      </c>
      <c r="C789" t="s">
        <v>16</v>
      </c>
      <c r="D789" t="s">
        <v>25</v>
      </c>
      <c r="E789" t="s">
        <v>24</v>
      </c>
      <c r="F789">
        <v>9</v>
      </c>
      <c r="G789" t="s">
        <v>55</v>
      </c>
      <c r="H789">
        <v>37</v>
      </c>
      <c r="I789">
        <v>704.39</v>
      </c>
      <c r="J789">
        <v>6339.51</v>
      </c>
    </row>
    <row r="790" spans="1:10" x14ac:dyDescent="0.35">
      <c r="A790" s="17">
        <v>45133</v>
      </c>
      <c r="B790" t="s">
        <v>12</v>
      </c>
      <c r="C790" t="s">
        <v>16</v>
      </c>
      <c r="D790" t="s">
        <v>25</v>
      </c>
      <c r="E790" t="s">
        <v>27</v>
      </c>
      <c r="F790">
        <v>20</v>
      </c>
      <c r="G790" t="s">
        <v>56</v>
      </c>
      <c r="H790">
        <v>44</v>
      </c>
      <c r="I790">
        <v>2446.31</v>
      </c>
      <c r="J790">
        <v>48926.2</v>
      </c>
    </row>
    <row r="791" spans="1:10" x14ac:dyDescent="0.35">
      <c r="A791" s="17">
        <v>45180</v>
      </c>
      <c r="B791" t="s">
        <v>8</v>
      </c>
      <c r="C791" t="s">
        <v>9</v>
      </c>
      <c r="D791" t="s">
        <v>23</v>
      </c>
      <c r="E791" t="s">
        <v>15</v>
      </c>
      <c r="F791">
        <v>10</v>
      </c>
      <c r="G791" t="s">
        <v>57</v>
      </c>
      <c r="H791">
        <v>33</v>
      </c>
      <c r="I791">
        <v>2853.88</v>
      </c>
      <c r="J791">
        <v>28538.799999999999</v>
      </c>
    </row>
    <row r="792" spans="1:10" x14ac:dyDescent="0.35">
      <c r="A792" s="17">
        <v>45012</v>
      </c>
      <c r="B792" t="s">
        <v>8</v>
      </c>
      <c r="C792" t="s">
        <v>28</v>
      </c>
      <c r="D792" t="s">
        <v>32</v>
      </c>
      <c r="E792" t="s">
        <v>11</v>
      </c>
      <c r="F792">
        <v>15</v>
      </c>
      <c r="G792" t="s">
        <v>58</v>
      </c>
      <c r="H792">
        <v>55</v>
      </c>
      <c r="I792">
        <v>1098.31</v>
      </c>
      <c r="J792">
        <v>16474.650000000001</v>
      </c>
    </row>
    <row r="793" spans="1:10" x14ac:dyDescent="0.35">
      <c r="A793" s="17">
        <v>45139</v>
      </c>
      <c r="B793" t="s">
        <v>12</v>
      </c>
      <c r="C793" t="s">
        <v>16</v>
      </c>
      <c r="D793" t="s">
        <v>19</v>
      </c>
      <c r="E793" t="s">
        <v>24</v>
      </c>
      <c r="F793">
        <v>11</v>
      </c>
      <c r="G793" t="s">
        <v>59</v>
      </c>
      <c r="H793">
        <v>55</v>
      </c>
      <c r="I793">
        <v>968.17</v>
      </c>
      <c r="J793">
        <v>10649.87</v>
      </c>
    </row>
    <row r="794" spans="1:10" x14ac:dyDescent="0.35">
      <c r="A794" s="17">
        <v>45035</v>
      </c>
      <c r="B794" t="s">
        <v>20</v>
      </c>
      <c r="C794" t="s">
        <v>21</v>
      </c>
      <c r="D794" t="s">
        <v>35</v>
      </c>
      <c r="E794" t="s">
        <v>24</v>
      </c>
      <c r="F794">
        <v>10</v>
      </c>
      <c r="G794" t="s">
        <v>48</v>
      </c>
      <c r="H794">
        <v>30</v>
      </c>
      <c r="I794">
        <v>373.54</v>
      </c>
      <c r="J794">
        <v>3735.4</v>
      </c>
    </row>
    <row r="795" spans="1:10" x14ac:dyDescent="0.35">
      <c r="A795" s="17">
        <v>44960</v>
      </c>
      <c r="B795" t="s">
        <v>20</v>
      </c>
      <c r="C795" t="s">
        <v>21</v>
      </c>
      <c r="D795" t="s">
        <v>34</v>
      </c>
      <c r="E795" t="s">
        <v>15</v>
      </c>
      <c r="F795">
        <v>4</v>
      </c>
      <c r="G795" t="s">
        <v>49</v>
      </c>
      <c r="H795">
        <v>51</v>
      </c>
      <c r="I795">
        <v>1938.6</v>
      </c>
      <c r="J795">
        <v>7754.4</v>
      </c>
    </row>
    <row r="796" spans="1:10" x14ac:dyDescent="0.35">
      <c r="A796" s="17">
        <v>45229</v>
      </c>
      <c r="B796" t="s">
        <v>12</v>
      </c>
      <c r="C796" t="s">
        <v>16</v>
      </c>
      <c r="D796" t="s">
        <v>19</v>
      </c>
      <c r="E796" t="s">
        <v>27</v>
      </c>
      <c r="F796">
        <v>9</v>
      </c>
      <c r="G796" t="s">
        <v>50</v>
      </c>
      <c r="H796">
        <v>45</v>
      </c>
      <c r="I796">
        <v>3643.26</v>
      </c>
      <c r="J796">
        <v>32789.339999999997</v>
      </c>
    </row>
    <row r="797" spans="1:10" x14ac:dyDescent="0.35">
      <c r="A797" s="17">
        <v>45055</v>
      </c>
      <c r="B797" t="s">
        <v>8</v>
      </c>
      <c r="C797" t="s">
        <v>9</v>
      </c>
      <c r="D797" t="s">
        <v>23</v>
      </c>
      <c r="E797" t="s">
        <v>27</v>
      </c>
      <c r="F797">
        <v>19</v>
      </c>
      <c r="G797" t="s">
        <v>51</v>
      </c>
      <c r="H797">
        <v>22</v>
      </c>
      <c r="I797">
        <v>3374.33</v>
      </c>
      <c r="J797">
        <v>64112.27</v>
      </c>
    </row>
    <row r="798" spans="1:10" x14ac:dyDescent="0.35">
      <c r="A798" s="17">
        <v>45224</v>
      </c>
      <c r="B798" t="s">
        <v>20</v>
      </c>
      <c r="C798" t="s">
        <v>21</v>
      </c>
      <c r="D798" t="s">
        <v>35</v>
      </c>
      <c r="E798" t="s">
        <v>24</v>
      </c>
      <c r="F798">
        <v>4</v>
      </c>
      <c r="G798" t="s">
        <v>52</v>
      </c>
      <c r="H798">
        <v>45</v>
      </c>
      <c r="I798">
        <v>700.07</v>
      </c>
      <c r="J798">
        <v>2800.28</v>
      </c>
    </row>
    <row r="799" spans="1:10" x14ac:dyDescent="0.35">
      <c r="A799" s="17">
        <v>45187</v>
      </c>
      <c r="B799" t="s">
        <v>12</v>
      </c>
      <c r="C799" t="s">
        <v>13</v>
      </c>
      <c r="D799" t="s">
        <v>26</v>
      </c>
      <c r="E799" t="s">
        <v>27</v>
      </c>
      <c r="F799">
        <v>11</v>
      </c>
      <c r="G799" t="s">
        <v>53</v>
      </c>
      <c r="H799">
        <v>17</v>
      </c>
      <c r="I799">
        <v>2677.03</v>
      </c>
      <c r="J799">
        <v>29447.33</v>
      </c>
    </row>
    <row r="800" spans="1:10" x14ac:dyDescent="0.35">
      <c r="A800" s="17">
        <v>45140</v>
      </c>
      <c r="B800" t="s">
        <v>12</v>
      </c>
      <c r="C800" t="s">
        <v>16</v>
      </c>
      <c r="D800" t="s">
        <v>19</v>
      </c>
      <c r="E800" t="s">
        <v>27</v>
      </c>
      <c r="F800">
        <v>13</v>
      </c>
      <c r="G800" t="s">
        <v>54</v>
      </c>
      <c r="H800">
        <v>55</v>
      </c>
      <c r="I800">
        <v>1220.76</v>
      </c>
      <c r="J800">
        <v>15869.88</v>
      </c>
    </row>
    <row r="801" spans="1:10" x14ac:dyDescent="0.35">
      <c r="A801" s="17">
        <v>45099</v>
      </c>
      <c r="B801" t="s">
        <v>8</v>
      </c>
      <c r="C801" t="s">
        <v>9</v>
      </c>
      <c r="D801" t="s">
        <v>23</v>
      </c>
      <c r="E801" t="s">
        <v>11</v>
      </c>
      <c r="F801">
        <v>1</v>
      </c>
      <c r="G801" t="s">
        <v>55</v>
      </c>
      <c r="H801">
        <v>52</v>
      </c>
      <c r="I801">
        <v>4640.17</v>
      </c>
      <c r="J801">
        <v>4640.17</v>
      </c>
    </row>
    <row r="802" spans="1:10" x14ac:dyDescent="0.35">
      <c r="A802" s="17">
        <v>44965</v>
      </c>
      <c r="B802" t="s">
        <v>12</v>
      </c>
      <c r="C802" t="s">
        <v>16</v>
      </c>
      <c r="D802" t="s">
        <v>17</v>
      </c>
      <c r="E802" t="s">
        <v>18</v>
      </c>
      <c r="F802">
        <v>12</v>
      </c>
      <c r="G802" t="s">
        <v>56</v>
      </c>
      <c r="H802">
        <v>31</v>
      </c>
      <c r="I802">
        <v>1608.11</v>
      </c>
      <c r="J802">
        <v>19297.32</v>
      </c>
    </row>
    <row r="803" spans="1:10" x14ac:dyDescent="0.35">
      <c r="A803" s="17">
        <v>45218</v>
      </c>
      <c r="B803" t="s">
        <v>8</v>
      </c>
      <c r="C803" t="s">
        <v>9</v>
      </c>
      <c r="D803" t="s">
        <v>23</v>
      </c>
      <c r="E803" t="s">
        <v>27</v>
      </c>
      <c r="F803">
        <v>8</v>
      </c>
      <c r="G803" t="s">
        <v>57</v>
      </c>
      <c r="H803">
        <v>51</v>
      </c>
      <c r="I803">
        <v>3615.06</v>
      </c>
      <c r="J803">
        <v>28920.48</v>
      </c>
    </row>
    <row r="804" spans="1:10" x14ac:dyDescent="0.35">
      <c r="A804" s="17">
        <v>45071</v>
      </c>
      <c r="B804" t="s">
        <v>8</v>
      </c>
      <c r="C804" t="s">
        <v>9</v>
      </c>
      <c r="D804" t="s">
        <v>23</v>
      </c>
      <c r="E804" t="s">
        <v>24</v>
      </c>
      <c r="F804">
        <v>7</v>
      </c>
      <c r="G804" t="s">
        <v>58</v>
      </c>
      <c r="H804">
        <v>27</v>
      </c>
      <c r="I804">
        <v>4238.07</v>
      </c>
      <c r="J804">
        <v>29666.49</v>
      </c>
    </row>
    <row r="805" spans="1:10" x14ac:dyDescent="0.35">
      <c r="A805" s="17">
        <v>45239</v>
      </c>
      <c r="B805" t="s">
        <v>12</v>
      </c>
      <c r="C805" t="s">
        <v>13</v>
      </c>
      <c r="D805" t="s">
        <v>33</v>
      </c>
      <c r="E805" t="s">
        <v>11</v>
      </c>
      <c r="F805">
        <v>16</v>
      </c>
      <c r="G805" t="s">
        <v>59</v>
      </c>
      <c r="H805">
        <v>24</v>
      </c>
      <c r="I805">
        <v>3981.76</v>
      </c>
      <c r="J805">
        <v>63708.160000000003</v>
      </c>
    </row>
    <row r="806" spans="1:10" x14ac:dyDescent="0.35">
      <c r="A806" s="17">
        <v>44943</v>
      </c>
      <c r="B806" t="s">
        <v>20</v>
      </c>
      <c r="C806" t="s">
        <v>21</v>
      </c>
      <c r="D806" t="s">
        <v>22</v>
      </c>
      <c r="E806" t="s">
        <v>24</v>
      </c>
      <c r="F806">
        <v>6</v>
      </c>
      <c r="G806" t="s">
        <v>48</v>
      </c>
      <c r="H806">
        <v>30</v>
      </c>
      <c r="I806">
        <v>3671.84</v>
      </c>
      <c r="J806">
        <v>22031.040000000001</v>
      </c>
    </row>
    <row r="807" spans="1:10" x14ac:dyDescent="0.35">
      <c r="A807" s="17">
        <v>45214</v>
      </c>
      <c r="B807" t="s">
        <v>12</v>
      </c>
      <c r="C807" t="s">
        <v>16</v>
      </c>
      <c r="D807" t="s">
        <v>25</v>
      </c>
      <c r="E807" t="s">
        <v>24</v>
      </c>
      <c r="F807">
        <v>3</v>
      </c>
      <c r="G807" t="s">
        <v>49</v>
      </c>
      <c r="H807">
        <v>20</v>
      </c>
      <c r="I807">
        <v>1046.06</v>
      </c>
      <c r="J807">
        <v>3138.18</v>
      </c>
    </row>
    <row r="808" spans="1:10" x14ac:dyDescent="0.35">
      <c r="A808" s="17">
        <v>45270</v>
      </c>
      <c r="B808" t="s">
        <v>12</v>
      </c>
      <c r="C808" t="s">
        <v>16</v>
      </c>
      <c r="D808" t="s">
        <v>19</v>
      </c>
      <c r="E808" t="s">
        <v>15</v>
      </c>
      <c r="F808">
        <v>8</v>
      </c>
      <c r="G808" t="s">
        <v>50</v>
      </c>
      <c r="H808">
        <v>54</v>
      </c>
      <c r="I808">
        <v>1595.76</v>
      </c>
      <c r="J808">
        <v>12766.08</v>
      </c>
    </row>
    <row r="809" spans="1:10" x14ac:dyDescent="0.35">
      <c r="A809" s="17">
        <v>45191</v>
      </c>
      <c r="B809" t="s">
        <v>20</v>
      </c>
      <c r="C809" t="s">
        <v>21</v>
      </c>
      <c r="D809" t="s">
        <v>22</v>
      </c>
      <c r="E809" t="s">
        <v>27</v>
      </c>
      <c r="F809">
        <v>8</v>
      </c>
      <c r="G809" t="s">
        <v>51</v>
      </c>
      <c r="H809">
        <v>55</v>
      </c>
      <c r="I809">
        <v>4866.58</v>
      </c>
      <c r="J809">
        <v>38932.639999999999</v>
      </c>
    </row>
    <row r="810" spans="1:10" x14ac:dyDescent="0.35">
      <c r="A810" s="17">
        <v>45194</v>
      </c>
      <c r="B810" t="s">
        <v>8</v>
      </c>
      <c r="C810" t="s">
        <v>28</v>
      </c>
      <c r="D810" t="s">
        <v>32</v>
      </c>
      <c r="E810" t="s">
        <v>18</v>
      </c>
      <c r="F810">
        <v>2</v>
      </c>
      <c r="G810" t="s">
        <v>52</v>
      </c>
      <c r="H810">
        <v>24</v>
      </c>
      <c r="I810">
        <v>4176.99</v>
      </c>
      <c r="J810">
        <v>8353.98</v>
      </c>
    </row>
    <row r="811" spans="1:10" x14ac:dyDescent="0.35">
      <c r="A811" s="17">
        <v>45203</v>
      </c>
      <c r="B811" t="s">
        <v>20</v>
      </c>
      <c r="C811" t="s">
        <v>21</v>
      </c>
      <c r="D811" t="s">
        <v>22</v>
      </c>
      <c r="E811" t="s">
        <v>27</v>
      </c>
      <c r="F811">
        <v>16</v>
      </c>
      <c r="G811" t="s">
        <v>53</v>
      </c>
      <c r="H811">
        <v>34</v>
      </c>
      <c r="I811">
        <v>4860.07</v>
      </c>
      <c r="J811">
        <v>77761.119999999995</v>
      </c>
    </row>
    <row r="812" spans="1:10" x14ac:dyDescent="0.35">
      <c r="A812" s="17">
        <v>45126</v>
      </c>
      <c r="B812" t="s">
        <v>12</v>
      </c>
      <c r="C812" t="s">
        <v>13</v>
      </c>
      <c r="D812" t="s">
        <v>26</v>
      </c>
      <c r="E812" t="s">
        <v>15</v>
      </c>
      <c r="F812">
        <v>4</v>
      </c>
      <c r="G812" t="s">
        <v>54</v>
      </c>
      <c r="H812">
        <v>55</v>
      </c>
      <c r="I812">
        <v>277.45</v>
      </c>
      <c r="J812">
        <v>1109.8</v>
      </c>
    </row>
    <row r="813" spans="1:10" x14ac:dyDescent="0.35">
      <c r="A813" s="17">
        <v>44965</v>
      </c>
      <c r="B813" t="s">
        <v>12</v>
      </c>
      <c r="C813" t="s">
        <v>13</v>
      </c>
      <c r="D813" t="s">
        <v>26</v>
      </c>
      <c r="E813" t="s">
        <v>18</v>
      </c>
      <c r="F813">
        <v>13</v>
      </c>
      <c r="G813" t="s">
        <v>55</v>
      </c>
      <c r="H813">
        <v>19</v>
      </c>
      <c r="I813">
        <v>1030.9000000000001</v>
      </c>
      <c r="J813">
        <v>13401.7</v>
      </c>
    </row>
    <row r="814" spans="1:10" x14ac:dyDescent="0.35">
      <c r="A814" s="17">
        <v>45258</v>
      </c>
      <c r="B814" t="s">
        <v>12</v>
      </c>
      <c r="C814" t="s">
        <v>13</v>
      </c>
      <c r="D814" t="s">
        <v>33</v>
      </c>
      <c r="E814" t="s">
        <v>24</v>
      </c>
      <c r="F814">
        <v>16</v>
      </c>
      <c r="G814" t="s">
        <v>56</v>
      </c>
      <c r="H814">
        <v>28</v>
      </c>
      <c r="I814">
        <v>2573.33</v>
      </c>
      <c r="J814">
        <v>41173.279999999999</v>
      </c>
    </row>
    <row r="815" spans="1:10" x14ac:dyDescent="0.35">
      <c r="A815" s="17">
        <v>44942</v>
      </c>
      <c r="B815" t="s">
        <v>12</v>
      </c>
      <c r="C815" t="s">
        <v>16</v>
      </c>
      <c r="D815" t="s">
        <v>17</v>
      </c>
      <c r="E815" t="s">
        <v>11</v>
      </c>
      <c r="F815">
        <v>18</v>
      </c>
      <c r="G815" t="s">
        <v>57</v>
      </c>
      <c r="H815">
        <v>52</v>
      </c>
      <c r="I815">
        <v>1134.8800000000001</v>
      </c>
      <c r="J815">
        <v>20427.84</v>
      </c>
    </row>
    <row r="816" spans="1:10" x14ac:dyDescent="0.35">
      <c r="A816" s="17">
        <v>45283</v>
      </c>
      <c r="B816" t="s">
        <v>20</v>
      </c>
      <c r="C816" t="s">
        <v>21</v>
      </c>
      <c r="D816" t="s">
        <v>34</v>
      </c>
      <c r="E816" t="s">
        <v>24</v>
      </c>
      <c r="F816">
        <v>13</v>
      </c>
      <c r="G816" t="s">
        <v>58</v>
      </c>
      <c r="H816">
        <v>22</v>
      </c>
      <c r="I816">
        <v>802.18</v>
      </c>
      <c r="J816">
        <v>10428.34</v>
      </c>
    </row>
    <row r="817" spans="1:10" x14ac:dyDescent="0.35">
      <c r="A817" s="17">
        <v>45288</v>
      </c>
      <c r="B817" t="s">
        <v>12</v>
      </c>
      <c r="C817" t="s">
        <v>16</v>
      </c>
      <c r="D817" t="s">
        <v>25</v>
      </c>
      <c r="E817" t="s">
        <v>11</v>
      </c>
      <c r="F817">
        <v>10</v>
      </c>
      <c r="G817" t="s">
        <v>59</v>
      </c>
      <c r="H817">
        <v>46</v>
      </c>
      <c r="I817">
        <v>568.6</v>
      </c>
      <c r="J817">
        <v>5686</v>
      </c>
    </row>
    <row r="818" spans="1:10" x14ac:dyDescent="0.35">
      <c r="A818" s="17">
        <v>45192</v>
      </c>
      <c r="B818" t="s">
        <v>8</v>
      </c>
      <c r="C818" t="s">
        <v>9</v>
      </c>
      <c r="D818" t="s">
        <v>23</v>
      </c>
      <c r="E818" t="s">
        <v>15</v>
      </c>
      <c r="F818">
        <v>7</v>
      </c>
      <c r="G818" t="s">
        <v>48</v>
      </c>
      <c r="H818">
        <v>18</v>
      </c>
      <c r="I818">
        <v>1801.74</v>
      </c>
      <c r="J818">
        <v>12612.18</v>
      </c>
    </row>
    <row r="819" spans="1:10" x14ac:dyDescent="0.35">
      <c r="A819" s="17">
        <v>45138</v>
      </c>
      <c r="B819" t="s">
        <v>12</v>
      </c>
      <c r="C819" t="s">
        <v>13</v>
      </c>
      <c r="D819" t="s">
        <v>33</v>
      </c>
      <c r="E819" t="s">
        <v>15</v>
      </c>
      <c r="F819">
        <v>13</v>
      </c>
      <c r="G819" t="s">
        <v>49</v>
      </c>
      <c r="H819">
        <v>20</v>
      </c>
      <c r="I819">
        <v>968.18</v>
      </c>
      <c r="J819">
        <v>12586.34</v>
      </c>
    </row>
    <row r="820" spans="1:10" x14ac:dyDescent="0.35">
      <c r="A820" s="17">
        <v>45034</v>
      </c>
      <c r="B820" t="s">
        <v>12</v>
      </c>
      <c r="C820" t="s">
        <v>13</v>
      </c>
      <c r="D820" t="s">
        <v>14</v>
      </c>
      <c r="E820" t="s">
        <v>11</v>
      </c>
      <c r="F820">
        <v>6</v>
      </c>
      <c r="G820" t="s">
        <v>50</v>
      </c>
      <c r="H820">
        <v>53</v>
      </c>
      <c r="I820">
        <v>3439.83</v>
      </c>
      <c r="J820">
        <v>20638.98</v>
      </c>
    </row>
    <row r="821" spans="1:10" x14ac:dyDescent="0.35">
      <c r="A821" s="17">
        <v>45146</v>
      </c>
      <c r="B821" t="s">
        <v>12</v>
      </c>
      <c r="C821" t="s">
        <v>13</v>
      </c>
      <c r="D821" t="s">
        <v>26</v>
      </c>
      <c r="E821" t="s">
        <v>18</v>
      </c>
      <c r="F821">
        <v>15</v>
      </c>
      <c r="G821" t="s">
        <v>51</v>
      </c>
      <c r="H821">
        <v>48</v>
      </c>
      <c r="I821">
        <v>3943.63</v>
      </c>
      <c r="J821">
        <v>59154.45</v>
      </c>
    </row>
    <row r="822" spans="1:10" x14ac:dyDescent="0.35">
      <c r="A822" s="17">
        <v>45172</v>
      </c>
      <c r="B822" t="s">
        <v>20</v>
      </c>
      <c r="C822" t="s">
        <v>21</v>
      </c>
      <c r="D822" t="s">
        <v>35</v>
      </c>
      <c r="E822" t="s">
        <v>11</v>
      </c>
      <c r="F822">
        <v>11</v>
      </c>
      <c r="G822" t="s">
        <v>52</v>
      </c>
      <c r="H822">
        <v>28</v>
      </c>
      <c r="I822">
        <v>1418.67</v>
      </c>
      <c r="J822">
        <v>15605.37</v>
      </c>
    </row>
    <row r="823" spans="1:10" x14ac:dyDescent="0.35">
      <c r="A823" s="17">
        <v>44938</v>
      </c>
      <c r="B823" t="s">
        <v>12</v>
      </c>
      <c r="C823" t="s">
        <v>13</v>
      </c>
      <c r="D823" t="s">
        <v>26</v>
      </c>
      <c r="E823" t="s">
        <v>24</v>
      </c>
      <c r="F823">
        <v>16</v>
      </c>
      <c r="G823" t="s">
        <v>53</v>
      </c>
      <c r="H823">
        <v>18</v>
      </c>
      <c r="I823">
        <v>2976.17</v>
      </c>
      <c r="J823">
        <v>47618.720000000001</v>
      </c>
    </row>
    <row r="824" spans="1:10" x14ac:dyDescent="0.35">
      <c r="A824" s="17">
        <v>45109</v>
      </c>
      <c r="B824" t="s">
        <v>20</v>
      </c>
      <c r="C824" t="s">
        <v>21</v>
      </c>
      <c r="D824" t="s">
        <v>34</v>
      </c>
      <c r="E824" t="s">
        <v>15</v>
      </c>
      <c r="F824">
        <v>4</v>
      </c>
      <c r="G824" t="s">
        <v>54</v>
      </c>
      <c r="H824">
        <v>47</v>
      </c>
      <c r="I824">
        <v>2984.27</v>
      </c>
      <c r="J824">
        <v>11937.08</v>
      </c>
    </row>
    <row r="825" spans="1:10" x14ac:dyDescent="0.35">
      <c r="A825" s="17">
        <v>44997</v>
      </c>
      <c r="B825" t="s">
        <v>12</v>
      </c>
      <c r="C825" t="s">
        <v>13</v>
      </c>
      <c r="D825" t="s">
        <v>26</v>
      </c>
      <c r="E825" t="s">
        <v>18</v>
      </c>
      <c r="F825">
        <v>2</v>
      </c>
      <c r="G825" t="s">
        <v>55</v>
      </c>
      <c r="H825">
        <v>35</v>
      </c>
      <c r="I825">
        <v>1888.47</v>
      </c>
      <c r="J825">
        <v>3776.94</v>
      </c>
    </row>
    <row r="826" spans="1:10" x14ac:dyDescent="0.35">
      <c r="A826" s="17">
        <v>45234</v>
      </c>
      <c r="B826" t="s">
        <v>8</v>
      </c>
      <c r="C826" t="s">
        <v>28</v>
      </c>
      <c r="D826" t="s">
        <v>32</v>
      </c>
      <c r="E826" t="s">
        <v>11</v>
      </c>
      <c r="F826">
        <v>18</v>
      </c>
      <c r="G826" t="s">
        <v>56</v>
      </c>
      <c r="H826">
        <v>21</v>
      </c>
      <c r="I826">
        <v>651.22</v>
      </c>
      <c r="J826">
        <v>11721.96</v>
      </c>
    </row>
    <row r="827" spans="1:10" x14ac:dyDescent="0.35">
      <c r="A827" s="17">
        <v>45089</v>
      </c>
      <c r="B827" t="s">
        <v>12</v>
      </c>
      <c r="C827" t="s">
        <v>16</v>
      </c>
      <c r="D827" t="s">
        <v>25</v>
      </c>
      <c r="E827" t="s">
        <v>11</v>
      </c>
      <c r="F827">
        <v>3</v>
      </c>
      <c r="G827" t="s">
        <v>57</v>
      </c>
      <c r="H827">
        <v>44</v>
      </c>
      <c r="I827">
        <v>3109.18</v>
      </c>
      <c r="J827">
        <v>9327.5400000000009</v>
      </c>
    </row>
    <row r="828" spans="1:10" x14ac:dyDescent="0.35">
      <c r="A828" s="17">
        <v>45143</v>
      </c>
      <c r="B828" t="s">
        <v>8</v>
      </c>
      <c r="C828" t="s">
        <v>9</v>
      </c>
      <c r="D828" t="s">
        <v>31</v>
      </c>
      <c r="E828" t="s">
        <v>11</v>
      </c>
      <c r="F828">
        <v>11</v>
      </c>
      <c r="G828" t="s">
        <v>58</v>
      </c>
      <c r="H828">
        <v>23</v>
      </c>
      <c r="I828">
        <v>587.46</v>
      </c>
      <c r="J828">
        <v>6462.06</v>
      </c>
    </row>
    <row r="829" spans="1:10" x14ac:dyDescent="0.35">
      <c r="A829" s="17">
        <v>44972</v>
      </c>
      <c r="B829" t="s">
        <v>20</v>
      </c>
      <c r="C829" t="s">
        <v>21</v>
      </c>
      <c r="D829" t="s">
        <v>34</v>
      </c>
      <c r="E829" t="s">
        <v>15</v>
      </c>
      <c r="F829">
        <v>1</v>
      </c>
      <c r="G829" t="s">
        <v>59</v>
      </c>
      <c r="H829">
        <v>49</v>
      </c>
      <c r="I829">
        <v>2466.0100000000002</v>
      </c>
      <c r="J829">
        <v>2466.0100000000002</v>
      </c>
    </row>
    <row r="830" spans="1:10" x14ac:dyDescent="0.35">
      <c r="A830" s="17">
        <v>45223</v>
      </c>
      <c r="B830" t="s">
        <v>8</v>
      </c>
      <c r="C830" t="s">
        <v>28</v>
      </c>
      <c r="D830" t="s">
        <v>29</v>
      </c>
      <c r="E830" t="s">
        <v>24</v>
      </c>
      <c r="F830">
        <v>19</v>
      </c>
      <c r="G830" t="s">
        <v>48</v>
      </c>
      <c r="H830">
        <v>23</v>
      </c>
      <c r="I830">
        <v>3907.56</v>
      </c>
      <c r="J830">
        <v>74243.64</v>
      </c>
    </row>
    <row r="831" spans="1:10" x14ac:dyDescent="0.35">
      <c r="A831" s="17">
        <v>45129</v>
      </c>
      <c r="B831" t="s">
        <v>20</v>
      </c>
      <c r="C831" t="s">
        <v>21</v>
      </c>
      <c r="D831" t="s">
        <v>22</v>
      </c>
      <c r="E831" t="s">
        <v>15</v>
      </c>
      <c r="F831">
        <v>5</v>
      </c>
      <c r="G831" t="s">
        <v>49</v>
      </c>
      <c r="H831">
        <v>31</v>
      </c>
      <c r="I831">
        <v>2463.9499999999998</v>
      </c>
      <c r="J831">
        <v>12319.75</v>
      </c>
    </row>
    <row r="832" spans="1:10" x14ac:dyDescent="0.35">
      <c r="A832" s="17">
        <v>44933</v>
      </c>
      <c r="B832" t="s">
        <v>12</v>
      </c>
      <c r="C832" t="s">
        <v>13</v>
      </c>
      <c r="D832" t="s">
        <v>14</v>
      </c>
      <c r="E832" t="s">
        <v>11</v>
      </c>
      <c r="F832">
        <v>7</v>
      </c>
      <c r="G832" t="s">
        <v>50</v>
      </c>
      <c r="H832">
        <v>24</v>
      </c>
      <c r="I832">
        <v>410.28</v>
      </c>
      <c r="J832">
        <v>2871.96</v>
      </c>
    </row>
    <row r="833" spans="1:10" x14ac:dyDescent="0.35">
      <c r="A833" s="17">
        <v>45069</v>
      </c>
      <c r="B833" t="s">
        <v>8</v>
      </c>
      <c r="C833" t="s">
        <v>28</v>
      </c>
      <c r="D833" t="s">
        <v>30</v>
      </c>
      <c r="E833" t="s">
        <v>18</v>
      </c>
      <c r="F833">
        <v>16</v>
      </c>
      <c r="G833" t="s">
        <v>51</v>
      </c>
      <c r="H833">
        <v>44</v>
      </c>
      <c r="I833">
        <v>704.88</v>
      </c>
      <c r="J833">
        <v>11278.08</v>
      </c>
    </row>
    <row r="834" spans="1:10" x14ac:dyDescent="0.35">
      <c r="A834" s="17">
        <v>44932</v>
      </c>
      <c r="B834" t="s">
        <v>12</v>
      </c>
      <c r="C834" t="s">
        <v>16</v>
      </c>
      <c r="D834" t="s">
        <v>17</v>
      </c>
      <c r="E834" t="s">
        <v>18</v>
      </c>
      <c r="F834">
        <v>2</v>
      </c>
      <c r="G834" t="s">
        <v>52</v>
      </c>
      <c r="H834">
        <v>48</v>
      </c>
      <c r="I834">
        <v>779.35</v>
      </c>
      <c r="J834">
        <v>1558.7</v>
      </c>
    </row>
    <row r="835" spans="1:10" x14ac:dyDescent="0.35">
      <c r="A835" s="17">
        <v>45135</v>
      </c>
      <c r="B835" t="s">
        <v>20</v>
      </c>
      <c r="C835" t="s">
        <v>21</v>
      </c>
      <c r="D835" t="s">
        <v>35</v>
      </c>
      <c r="E835" t="s">
        <v>15</v>
      </c>
      <c r="F835">
        <v>18</v>
      </c>
      <c r="G835" t="s">
        <v>53</v>
      </c>
      <c r="H835">
        <v>49</v>
      </c>
      <c r="I835">
        <v>276.35000000000002</v>
      </c>
      <c r="J835">
        <v>4974.3</v>
      </c>
    </row>
    <row r="836" spans="1:10" x14ac:dyDescent="0.35">
      <c r="A836" s="17">
        <v>44980</v>
      </c>
      <c r="B836" t="s">
        <v>12</v>
      </c>
      <c r="C836" t="s">
        <v>13</v>
      </c>
      <c r="D836" t="s">
        <v>26</v>
      </c>
      <c r="E836" t="s">
        <v>18</v>
      </c>
      <c r="F836">
        <v>12</v>
      </c>
      <c r="G836" t="s">
        <v>54</v>
      </c>
      <c r="H836">
        <v>53</v>
      </c>
      <c r="I836">
        <v>4964.87</v>
      </c>
      <c r="J836">
        <v>59578.44</v>
      </c>
    </row>
    <row r="837" spans="1:10" x14ac:dyDescent="0.35">
      <c r="A837" s="17">
        <v>45092</v>
      </c>
      <c r="B837" t="s">
        <v>8</v>
      </c>
      <c r="C837" t="s">
        <v>28</v>
      </c>
      <c r="D837" t="s">
        <v>30</v>
      </c>
      <c r="E837" t="s">
        <v>18</v>
      </c>
      <c r="F837">
        <v>10</v>
      </c>
      <c r="G837" t="s">
        <v>55</v>
      </c>
      <c r="H837">
        <v>30</v>
      </c>
      <c r="I837">
        <v>1979.32</v>
      </c>
      <c r="J837">
        <v>19793.2</v>
      </c>
    </row>
    <row r="838" spans="1:10" x14ac:dyDescent="0.35">
      <c r="A838" s="17">
        <v>45174</v>
      </c>
      <c r="B838" t="s">
        <v>8</v>
      </c>
      <c r="C838" t="s">
        <v>28</v>
      </c>
      <c r="D838" t="s">
        <v>30</v>
      </c>
      <c r="E838" t="s">
        <v>24</v>
      </c>
      <c r="F838">
        <v>7</v>
      </c>
      <c r="G838" t="s">
        <v>56</v>
      </c>
      <c r="H838">
        <v>19</v>
      </c>
      <c r="I838">
        <v>978.46</v>
      </c>
      <c r="J838">
        <v>6849.22</v>
      </c>
    </row>
    <row r="839" spans="1:10" x14ac:dyDescent="0.35">
      <c r="A839" s="17">
        <v>45082</v>
      </c>
      <c r="B839" t="s">
        <v>20</v>
      </c>
      <c r="C839" t="s">
        <v>21</v>
      </c>
      <c r="D839" t="s">
        <v>34</v>
      </c>
      <c r="E839" t="s">
        <v>27</v>
      </c>
      <c r="F839">
        <v>1</v>
      </c>
      <c r="G839" t="s">
        <v>57</v>
      </c>
      <c r="H839">
        <v>43</v>
      </c>
      <c r="I839">
        <v>1591.88</v>
      </c>
      <c r="J839">
        <v>1591.88</v>
      </c>
    </row>
    <row r="840" spans="1:10" x14ac:dyDescent="0.35">
      <c r="A840" s="17">
        <v>44986</v>
      </c>
      <c r="B840" t="s">
        <v>12</v>
      </c>
      <c r="C840" t="s">
        <v>16</v>
      </c>
      <c r="D840" t="s">
        <v>25</v>
      </c>
      <c r="E840" t="s">
        <v>18</v>
      </c>
      <c r="F840">
        <v>12</v>
      </c>
      <c r="G840" t="s">
        <v>58</v>
      </c>
      <c r="H840">
        <v>27</v>
      </c>
      <c r="I840">
        <v>4403.8500000000004</v>
      </c>
      <c r="J840">
        <v>52846.2</v>
      </c>
    </row>
    <row r="841" spans="1:10" x14ac:dyDescent="0.35">
      <c r="A841" s="17">
        <v>44977</v>
      </c>
      <c r="B841" t="s">
        <v>12</v>
      </c>
      <c r="C841" t="s">
        <v>16</v>
      </c>
      <c r="D841" t="s">
        <v>19</v>
      </c>
      <c r="E841" t="s">
        <v>15</v>
      </c>
      <c r="F841">
        <v>8</v>
      </c>
      <c r="G841" t="s">
        <v>59</v>
      </c>
      <c r="H841">
        <v>17</v>
      </c>
      <c r="I841">
        <v>1481.04</v>
      </c>
      <c r="J841">
        <v>11848.32</v>
      </c>
    </row>
    <row r="842" spans="1:10" x14ac:dyDescent="0.35">
      <c r="A842" s="17">
        <v>45109</v>
      </c>
      <c r="B842" t="s">
        <v>12</v>
      </c>
      <c r="C842" t="s">
        <v>13</v>
      </c>
      <c r="D842" t="s">
        <v>26</v>
      </c>
      <c r="E842" t="s">
        <v>24</v>
      </c>
      <c r="F842">
        <v>20</v>
      </c>
      <c r="G842" t="s">
        <v>48</v>
      </c>
      <c r="H842">
        <v>39</v>
      </c>
      <c r="I842">
        <v>722.13</v>
      </c>
      <c r="J842">
        <v>14442.6</v>
      </c>
    </row>
    <row r="843" spans="1:10" x14ac:dyDescent="0.35">
      <c r="A843" s="17">
        <v>44963</v>
      </c>
      <c r="B843" t="s">
        <v>20</v>
      </c>
      <c r="C843" t="s">
        <v>21</v>
      </c>
      <c r="D843" t="s">
        <v>34</v>
      </c>
      <c r="E843" t="s">
        <v>15</v>
      </c>
      <c r="F843">
        <v>6</v>
      </c>
      <c r="G843" t="s">
        <v>49</v>
      </c>
      <c r="H843">
        <v>26</v>
      </c>
      <c r="I843">
        <v>2772.51</v>
      </c>
      <c r="J843">
        <v>16635.060000000001</v>
      </c>
    </row>
    <row r="844" spans="1:10" x14ac:dyDescent="0.35">
      <c r="A844" s="17">
        <v>45075</v>
      </c>
      <c r="B844" t="s">
        <v>12</v>
      </c>
      <c r="C844" t="s">
        <v>13</v>
      </c>
      <c r="D844" t="s">
        <v>33</v>
      </c>
      <c r="E844" t="s">
        <v>24</v>
      </c>
      <c r="F844">
        <v>4</v>
      </c>
      <c r="G844" t="s">
        <v>50</v>
      </c>
      <c r="H844">
        <v>16</v>
      </c>
      <c r="I844">
        <v>1993.97</v>
      </c>
      <c r="J844">
        <v>7975.88</v>
      </c>
    </row>
    <row r="845" spans="1:10" x14ac:dyDescent="0.35">
      <c r="A845" s="17">
        <v>44960</v>
      </c>
      <c r="B845" t="s">
        <v>8</v>
      </c>
      <c r="C845" t="s">
        <v>28</v>
      </c>
      <c r="D845" t="s">
        <v>29</v>
      </c>
      <c r="E845" t="s">
        <v>24</v>
      </c>
      <c r="F845">
        <v>4</v>
      </c>
      <c r="G845" t="s">
        <v>51</v>
      </c>
      <c r="H845">
        <v>25</v>
      </c>
      <c r="I845">
        <v>2514.88</v>
      </c>
      <c r="J845">
        <v>10059.52</v>
      </c>
    </row>
    <row r="846" spans="1:10" x14ac:dyDescent="0.35">
      <c r="A846" s="17">
        <v>45133</v>
      </c>
      <c r="B846" t="s">
        <v>8</v>
      </c>
      <c r="C846" t="s">
        <v>28</v>
      </c>
      <c r="D846" t="s">
        <v>32</v>
      </c>
      <c r="E846" t="s">
        <v>24</v>
      </c>
      <c r="F846">
        <v>15</v>
      </c>
      <c r="G846" t="s">
        <v>52</v>
      </c>
      <c r="H846">
        <v>33</v>
      </c>
      <c r="I846">
        <v>2006.04</v>
      </c>
      <c r="J846">
        <v>30090.6</v>
      </c>
    </row>
    <row r="847" spans="1:10" x14ac:dyDescent="0.35">
      <c r="A847" s="17">
        <v>45128</v>
      </c>
      <c r="B847" t="s">
        <v>8</v>
      </c>
      <c r="C847" t="s">
        <v>9</v>
      </c>
      <c r="D847" t="s">
        <v>23</v>
      </c>
      <c r="E847" t="s">
        <v>15</v>
      </c>
      <c r="F847">
        <v>16</v>
      </c>
      <c r="G847" t="s">
        <v>53</v>
      </c>
      <c r="H847">
        <v>28</v>
      </c>
      <c r="I847">
        <v>4780.7700000000004</v>
      </c>
      <c r="J847">
        <v>76492.320000000007</v>
      </c>
    </row>
    <row r="848" spans="1:10" x14ac:dyDescent="0.35">
      <c r="A848" s="17">
        <v>44980</v>
      </c>
      <c r="B848" t="s">
        <v>8</v>
      </c>
      <c r="C848" t="s">
        <v>28</v>
      </c>
      <c r="D848" t="s">
        <v>32</v>
      </c>
      <c r="E848" t="s">
        <v>18</v>
      </c>
      <c r="F848">
        <v>19</v>
      </c>
      <c r="G848" t="s">
        <v>54</v>
      </c>
      <c r="H848">
        <v>20</v>
      </c>
      <c r="I848">
        <v>1067.6199999999999</v>
      </c>
      <c r="J848">
        <v>20284.78</v>
      </c>
    </row>
    <row r="849" spans="1:10" x14ac:dyDescent="0.35">
      <c r="A849" s="17">
        <v>45168</v>
      </c>
      <c r="B849" t="s">
        <v>12</v>
      </c>
      <c r="C849" t="s">
        <v>16</v>
      </c>
      <c r="D849" t="s">
        <v>19</v>
      </c>
      <c r="E849" t="s">
        <v>24</v>
      </c>
      <c r="F849">
        <v>3</v>
      </c>
      <c r="G849" t="s">
        <v>55</v>
      </c>
      <c r="H849">
        <v>50</v>
      </c>
      <c r="I849">
        <v>4363.3</v>
      </c>
      <c r="J849">
        <v>13089.9</v>
      </c>
    </row>
    <row r="850" spans="1:10" x14ac:dyDescent="0.35">
      <c r="A850" s="17">
        <v>45242</v>
      </c>
      <c r="B850" t="s">
        <v>8</v>
      </c>
      <c r="C850" t="s">
        <v>9</v>
      </c>
      <c r="D850" t="s">
        <v>10</v>
      </c>
      <c r="E850" t="s">
        <v>11</v>
      </c>
      <c r="F850">
        <v>14</v>
      </c>
      <c r="G850" t="s">
        <v>56</v>
      </c>
      <c r="H850">
        <v>24</v>
      </c>
      <c r="I850">
        <v>492.06</v>
      </c>
      <c r="J850">
        <v>6888.84</v>
      </c>
    </row>
    <row r="851" spans="1:10" x14ac:dyDescent="0.35">
      <c r="A851" s="17">
        <v>45170</v>
      </c>
      <c r="B851" t="s">
        <v>8</v>
      </c>
      <c r="C851" t="s">
        <v>28</v>
      </c>
      <c r="D851" t="s">
        <v>30</v>
      </c>
      <c r="E851" t="s">
        <v>18</v>
      </c>
      <c r="F851">
        <v>19</v>
      </c>
      <c r="G851" t="s">
        <v>57</v>
      </c>
      <c r="H851">
        <v>25</v>
      </c>
      <c r="I851">
        <v>3326.91</v>
      </c>
      <c r="J851">
        <v>63211.29</v>
      </c>
    </row>
    <row r="852" spans="1:10" x14ac:dyDescent="0.35">
      <c r="A852" s="17">
        <v>45223</v>
      </c>
      <c r="B852" t="s">
        <v>12</v>
      </c>
      <c r="C852" t="s">
        <v>13</v>
      </c>
      <c r="D852" t="s">
        <v>33</v>
      </c>
      <c r="E852" t="s">
        <v>18</v>
      </c>
      <c r="F852">
        <v>11</v>
      </c>
      <c r="G852" t="s">
        <v>58</v>
      </c>
      <c r="H852">
        <v>20</v>
      </c>
      <c r="I852">
        <v>841.99</v>
      </c>
      <c r="J852">
        <v>9261.89</v>
      </c>
    </row>
    <row r="853" spans="1:10" x14ac:dyDescent="0.35">
      <c r="A853" s="17">
        <v>45242</v>
      </c>
      <c r="B853" t="s">
        <v>8</v>
      </c>
      <c r="C853" t="s">
        <v>9</v>
      </c>
      <c r="D853" t="s">
        <v>10</v>
      </c>
      <c r="E853" t="s">
        <v>27</v>
      </c>
      <c r="F853">
        <v>7</v>
      </c>
      <c r="G853" t="s">
        <v>59</v>
      </c>
      <c r="H853">
        <v>37</v>
      </c>
      <c r="I853">
        <v>1458</v>
      </c>
      <c r="J853">
        <v>10206</v>
      </c>
    </row>
    <row r="854" spans="1:10" x14ac:dyDescent="0.35">
      <c r="A854" s="17">
        <v>45167</v>
      </c>
      <c r="B854" t="s">
        <v>8</v>
      </c>
      <c r="C854" t="s">
        <v>9</v>
      </c>
      <c r="D854" t="s">
        <v>23</v>
      </c>
      <c r="E854" t="s">
        <v>18</v>
      </c>
      <c r="F854">
        <v>5</v>
      </c>
      <c r="G854" t="s">
        <v>48</v>
      </c>
      <c r="H854">
        <v>37</v>
      </c>
      <c r="I854">
        <v>3342.48</v>
      </c>
      <c r="J854">
        <v>16712.400000000001</v>
      </c>
    </row>
    <row r="855" spans="1:10" x14ac:dyDescent="0.35">
      <c r="A855" s="17">
        <v>44995</v>
      </c>
      <c r="B855" t="s">
        <v>12</v>
      </c>
      <c r="C855" t="s">
        <v>13</v>
      </c>
      <c r="D855" t="s">
        <v>33</v>
      </c>
      <c r="E855" t="s">
        <v>11</v>
      </c>
      <c r="F855">
        <v>5</v>
      </c>
      <c r="G855" t="s">
        <v>49</v>
      </c>
      <c r="H855">
        <v>16</v>
      </c>
      <c r="I855">
        <v>4300.7</v>
      </c>
      <c r="J855">
        <v>21503.5</v>
      </c>
    </row>
    <row r="856" spans="1:10" x14ac:dyDescent="0.35">
      <c r="A856" s="17">
        <v>45052</v>
      </c>
      <c r="B856" t="s">
        <v>20</v>
      </c>
      <c r="C856" t="s">
        <v>21</v>
      </c>
      <c r="D856" t="s">
        <v>22</v>
      </c>
      <c r="E856" t="s">
        <v>11</v>
      </c>
      <c r="F856">
        <v>18</v>
      </c>
      <c r="G856" t="s">
        <v>50</v>
      </c>
      <c r="H856">
        <v>47</v>
      </c>
      <c r="I856">
        <v>4861.3100000000004</v>
      </c>
      <c r="J856">
        <v>87503.58</v>
      </c>
    </row>
    <row r="857" spans="1:10" x14ac:dyDescent="0.35">
      <c r="A857" s="17">
        <v>45238</v>
      </c>
      <c r="B857" t="s">
        <v>20</v>
      </c>
      <c r="C857" t="s">
        <v>21</v>
      </c>
      <c r="D857" t="s">
        <v>22</v>
      </c>
      <c r="E857" t="s">
        <v>27</v>
      </c>
      <c r="F857">
        <v>17</v>
      </c>
      <c r="G857" t="s">
        <v>51</v>
      </c>
      <c r="H857">
        <v>52</v>
      </c>
      <c r="I857">
        <v>2216.38</v>
      </c>
      <c r="J857">
        <v>37678.46</v>
      </c>
    </row>
    <row r="858" spans="1:10" x14ac:dyDescent="0.35">
      <c r="A858" s="17">
        <v>45168</v>
      </c>
      <c r="B858" t="s">
        <v>20</v>
      </c>
      <c r="C858" t="s">
        <v>21</v>
      </c>
      <c r="D858" t="s">
        <v>22</v>
      </c>
      <c r="E858" t="s">
        <v>18</v>
      </c>
      <c r="F858">
        <v>18</v>
      </c>
      <c r="G858" t="s">
        <v>52</v>
      </c>
      <c r="H858">
        <v>37</v>
      </c>
      <c r="I858">
        <v>448.42</v>
      </c>
      <c r="J858">
        <v>8071.56</v>
      </c>
    </row>
    <row r="859" spans="1:10" x14ac:dyDescent="0.35">
      <c r="A859" s="17">
        <v>45258</v>
      </c>
      <c r="B859" t="s">
        <v>8</v>
      </c>
      <c r="C859" t="s">
        <v>9</v>
      </c>
      <c r="D859" t="s">
        <v>31</v>
      </c>
      <c r="E859" t="s">
        <v>18</v>
      </c>
      <c r="F859">
        <v>20</v>
      </c>
      <c r="G859" t="s">
        <v>53</v>
      </c>
      <c r="H859">
        <v>25</v>
      </c>
      <c r="I859">
        <v>4226.93</v>
      </c>
      <c r="J859">
        <v>84538.6</v>
      </c>
    </row>
    <row r="860" spans="1:10" x14ac:dyDescent="0.35">
      <c r="A860" s="17">
        <v>45131</v>
      </c>
      <c r="B860" t="s">
        <v>8</v>
      </c>
      <c r="C860" t="s">
        <v>9</v>
      </c>
      <c r="D860" t="s">
        <v>31</v>
      </c>
      <c r="E860" t="s">
        <v>18</v>
      </c>
      <c r="F860">
        <v>16</v>
      </c>
      <c r="G860" t="s">
        <v>54</v>
      </c>
      <c r="H860">
        <v>28</v>
      </c>
      <c r="I860">
        <v>1575.89</v>
      </c>
      <c r="J860">
        <v>25214.240000000002</v>
      </c>
    </row>
    <row r="861" spans="1:10" x14ac:dyDescent="0.35">
      <c r="A861" s="17">
        <v>45025</v>
      </c>
      <c r="B861" t="s">
        <v>12</v>
      </c>
      <c r="C861" t="s">
        <v>13</v>
      </c>
      <c r="D861" t="s">
        <v>33</v>
      </c>
      <c r="E861" t="s">
        <v>11</v>
      </c>
      <c r="F861">
        <v>8</v>
      </c>
      <c r="G861" t="s">
        <v>55</v>
      </c>
      <c r="H861">
        <v>41</v>
      </c>
      <c r="I861">
        <v>1968.58</v>
      </c>
      <c r="J861">
        <v>15748.64</v>
      </c>
    </row>
    <row r="862" spans="1:10" x14ac:dyDescent="0.35">
      <c r="A862" s="17">
        <v>45183</v>
      </c>
      <c r="B862" t="s">
        <v>8</v>
      </c>
      <c r="C862" t="s">
        <v>28</v>
      </c>
      <c r="D862" t="s">
        <v>29</v>
      </c>
      <c r="E862" t="s">
        <v>18</v>
      </c>
      <c r="F862">
        <v>4</v>
      </c>
      <c r="G862" t="s">
        <v>56</v>
      </c>
      <c r="H862">
        <v>39</v>
      </c>
      <c r="I862">
        <v>3377.27</v>
      </c>
      <c r="J862">
        <v>13509.08</v>
      </c>
    </row>
    <row r="863" spans="1:10" x14ac:dyDescent="0.35">
      <c r="A863" s="17">
        <v>44979</v>
      </c>
      <c r="B863" t="s">
        <v>12</v>
      </c>
      <c r="C863" t="s">
        <v>13</v>
      </c>
      <c r="D863" t="s">
        <v>33</v>
      </c>
      <c r="E863" t="s">
        <v>11</v>
      </c>
      <c r="F863">
        <v>2</v>
      </c>
      <c r="G863" t="s">
        <v>57</v>
      </c>
      <c r="H863">
        <v>18</v>
      </c>
      <c r="I863">
        <v>296.52999999999997</v>
      </c>
      <c r="J863">
        <v>593.05999999999995</v>
      </c>
    </row>
    <row r="864" spans="1:10" x14ac:dyDescent="0.35">
      <c r="A864" s="17">
        <v>45257</v>
      </c>
      <c r="B864" t="s">
        <v>8</v>
      </c>
      <c r="C864" t="s">
        <v>28</v>
      </c>
      <c r="D864" t="s">
        <v>30</v>
      </c>
      <c r="E864" t="s">
        <v>15</v>
      </c>
      <c r="F864">
        <v>12</v>
      </c>
      <c r="G864" t="s">
        <v>58</v>
      </c>
      <c r="H864">
        <v>19</v>
      </c>
      <c r="I864">
        <v>749.68</v>
      </c>
      <c r="J864">
        <v>8996.16</v>
      </c>
    </row>
    <row r="865" spans="1:10" x14ac:dyDescent="0.35">
      <c r="A865" s="17">
        <v>44988</v>
      </c>
      <c r="B865" t="s">
        <v>8</v>
      </c>
      <c r="C865" t="s">
        <v>9</v>
      </c>
      <c r="D865" t="s">
        <v>23</v>
      </c>
      <c r="E865" t="s">
        <v>27</v>
      </c>
      <c r="F865">
        <v>11</v>
      </c>
      <c r="G865" t="s">
        <v>59</v>
      </c>
      <c r="H865">
        <v>19</v>
      </c>
      <c r="I865">
        <v>3584.06</v>
      </c>
      <c r="J865">
        <v>39424.660000000003</v>
      </c>
    </row>
    <row r="866" spans="1:10" x14ac:dyDescent="0.35">
      <c r="A866" s="17">
        <v>45232</v>
      </c>
      <c r="B866" t="s">
        <v>8</v>
      </c>
      <c r="C866" t="s">
        <v>9</v>
      </c>
      <c r="D866" t="s">
        <v>23</v>
      </c>
      <c r="E866" t="s">
        <v>18</v>
      </c>
      <c r="F866">
        <v>15</v>
      </c>
      <c r="G866" t="s">
        <v>48</v>
      </c>
      <c r="H866">
        <v>52</v>
      </c>
      <c r="I866">
        <v>2869.14</v>
      </c>
      <c r="J866">
        <v>43037.1</v>
      </c>
    </row>
    <row r="867" spans="1:10" x14ac:dyDescent="0.35">
      <c r="A867" s="17">
        <v>44961</v>
      </c>
      <c r="B867" t="s">
        <v>8</v>
      </c>
      <c r="C867" t="s">
        <v>9</v>
      </c>
      <c r="D867" t="s">
        <v>10</v>
      </c>
      <c r="E867" t="s">
        <v>27</v>
      </c>
      <c r="F867">
        <v>17</v>
      </c>
      <c r="G867" t="s">
        <v>49</v>
      </c>
      <c r="H867">
        <v>42</v>
      </c>
      <c r="I867">
        <v>4100.2700000000004</v>
      </c>
      <c r="J867">
        <v>69704.59</v>
      </c>
    </row>
    <row r="868" spans="1:10" x14ac:dyDescent="0.35">
      <c r="A868" s="17">
        <v>45227</v>
      </c>
      <c r="B868" t="s">
        <v>12</v>
      </c>
      <c r="C868" t="s">
        <v>16</v>
      </c>
      <c r="D868" t="s">
        <v>17</v>
      </c>
      <c r="E868" t="s">
        <v>24</v>
      </c>
      <c r="F868">
        <v>3</v>
      </c>
      <c r="G868" t="s">
        <v>50</v>
      </c>
      <c r="H868">
        <v>38</v>
      </c>
      <c r="I868">
        <v>2756.83</v>
      </c>
      <c r="J868">
        <v>8270.49</v>
      </c>
    </row>
    <row r="869" spans="1:10" x14ac:dyDescent="0.35">
      <c r="A869" s="17">
        <v>45278</v>
      </c>
      <c r="B869" t="s">
        <v>12</v>
      </c>
      <c r="C869" t="s">
        <v>16</v>
      </c>
      <c r="D869" t="s">
        <v>19</v>
      </c>
      <c r="E869" t="s">
        <v>15</v>
      </c>
      <c r="F869">
        <v>13</v>
      </c>
      <c r="G869" t="s">
        <v>51</v>
      </c>
      <c r="H869">
        <v>21</v>
      </c>
      <c r="I869">
        <v>2829.47</v>
      </c>
      <c r="J869">
        <v>36783.11</v>
      </c>
    </row>
    <row r="870" spans="1:10" x14ac:dyDescent="0.35">
      <c r="A870" s="17">
        <v>45032</v>
      </c>
      <c r="B870" t="s">
        <v>8</v>
      </c>
      <c r="C870" t="s">
        <v>28</v>
      </c>
      <c r="D870" t="s">
        <v>30</v>
      </c>
      <c r="E870" t="s">
        <v>18</v>
      </c>
      <c r="F870">
        <v>17</v>
      </c>
      <c r="G870" t="s">
        <v>52</v>
      </c>
      <c r="H870">
        <v>21</v>
      </c>
      <c r="I870">
        <v>1340.98</v>
      </c>
      <c r="J870">
        <v>22796.66</v>
      </c>
    </row>
    <row r="871" spans="1:10" x14ac:dyDescent="0.35">
      <c r="A871" s="17">
        <v>44985</v>
      </c>
      <c r="B871" t="s">
        <v>12</v>
      </c>
      <c r="C871" t="s">
        <v>13</v>
      </c>
      <c r="D871" t="s">
        <v>14</v>
      </c>
      <c r="E871" t="s">
        <v>11</v>
      </c>
      <c r="F871">
        <v>10</v>
      </c>
      <c r="G871" t="s">
        <v>53</v>
      </c>
      <c r="H871">
        <v>45</v>
      </c>
      <c r="I871">
        <v>429.69</v>
      </c>
      <c r="J871">
        <v>4296.8999999999996</v>
      </c>
    </row>
    <row r="872" spans="1:10" x14ac:dyDescent="0.35">
      <c r="A872" s="17">
        <v>45105</v>
      </c>
      <c r="B872" t="s">
        <v>8</v>
      </c>
      <c r="C872" t="s">
        <v>9</v>
      </c>
      <c r="D872" t="s">
        <v>23</v>
      </c>
      <c r="E872" t="s">
        <v>11</v>
      </c>
      <c r="F872">
        <v>17</v>
      </c>
      <c r="G872" t="s">
        <v>54</v>
      </c>
      <c r="H872">
        <v>31</v>
      </c>
      <c r="I872">
        <v>4982.8100000000004</v>
      </c>
      <c r="J872">
        <v>84707.77</v>
      </c>
    </row>
    <row r="873" spans="1:10" x14ac:dyDescent="0.35">
      <c r="A873" s="17">
        <v>45049</v>
      </c>
      <c r="B873" t="s">
        <v>8</v>
      </c>
      <c r="C873" t="s">
        <v>9</v>
      </c>
      <c r="D873" t="s">
        <v>10</v>
      </c>
      <c r="E873" t="s">
        <v>15</v>
      </c>
      <c r="F873">
        <v>19</v>
      </c>
      <c r="G873" t="s">
        <v>55</v>
      </c>
      <c r="H873">
        <v>39</v>
      </c>
      <c r="I873">
        <v>4137.4399999999996</v>
      </c>
      <c r="J873">
        <v>78611.360000000001</v>
      </c>
    </row>
    <row r="874" spans="1:10" x14ac:dyDescent="0.35">
      <c r="A874" s="17">
        <v>45205</v>
      </c>
      <c r="B874" t="s">
        <v>20</v>
      </c>
      <c r="C874" t="s">
        <v>21</v>
      </c>
      <c r="D874" t="s">
        <v>22</v>
      </c>
      <c r="E874" t="s">
        <v>27</v>
      </c>
      <c r="F874">
        <v>4</v>
      </c>
      <c r="G874" t="s">
        <v>56</v>
      </c>
      <c r="H874">
        <v>22</v>
      </c>
      <c r="I874">
        <v>1147.06</v>
      </c>
      <c r="J874">
        <v>4588.24</v>
      </c>
    </row>
    <row r="875" spans="1:10" x14ac:dyDescent="0.35">
      <c r="A875" s="17">
        <v>44975</v>
      </c>
      <c r="B875" t="s">
        <v>12</v>
      </c>
      <c r="C875" t="s">
        <v>13</v>
      </c>
      <c r="D875" t="s">
        <v>14</v>
      </c>
      <c r="E875" t="s">
        <v>18</v>
      </c>
      <c r="F875">
        <v>15</v>
      </c>
      <c r="G875" t="s">
        <v>57</v>
      </c>
      <c r="H875">
        <v>53</v>
      </c>
      <c r="I875">
        <v>1972.75</v>
      </c>
      <c r="J875">
        <v>29591.25</v>
      </c>
    </row>
    <row r="876" spans="1:10" x14ac:dyDescent="0.35">
      <c r="A876" s="17">
        <v>45121</v>
      </c>
      <c r="B876" t="s">
        <v>20</v>
      </c>
      <c r="C876" t="s">
        <v>21</v>
      </c>
      <c r="D876" t="s">
        <v>22</v>
      </c>
      <c r="E876" t="s">
        <v>27</v>
      </c>
      <c r="F876">
        <v>16</v>
      </c>
      <c r="G876" t="s">
        <v>58</v>
      </c>
      <c r="H876">
        <v>54</v>
      </c>
      <c r="I876">
        <v>1192.3800000000001</v>
      </c>
      <c r="J876">
        <v>19078.080000000002</v>
      </c>
    </row>
    <row r="877" spans="1:10" x14ac:dyDescent="0.35">
      <c r="A877" s="17">
        <v>45113</v>
      </c>
      <c r="B877" t="s">
        <v>8</v>
      </c>
      <c r="C877" t="s">
        <v>9</v>
      </c>
      <c r="D877" t="s">
        <v>23</v>
      </c>
      <c r="E877" t="s">
        <v>11</v>
      </c>
      <c r="F877">
        <v>5</v>
      </c>
      <c r="G877" t="s">
        <v>59</v>
      </c>
      <c r="H877">
        <v>52</v>
      </c>
      <c r="I877">
        <v>2545.9299999999998</v>
      </c>
      <c r="J877">
        <v>12729.65</v>
      </c>
    </row>
    <row r="878" spans="1:10" x14ac:dyDescent="0.35">
      <c r="A878" s="17">
        <v>45074</v>
      </c>
      <c r="B878" t="s">
        <v>12</v>
      </c>
      <c r="C878" t="s">
        <v>16</v>
      </c>
      <c r="D878" t="s">
        <v>25</v>
      </c>
      <c r="E878" t="s">
        <v>27</v>
      </c>
      <c r="F878">
        <v>20</v>
      </c>
      <c r="G878" t="s">
        <v>48</v>
      </c>
      <c r="H878">
        <v>47</v>
      </c>
      <c r="I878">
        <v>2860.96</v>
      </c>
      <c r="J878">
        <v>57219.199999999997</v>
      </c>
    </row>
    <row r="879" spans="1:10" x14ac:dyDescent="0.35">
      <c r="A879" s="17">
        <v>45039</v>
      </c>
      <c r="B879" t="s">
        <v>8</v>
      </c>
      <c r="C879" t="s">
        <v>9</v>
      </c>
      <c r="D879" t="s">
        <v>10</v>
      </c>
      <c r="E879" t="s">
        <v>27</v>
      </c>
      <c r="F879">
        <v>14</v>
      </c>
      <c r="G879" t="s">
        <v>49</v>
      </c>
      <c r="H879">
        <v>31</v>
      </c>
      <c r="I879">
        <v>2775.33</v>
      </c>
      <c r="J879">
        <v>38854.620000000003</v>
      </c>
    </row>
    <row r="880" spans="1:10" x14ac:dyDescent="0.35">
      <c r="A880" s="17">
        <v>45039</v>
      </c>
      <c r="B880" t="s">
        <v>12</v>
      </c>
      <c r="C880" t="s">
        <v>13</v>
      </c>
      <c r="D880" t="s">
        <v>33</v>
      </c>
      <c r="E880" t="s">
        <v>11</v>
      </c>
      <c r="F880">
        <v>15</v>
      </c>
      <c r="G880" t="s">
        <v>50</v>
      </c>
      <c r="H880">
        <v>43</v>
      </c>
      <c r="I880">
        <v>3285.68</v>
      </c>
      <c r="J880">
        <v>49285.2</v>
      </c>
    </row>
    <row r="881" spans="1:10" x14ac:dyDescent="0.35">
      <c r="A881" s="17">
        <v>45225</v>
      </c>
      <c r="B881" t="s">
        <v>12</v>
      </c>
      <c r="C881" t="s">
        <v>13</v>
      </c>
      <c r="D881" t="s">
        <v>33</v>
      </c>
      <c r="E881" t="s">
        <v>24</v>
      </c>
      <c r="F881">
        <v>18</v>
      </c>
      <c r="G881" t="s">
        <v>51</v>
      </c>
      <c r="H881">
        <v>50</v>
      </c>
      <c r="I881">
        <v>1132.04</v>
      </c>
      <c r="J881">
        <v>20376.72</v>
      </c>
    </row>
    <row r="882" spans="1:10" x14ac:dyDescent="0.35">
      <c r="A882" s="17">
        <v>45083</v>
      </c>
      <c r="B882" t="s">
        <v>8</v>
      </c>
      <c r="C882" t="s">
        <v>9</v>
      </c>
      <c r="D882" t="s">
        <v>10</v>
      </c>
      <c r="E882" t="s">
        <v>24</v>
      </c>
      <c r="F882">
        <v>6</v>
      </c>
      <c r="G882" t="s">
        <v>52</v>
      </c>
      <c r="H882">
        <v>55</v>
      </c>
      <c r="I882">
        <v>1205.3599999999999</v>
      </c>
      <c r="J882">
        <v>7232.16</v>
      </c>
    </row>
    <row r="883" spans="1:10" x14ac:dyDescent="0.35">
      <c r="A883" s="17">
        <v>45144</v>
      </c>
      <c r="B883" t="s">
        <v>8</v>
      </c>
      <c r="C883" t="s">
        <v>28</v>
      </c>
      <c r="D883" t="s">
        <v>30</v>
      </c>
      <c r="E883" t="s">
        <v>18</v>
      </c>
      <c r="F883">
        <v>20</v>
      </c>
      <c r="G883" t="s">
        <v>53</v>
      </c>
      <c r="H883">
        <v>23</v>
      </c>
      <c r="I883">
        <v>4944.01</v>
      </c>
      <c r="J883">
        <v>98880.2</v>
      </c>
    </row>
    <row r="884" spans="1:10" x14ac:dyDescent="0.35">
      <c r="A884" s="17">
        <v>45181</v>
      </c>
      <c r="B884" t="s">
        <v>12</v>
      </c>
      <c r="C884" t="s">
        <v>13</v>
      </c>
      <c r="D884" t="s">
        <v>26</v>
      </c>
      <c r="E884" t="s">
        <v>11</v>
      </c>
      <c r="F884">
        <v>11</v>
      </c>
      <c r="G884" t="s">
        <v>54</v>
      </c>
      <c r="H884">
        <v>37</v>
      </c>
      <c r="I884">
        <v>268.13</v>
      </c>
      <c r="J884">
        <v>2949.43</v>
      </c>
    </row>
    <row r="885" spans="1:10" x14ac:dyDescent="0.35">
      <c r="A885" s="17">
        <v>45112</v>
      </c>
      <c r="B885" t="s">
        <v>20</v>
      </c>
      <c r="C885" t="s">
        <v>21</v>
      </c>
      <c r="D885" t="s">
        <v>22</v>
      </c>
      <c r="E885" t="s">
        <v>11</v>
      </c>
      <c r="F885">
        <v>14</v>
      </c>
      <c r="G885" t="s">
        <v>55</v>
      </c>
      <c r="H885">
        <v>23</v>
      </c>
      <c r="I885">
        <v>564.63</v>
      </c>
      <c r="J885">
        <v>7904.82</v>
      </c>
    </row>
    <row r="886" spans="1:10" x14ac:dyDescent="0.35">
      <c r="A886" s="17">
        <v>45090</v>
      </c>
      <c r="B886" t="s">
        <v>20</v>
      </c>
      <c r="C886" t="s">
        <v>21</v>
      </c>
      <c r="D886" t="s">
        <v>34</v>
      </c>
      <c r="E886" t="s">
        <v>18</v>
      </c>
      <c r="F886">
        <v>5</v>
      </c>
      <c r="G886" t="s">
        <v>56</v>
      </c>
      <c r="H886">
        <v>35</v>
      </c>
      <c r="I886">
        <v>1412.08</v>
      </c>
      <c r="J886">
        <v>7060.4</v>
      </c>
    </row>
    <row r="887" spans="1:10" x14ac:dyDescent="0.35">
      <c r="A887" s="17">
        <v>45074</v>
      </c>
      <c r="B887" t="s">
        <v>12</v>
      </c>
      <c r="C887" t="s">
        <v>13</v>
      </c>
      <c r="D887" t="s">
        <v>26</v>
      </c>
      <c r="E887" t="s">
        <v>24</v>
      </c>
      <c r="F887">
        <v>2</v>
      </c>
      <c r="G887" t="s">
        <v>57</v>
      </c>
      <c r="H887">
        <v>45</v>
      </c>
      <c r="I887">
        <v>4019.4</v>
      </c>
      <c r="J887">
        <v>8038.8</v>
      </c>
    </row>
    <row r="888" spans="1:10" x14ac:dyDescent="0.35">
      <c r="A888" s="17">
        <v>45104</v>
      </c>
      <c r="B888" t="s">
        <v>8</v>
      </c>
      <c r="C888" t="s">
        <v>9</v>
      </c>
      <c r="D888" t="s">
        <v>31</v>
      </c>
      <c r="E888" t="s">
        <v>15</v>
      </c>
      <c r="F888">
        <v>12</v>
      </c>
      <c r="G888" t="s">
        <v>58</v>
      </c>
      <c r="H888">
        <v>52</v>
      </c>
      <c r="I888">
        <v>3076.03</v>
      </c>
      <c r="J888">
        <v>36912.36</v>
      </c>
    </row>
    <row r="889" spans="1:10" x14ac:dyDescent="0.35">
      <c r="A889" s="17">
        <v>45008</v>
      </c>
      <c r="B889" t="s">
        <v>20</v>
      </c>
      <c r="C889" t="s">
        <v>21</v>
      </c>
      <c r="D889" t="s">
        <v>22</v>
      </c>
      <c r="E889" t="s">
        <v>15</v>
      </c>
      <c r="F889">
        <v>2</v>
      </c>
      <c r="G889" t="s">
        <v>59</v>
      </c>
      <c r="H889">
        <v>20</v>
      </c>
      <c r="I889">
        <v>233.75</v>
      </c>
      <c r="J889">
        <v>467.5</v>
      </c>
    </row>
    <row r="890" spans="1:10" x14ac:dyDescent="0.35">
      <c r="A890" s="17">
        <v>45027</v>
      </c>
      <c r="B890" t="s">
        <v>8</v>
      </c>
      <c r="C890" t="s">
        <v>9</v>
      </c>
      <c r="D890" t="s">
        <v>10</v>
      </c>
      <c r="E890" t="s">
        <v>11</v>
      </c>
      <c r="F890">
        <v>9</v>
      </c>
      <c r="G890" t="s">
        <v>48</v>
      </c>
      <c r="H890">
        <v>53</v>
      </c>
      <c r="I890">
        <v>2376.12</v>
      </c>
      <c r="J890">
        <v>21385.08</v>
      </c>
    </row>
    <row r="891" spans="1:10" x14ac:dyDescent="0.35">
      <c r="A891" s="17">
        <v>45107</v>
      </c>
      <c r="B891" t="s">
        <v>12</v>
      </c>
      <c r="C891" t="s">
        <v>13</v>
      </c>
      <c r="D891" t="s">
        <v>33</v>
      </c>
      <c r="E891" t="s">
        <v>24</v>
      </c>
      <c r="F891">
        <v>20</v>
      </c>
      <c r="G891" t="s">
        <v>49</v>
      </c>
      <c r="H891">
        <v>50</v>
      </c>
      <c r="I891">
        <v>603.49</v>
      </c>
      <c r="J891">
        <v>12069.8</v>
      </c>
    </row>
    <row r="892" spans="1:10" x14ac:dyDescent="0.35">
      <c r="A892" s="17">
        <v>45069</v>
      </c>
      <c r="B892" t="s">
        <v>12</v>
      </c>
      <c r="C892" t="s">
        <v>13</v>
      </c>
      <c r="D892" t="s">
        <v>14</v>
      </c>
      <c r="E892" t="s">
        <v>18</v>
      </c>
      <c r="F892">
        <v>15</v>
      </c>
      <c r="G892" t="s">
        <v>50</v>
      </c>
      <c r="H892">
        <v>27</v>
      </c>
      <c r="I892">
        <v>4269.32</v>
      </c>
      <c r="J892">
        <v>64039.8</v>
      </c>
    </row>
    <row r="893" spans="1:10" x14ac:dyDescent="0.35">
      <c r="A893" s="17">
        <v>45192</v>
      </c>
      <c r="B893" t="s">
        <v>8</v>
      </c>
      <c r="C893" t="s">
        <v>9</v>
      </c>
      <c r="D893" t="s">
        <v>10</v>
      </c>
      <c r="E893" t="s">
        <v>27</v>
      </c>
      <c r="F893">
        <v>6</v>
      </c>
      <c r="G893" t="s">
        <v>51</v>
      </c>
      <c r="H893">
        <v>44</v>
      </c>
      <c r="I893">
        <v>686.38</v>
      </c>
      <c r="J893">
        <v>4118.28</v>
      </c>
    </row>
    <row r="894" spans="1:10" x14ac:dyDescent="0.35">
      <c r="A894" s="17">
        <v>45108</v>
      </c>
      <c r="B894" t="s">
        <v>20</v>
      </c>
      <c r="C894" t="s">
        <v>21</v>
      </c>
      <c r="D894" t="s">
        <v>35</v>
      </c>
      <c r="E894" t="s">
        <v>24</v>
      </c>
      <c r="F894">
        <v>14</v>
      </c>
      <c r="G894" t="s">
        <v>52</v>
      </c>
      <c r="H894">
        <v>50</v>
      </c>
      <c r="I894">
        <v>2429.23</v>
      </c>
      <c r="J894">
        <v>34009.22</v>
      </c>
    </row>
    <row r="895" spans="1:10" x14ac:dyDescent="0.35">
      <c r="A895" s="17">
        <v>44960</v>
      </c>
      <c r="B895" t="s">
        <v>8</v>
      </c>
      <c r="C895" t="s">
        <v>28</v>
      </c>
      <c r="D895" t="s">
        <v>32</v>
      </c>
      <c r="E895" t="s">
        <v>18</v>
      </c>
      <c r="F895">
        <v>5</v>
      </c>
      <c r="G895" t="s">
        <v>53</v>
      </c>
      <c r="H895">
        <v>29</v>
      </c>
      <c r="I895">
        <v>3770.46</v>
      </c>
      <c r="J895">
        <v>18852.3</v>
      </c>
    </row>
    <row r="896" spans="1:10" x14ac:dyDescent="0.35">
      <c r="A896" s="17">
        <v>45278</v>
      </c>
      <c r="B896" t="s">
        <v>8</v>
      </c>
      <c r="C896" t="s">
        <v>28</v>
      </c>
      <c r="D896" t="s">
        <v>32</v>
      </c>
      <c r="E896" t="s">
        <v>11</v>
      </c>
      <c r="F896">
        <v>5</v>
      </c>
      <c r="G896" t="s">
        <v>54</v>
      </c>
      <c r="H896">
        <v>53</v>
      </c>
      <c r="I896">
        <v>2162.08</v>
      </c>
      <c r="J896">
        <v>10810.4</v>
      </c>
    </row>
    <row r="897" spans="1:10" x14ac:dyDescent="0.35">
      <c r="A897" s="17">
        <v>45128</v>
      </c>
      <c r="B897" t="s">
        <v>20</v>
      </c>
      <c r="C897" t="s">
        <v>21</v>
      </c>
      <c r="D897" t="s">
        <v>35</v>
      </c>
      <c r="E897" t="s">
        <v>18</v>
      </c>
      <c r="F897">
        <v>6</v>
      </c>
      <c r="G897" t="s">
        <v>55</v>
      </c>
      <c r="H897">
        <v>29</v>
      </c>
      <c r="I897">
        <v>1366.98</v>
      </c>
      <c r="J897">
        <v>8201.8799999999992</v>
      </c>
    </row>
    <row r="898" spans="1:10" x14ac:dyDescent="0.35">
      <c r="A898" s="17">
        <v>45186</v>
      </c>
      <c r="B898" t="s">
        <v>20</v>
      </c>
      <c r="C898" t="s">
        <v>21</v>
      </c>
      <c r="D898" t="s">
        <v>22</v>
      </c>
      <c r="E898" t="s">
        <v>15</v>
      </c>
      <c r="F898">
        <v>7</v>
      </c>
      <c r="G898" t="s">
        <v>56</v>
      </c>
      <c r="H898">
        <v>28</v>
      </c>
      <c r="I898">
        <v>3063.53</v>
      </c>
      <c r="J898">
        <v>21444.71</v>
      </c>
    </row>
    <row r="899" spans="1:10" x14ac:dyDescent="0.35">
      <c r="A899" s="17">
        <v>45010</v>
      </c>
      <c r="B899" t="s">
        <v>12</v>
      </c>
      <c r="C899" t="s">
        <v>16</v>
      </c>
      <c r="D899" t="s">
        <v>25</v>
      </c>
      <c r="E899" t="s">
        <v>18</v>
      </c>
      <c r="F899">
        <v>17</v>
      </c>
      <c r="G899" t="s">
        <v>57</v>
      </c>
      <c r="H899">
        <v>47</v>
      </c>
      <c r="I899">
        <v>578.88</v>
      </c>
      <c r="J899">
        <v>9840.9599999999991</v>
      </c>
    </row>
    <row r="900" spans="1:10" x14ac:dyDescent="0.35">
      <c r="A900" s="17">
        <v>45107</v>
      </c>
      <c r="B900" t="s">
        <v>20</v>
      </c>
      <c r="C900" t="s">
        <v>21</v>
      </c>
      <c r="D900" t="s">
        <v>35</v>
      </c>
      <c r="E900" t="s">
        <v>27</v>
      </c>
      <c r="F900">
        <v>12</v>
      </c>
      <c r="G900" t="s">
        <v>58</v>
      </c>
      <c r="H900">
        <v>36</v>
      </c>
      <c r="I900">
        <v>3981.34</v>
      </c>
      <c r="J900">
        <v>47776.08</v>
      </c>
    </row>
    <row r="901" spans="1:10" x14ac:dyDescent="0.35">
      <c r="A901" s="17">
        <v>44979</v>
      </c>
      <c r="B901" t="s">
        <v>12</v>
      </c>
      <c r="C901" t="s">
        <v>13</v>
      </c>
      <c r="D901" t="s">
        <v>14</v>
      </c>
      <c r="E901" t="s">
        <v>15</v>
      </c>
      <c r="F901">
        <v>20</v>
      </c>
      <c r="G901" t="s">
        <v>59</v>
      </c>
      <c r="H901">
        <v>47</v>
      </c>
      <c r="I901">
        <v>2750.28</v>
      </c>
      <c r="J901">
        <v>55005.599999999999</v>
      </c>
    </row>
    <row r="902" spans="1:10" x14ac:dyDescent="0.35">
      <c r="A902" s="17">
        <v>45176</v>
      </c>
      <c r="B902" t="s">
        <v>8</v>
      </c>
      <c r="C902" t="s">
        <v>9</v>
      </c>
      <c r="D902" t="s">
        <v>10</v>
      </c>
      <c r="E902" t="s">
        <v>15</v>
      </c>
      <c r="F902">
        <v>13</v>
      </c>
      <c r="G902" t="s">
        <v>48</v>
      </c>
      <c r="H902">
        <v>38</v>
      </c>
      <c r="I902">
        <v>2809.29</v>
      </c>
      <c r="J902">
        <v>36520.769999999997</v>
      </c>
    </row>
    <row r="903" spans="1:10" x14ac:dyDescent="0.35">
      <c r="A903" s="17">
        <v>44947</v>
      </c>
      <c r="B903" t="s">
        <v>12</v>
      </c>
      <c r="C903" t="s">
        <v>16</v>
      </c>
      <c r="D903" t="s">
        <v>19</v>
      </c>
      <c r="E903" t="s">
        <v>11</v>
      </c>
      <c r="F903">
        <v>14</v>
      </c>
      <c r="G903" t="s">
        <v>49</v>
      </c>
      <c r="H903">
        <v>40</v>
      </c>
      <c r="I903">
        <v>1487.12</v>
      </c>
      <c r="J903">
        <v>20819.68</v>
      </c>
    </row>
    <row r="904" spans="1:10" x14ac:dyDescent="0.35">
      <c r="A904" s="17">
        <v>45285</v>
      </c>
      <c r="B904" t="s">
        <v>12</v>
      </c>
      <c r="C904" t="s">
        <v>16</v>
      </c>
      <c r="D904" t="s">
        <v>17</v>
      </c>
      <c r="E904" t="s">
        <v>27</v>
      </c>
      <c r="F904">
        <v>18</v>
      </c>
      <c r="G904" t="s">
        <v>50</v>
      </c>
      <c r="H904">
        <v>23</v>
      </c>
      <c r="I904">
        <v>1279.4100000000001</v>
      </c>
      <c r="J904">
        <v>23029.38</v>
      </c>
    </row>
    <row r="905" spans="1:10" x14ac:dyDescent="0.35">
      <c r="A905" s="17">
        <v>44951</v>
      </c>
      <c r="B905" t="s">
        <v>8</v>
      </c>
      <c r="C905" t="s">
        <v>9</v>
      </c>
      <c r="D905" t="s">
        <v>31</v>
      </c>
      <c r="E905" t="s">
        <v>24</v>
      </c>
      <c r="F905">
        <v>2</v>
      </c>
      <c r="G905" t="s">
        <v>51</v>
      </c>
      <c r="H905">
        <v>51</v>
      </c>
      <c r="I905">
        <v>4439.5</v>
      </c>
      <c r="J905">
        <v>8879</v>
      </c>
    </row>
    <row r="906" spans="1:10" x14ac:dyDescent="0.35">
      <c r="A906" s="17">
        <v>45023</v>
      </c>
      <c r="B906" t="s">
        <v>8</v>
      </c>
      <c r="C906" t="s">
        <v>9</v>
      </c>
      <c r="D906" t="s">
        <v>10</v>
      </c>
      <c r="E906" t="s">
        <v>11</v>
      </c>
      <c r="F906">
        <v>13</v>
      </c>
      <c r="G906" t="s">
        <v>52</v>
      </c>
      <c r="H906">
        <v>53</v>
      </c>
      <c r="I906">
        <v>4850.17</v>
      </c>
      <c r="J906">
        <v>63052.21</v>
      </c>
    </row>
    <row r="907" spans="1:10" x14ac:dyDescent="0.35">
      <c r="A907" s="17">
        <v>45070</v>
      </c>
      <c r="B907" t="s">
        <v>8</v>
      </c>
      <c r="C907" t="s">
        <v>9</v>
      </c>
      <c r="D907" t="s">
        <v>23</v>
      </c>
      <c r="E907" t="s">
        <v>24</v>
      </c>
      <c r="F907">
        <v>4</v>
      </c>
      <c r="G907" t="s">
        <v>53</v>
      </c>
      <c r="H907">
        <v>43</v>
      </c>
      <c r="I907">
        <v>2792.23</v>
      </c>
      <c r="J907">
        <v>11168.92</v>
      </c>
    </row>
    <row r="908" spans="1:10" x14ac:dyDescent="0.35">
      <c r="A908" s="17">
        <v>45140</v>
      </c>
      <c r="B908" t="s">
        <v>8</v>
      </c>
      <c r="C908" t="s">
        <v>28</v>
      </c>
      <c r="D908" t="s">
        <v>29</v>
      </c>
      <c r="E908" t="s">
        <v>11</v>
      </c>
      <c r="F908">
        <v>17</v>
      </c>
      <c r="G908" t="s">
        <v>54</v>
      </c>
      <c r="H908">
        <v>42</v>
      </c>
      <c r="I908">
        <v>4953.04</v>
      </c>
      <c r="J908">
        <v>84201.68</v>
      </c>
    </row>
    <row r="909" spans="1:10" x14ac:dyDescent="0.35">
      <c r="A909" s="17">
        <v>45198</v>
      </c>
      <c r="B909" t="s">
        <v>12</v>
      </c>
      <c r="C909" t="s">
        <v>13</v>
      </c>
      <c r="D909" t="s">
        <v>14</v>
      </c>
      <c r="E909" t="s">
        <v>11</v>
      </c>
      <c r="F909">
        <v>14</v>
      </c>
      <c r="G909" t="s">
        <v>55</v>
      </c>
      <c r="H909">
        <v>18</v>
      </c>
      <c r="I909">
        <v>4192.8599999999997</v>
      </c>
      <c r="J909">
        <v>58700.04</v>
      </c>
    </row>
    <row r="910" spans="1:10" x14ac:dyDescent="0.35">
      <c r="A910" s="17">
        <v>45134</v>
      </c>
      <c r="B910" t="s">
        <v>12</v>
      </c>
      <c r="C910" t="s">
        <v>13</v>
      </c>
      <c r="D910" t="s">
        <v>33</v>
      </c>
      <c r="E910" t="s">
        <v>24</v>
      </c>
      <c r="F910">
        <v>19</v>
      </c>
      <c r="G910" t="s">
        <v>56</v>
      </c>
      <c r="H910">
        <v>23</v>
      </c>
      <c r="I910">
        <v>2848.96</v>
      </c>
      <c r="J910">
        <v>54130.239999999998</v>
      </c>
    </row>
    <row r="911" spans="1:10" x14ac:dyDescent="0.35">
      <c r="A911" s="17">
        <v>45199</v>
      </c>
      <c r="B911" t="s">
        <v>8</v>
      </c>
      <c r="C911" t="s">
        <v>9</v>
      </c>
      <c r="D911" t="s">
        <v>10</v>
      </c>
      <c r="E911" t="s">
        <v>11</v>
      </c>
      <c r="F911">
        <v>12</v>
      </c>
      <c r="G911" t="s">
        <v>57</v>
      </c>
      <c r="H911">
        <v>33</v>
      </c>
      <c r="I911">
        <v>1352.89</v>
      </c>
      <c r="J911">
        <v>16234.68</v>
      </c>
    </row>
    <row r="912" spans="1:10" x14ac:dyDescent="0.35">
      <c r="A912" s="17">
        <v>45101</v>
      </c>
      <c r="B912" t="s">
        <v>12</v>
      </c>
      <c r="C912" t="s">
        <v>16</v>
      </c>
      <c r="D912" t="s">
        <v>25</v>
      </c>
      <c r="E912" t="s">
        <v>24</v>
      </c>
      <c r="F912">
        <v>14</v>
      </c>
      <c r="G912" t="s">
        <v>58</v>
      </c>
      <c r="H912">
        <v>41</v>
      </c>
      <c r="I912">
        <v>264.60000000000002</v>
      </c>
      <c r="J912">
        <v>3704.4</v>
      </c>
    </row>
    <row r="913" spans="1:10" x14ac:dyDescent="0.35">
      <c r="A913" s="17">
        <v>45115</v>
      </c>
      <c r="B913" t="s">
        <v>12</v>
      </c>
      <c r="C913" t="s">
        <v>13</v>
      </c>
      <c r="D913" t="s">
        <v>14</v>
      </c>
      <c r="E913" t="s">
        <v>11</v>
      </c>
      <c r="F913">
        <v>17</v>
      </c>
      <c r="G913" t="s">
        <v>59</v>
      </c>
      <c r="H913">
        <v>43</v>
      </c>
      <c r="I913">
        <v>2316.09</v>
      </c>
      <c r="J913">
        <v>39373.53</v>
      </c>
    </row>
    <row r="914" spans="1:10" x14ac:dyDescent="0.35">
      <c r="A914" s="17">
        <v>45123</v>
      </c>
      <c r="B914" t="s">
        <v>8</v>
      </c>
      <c r="C914" t="s">
        <v>9</v>
      </c>
      <c r="D914" t="s">
        <v>31</v>
      </c>
      <c r="E914" t="s">
        <v>11</v>
      </c>
      <c r="F914">
        <v>8</v>
      </c>
      <c r="G914" t="s">
        <v>48</v>
      </c>
      <c r="H914">
        <v>44</v>
      </c>
      <c r="I914">
        <v>1371.28</v>
      </c>
      <c r="J914">
        <v>10970.24</v>
      </c>
    </row>
    <row r="915" spans="1:10" x14ac:dyDescent="0.35">
      <c r="A915" s="17">
        <v>44958</v>
      </c>
      <c r="B915" t="s">
        <v>20</v>
      </c>
      <c r="C915" t="s">
        <v>21</v>
      </c>
      <c r="D915" t="s">
        <v>22</v>
      </c>
      <c r="E915" t="s">
        <v>15</v>
      </c>
      <c r="F915">
        <v>10</v>
      </c>
      <c r="G915" t="s">
        <v>49</v>
      </c>
      <c r="H915">
        <v>53</v>
      </c>
      <c r="I915">
        <v>4298.32</v>
      </c>
      <c r="J915">
        <v>42983.199999999997</v>
      </c>
    </row>
    <row r="916" spans="1:10" x14ac:dyDescent="0.35">
      <c r="A916" s="17">
        <v>44989</v>
      </c>
      <c r="B916" t="s">
        <v>12</v>
      </c>
      <c r="C916" t="s">
        <v>13</v>
      </c>
      <c r="D916" t="s">
        <v>33</v>
      </c>
      <c r="E916" t="s">
        <v>15</v>
      </c>
      <c r="F916">
        <v>19</v>
      </c>
      <c r="G916" t="s">
        <v>50</v>
      </c>
      <c r="H916">
        <v>44</v>
      </c>
      <c r="I916">
        <v>636.20000000000005</v>
      </c>
      <c r="J916">
        <v>12087.8</v>
      </c>
    </row>
    <row r="917" spans="1:10" x14ac:dyDescent="0.35">
      <c r="A917" s="17">
        <v>45092</v>
      </c>
      <c r="B917" t="s">
        <v>20</v>
      </c>
      <c r="C917" t="s">
        <v>21</v>
      </c>
      <c r="D917" t="s">
        <v>22</v>
      </c>
      <c r="E917" t="s">
        <v>24</v>
      </c>
      <c r="F917">
        <v>15</v>
      </c>
      <c r="G917" t="s">
        <v>51</v>
      </c>
      <c r="H917">
        <v>16</v>
      </c>
      <c r="I917">
        <v>3218.59</v>
      </c>
      <c r="J917">
        <v>48278.85</v>
      </c>
    </row>
    <row r="918" spans="1:10" x14ac:dyDescent="0.35">
      <c r="A918" s="17">
        <v>45180</v>
      </c>
      <c r="B918" t="s">
        <v>8</v>
      </c>
      <c r="C918" t="s">
        <v>9</v>
      </c>
      <c r="D918" t="s">
        <v>31</v>
      </c>
      <c r="E918" t="s">
        <v>18</v>
      </c>
      <c r="F918">
        <v>9</v>
      </c>
      <c r="G918" t="s">
        <v>52</v>
      </c>
      <c r="H918">
        <v>24</v>
      </c>
      <c r="I918">
        <v>2660.79</v>
      </c>
      <c r="J918">
        <v>23947.11</v>
      </c>
    </row>
    <row r="919" spans="1:10" x14ac:dyDescent="0.35">
      <c r="A919" s="17">
        <v>45168</v>
      </c>
      <c r="B919" t="s">
        <v>20</v>
      </c>
      <c r="C919" t="s">
        <v>21</v>
      </c>
      <c r="D919" t="s">
        <v>22</v>
      </c>
      <c r="E919" t="s">
        <v>18</v>
      </c>
      <c r="F919">
        <v>5</v>
      </c>
      <c r="G919" t="s">
        <v>53</v>
      </c>
      <c r="H919">
        <v>30</v>
      </c>
      <c r="I919">
        <v>334.29</v>
      </c>
      <c r="J919">
        <v>1671.45</v>
      </c>
    </row>
    <row r="920" spans="1:10" x14ac:dyDescent="0.35">
      <c r="A920" s="17">
        <v>45032</v>
      </c>
      <c r="B920" t="s">
        <v>12</v>
      </c>
      <c r="C920" t="s">
        <v>16</v>
      </c>
      <c r="D920" t="s">
        <v>19</v>
      </c>
      <c r="E920" t="s">
        <v>24</v>
      </c>
      <c r="F920">
        <v>10</v>
      </c>
      <c r="G920" t="s">
        <v>54</v>
      </c>
      <c r="H920">
        <v>29</v>
      </c>
      <c r="I920">
        <v>2861.62</v>
      </c>
      <c r="J920">
        <v>28616.2</v>
      </c>
    </row>
    <row r="921" spans="1:10" x14ac:dyDescent="0.35">
      <c r="A921" s="17">
        <v>45038</v>
      </c>
      <c r="B921" t="s">
        <v>12</v>
      </c>
      <c r="C921" t="s">
        <v>16</v>
      </c>
      <c r="D921" t="s">
        <v>25</v>
      </c>
      <c r="E921" t="s">
        <v>27</v>
      </c>
      <c r="F921">
        <v>4</v>
      </c>
      <c r="G921" t="s">
        <v>55</v>
      </c>
      <c r="H921">
        <v>24</v>
      </c>
      <c r="I921">
        <v>4782.74</v>
      </c>
      <c r="J921">
        <v>19130.96</v>
      </c>
    </row>
    <row r="922" spans="1:10" x14ac:dyDescent="0.35">
      <c r="A922" s="17">
        <v>45097</v>
      </c>
      <c r="B922" t="s">
        <v>12</v>
      </c>
      <c r="C922" t="s">
        <v>16</v>
      </c>
      <c r="D922" t="s">
        <v>25</v>
      </c>
      <c r="E922" t="s">
        <v>15</v>
      </c>
      <c r="F922">
        <v>19</v>
      </c>
      <c r="G922" t="s">
        <v>56</v>
      </c>
      <c r="H922">
        <v>20</v>
      </c>
      <c r="I922">
        <v>2304.92</v>
      </c>
      <c r="J922">
        <v>43793.48</v>
      </c>
    </row>
    <row r="923" spans="1:10" x14ac:dyDescent="0.35">
      <c r="A923" s="17">
        <v>45114</v>
      </c>
      <c r="B923" t="s">
        <v>12</v>
      </c>
      <c r="C923" t="s">
        <v>16</v>
      </c>
      <c r="D923" t="s">
        <v>25</v>
      </c>
      <c r="E923" t="s">
        <v>27</v>
      </c>
      <c r="F923">
        <v>1</v>
      </c>
      <c r="G923" t="s">
        <v>57</v>
      </c>
      <c r="H923">
        <v>34</v>
      </c>
      <c r="I923">
        <v>1355.14</v>
      </c>
      <c r="J923">
        <v>1355.14</v>
      </c>
    </row>
    <row r="924" spans="1:10" x14ac:dyDescent="0.35">
      <c r="A924" s="17">
        <v>44977</v>
      </c>
      <c r="B924" t="s">
        <v>8</v>
      </c>
      <c r="C924" t="s">
        <v>9</v>
      </c>
      <c r="D924" t="s">
        <v>31</v>
      </c>
      <c r="E924" t="s">
        <v>15</v>
      </c>
      <c r="F924">
        <v>19</v>
      </c>
      <c r="G924" t="s">
        <v>58</v>
      </c>
      <c r="H924">
        <v>50</v>
      </c>
      <c r="I924">
        <v>3683.04</v>
      </c>
      <c r="J924">
        <v>69977.759999999995</v>
      </c>
    </row>
    <row r="925" spans="1:10" x14ac:dyDescent="0.35">
      <c r="A925" s="17">
        <v>45133</v>
      </c>
      <c r="B925" t="s">
        <v>12</v>
      </c>
      <c r="C925" t="s">
        <v>16</v>
      </c>
      <c r="D925" t="s">
        <v>25</v>
      </c>
      <c r="E925" t="s">
        <v>15</v>
      </c>
      <c r="F925">
        <v>5</v>
      </c>
      <c r="G925" t="s">
        <v>59</v>
      </c>
      <c r="H925">
        <v>38</v>
      </c>
      <c r="I925">
        <v>4281.1499999999996</v>
      </c>
      <c r="J925">
        <v>21405.75</v>
      </c>
    </row>
    <row r="926" spans="1:10" x14ac:dyDescent="0.35">
      <c r="A926" s="17">
        <v>45156</v>
      </c>
      <c r="B926" t="s">
        <v>12</v>
      </c>
      <c r="C926" t="s">
        <v>16</v>
      </c>
      <c r="D926" t="s">
        <v>19</v>
      </c>
      <c r="E926" t="s">
        <v>11</v>
      </c>
      <c r="F926">
        <v>3</v>
      </c>
      <c r="G926" t="s">
        <v>48</v>
      </c>
      <c r="H926">
        <v>48</v>
      </c>
      <c r="I926">
        <v>1577.9</v>
      </c>
      <c r="J926">
        <v>4733.7</v>
      </c>
    </row>
    <row r="927" spans="1:10" x14ac:dyDescent="0.35">
      <c r="A927" s="17">
        <v>44996</v>
      </c>
      <c r="B927" t="s">
        <v>12</v>
      </c>
      <c r="C927" t="s">
        <v>16</v>
      </c>
      <c r="D927" t="s">
        <v>19</v>
      </c>
      <c r="E927" t="s">
        <v>15</v>
      </c>
      <c r="F927">
        <v>19</v>
      </c>
      <c r="G927" t="s">
        <v>49</v>
      </c>
      <c r="H927">
        <v>53</v>
      </c>
      <c r="I927">
        <v>2814.94</v>
      </c>
      <c r="J927">
        <v>53483.86</v>
      </c>
    </row>
    <row r="928" spans="1:10" x14ac:dyDescent="0.35">
      <c r="A928" s="17">
        <v>45280</v>
      </c>
      <c r="B928" t="s">
        <v>12</v>
      </c>
      <c r="C928" t="s">
        <v>13</v>
      </c>
      <c r="D928" t="s">
        <v>14</v>
      </c>
      <c r="E928" t="s">
        <v>18</v>
      </c>
      <c r="F928">
        <v>13</v>
      </c>
      <c r="G928" t="s">
        <v>50</v>
      </c>
      <c r="H928">
        <v>30</v>
      </c>
      <c r="I928">
        <v>512.69000000000005</v>
      </c>
      <c r="J928">
        <v>6664.97</v>
      </c>
    </row>
    <row r="929" spans="1:10" x14ac:dyDescent="0.35">
      <c r="A929" s="17">
        <v>45024</v>
      </c>
      <c r="B929" t="s">
        <v>20</v>
      </c>
      <c r="C929" t="s">
        <v>21</v>
      </c>
      <c r="D929" t="s">
        <v>35</v>
      </c>
      <c r="E929" t="s">
        <v>18</v>
      </c>
      <c r="F929">
        <v>6</v>
      </c>
      <c r="G929" t="s">
        <v>51</v>
      </c>
      <c r="H929">
        <v>48</v>
      </c>
      <c r="I929">
        <v>4939.09</v>
      </c>
      <c r="J929">
        <v>29634.54</v>
      </c>
    </row>
    <row r="930" spans="1:10" x14ac:dyDescent="0.35">
      <c r="A930" s="17">
        <v>45003</v>
      </c>
      <c r="B930" t="s">
        <v>20</v>
      </c>
      <c r="C930" t="s">
        <v>21</v>
      </c>
      <c r="D930" t="s">
        <v>22</v>
      </c>
      <c r="E930" t="s">
        <v>15</v>
      </c>
      <c r="F930">
        <v>6</v>
      </c>
      <c r="G930" t="s">
        <v>52</v>
      </c>
      <c r="H930">
        <v>26</v>
      </c>
      <c r="I930">
        <v>4984.92</v>
      </c>
      <c r="J930">
        <v>29909.52</v>
      </c>
    </row>
    <row r="931" spans="1:10" x14ac:dyDescent="0.35">
      <c r="A931" s="17">
        <v>45198</v>
      </c>
      <c r="B931" t="s">
        <v>8</v>
      </c>
      <c r="C931" t="s">
        <v>9</v>
      </c>
      <c r="D931" t="s">
        <v>31</v>
      </c>
      <c r="E931" t="s">
        <v>11</v>
      </c>
      <c r="F931">
        <v>9</v>
      </c>
      <c r="G931" t="s">
        <v>53</v>
      </c>
      <c r="H931">
        <v>17</v>
      </c>
      <c r="I931">
        <v>1001.37</v>
      </c>
      <c r="J931">
        <v>9012.33</v>
      </c>
    </row>
    <row r="932" spans="1:10" x14ac:dyDescent="0.35">
      <c r="A932" s="17">
        <v>45016</v>
      </c>
      <c r="B932" t="s">
        <v>12</v>
      </c>
      <c r="C932" t="s">
        <v>16</v>
      </c>
      <c r="D932" t="s">
        <v>17</v>
      </c>
      <c r="E932" t="s">
        <v>15</v>
      </c>
      <c r="F932">
        <v>17</v>
      </c>
      <c r="G932" t="s">
        <v>54</v>
      </c>
      <c r="H932">
        <v>44</v>
      </c>
      <c r="I932">
        <v>4515.21</v>
      </c>
      <c r="J932">
        <v>76758.570000000007</v>
      </c>
    </row>
    <row r="933" spans="1:10" x14ac:dyDescent="0.35">
      <c r="A933" s="17">
        <v>45243</v>
      </c>
      <c r="B933" t="s">
        <v>20</v>
      </c>
      <c r="C933" t="s">
        <v>21</v>
      </c>
      <c r="D933" t="s">
        <v>34</v>
      </c>
      <c r="E933" t="s">
        <v>24</v>
      </c>
      <c r="F933">
        <v>19</v>
      </c>
      <c r="G933" t="s">
        <v>55</v>
      </c>
      <c r="H933">
        <v>27</v>
      </c>
      <c r="I933">
        <v>2532.7800000000002</v>
      </c>
      <c r="J933">
        <v>48122.82</v>
      </c>
    </row>
    <row r="934" spans="1:10" x14ac:dyDescent="0.35">
      <c r="A934" s="17">
        <v>45260</v>
      </c>
      <c r="B934" t="s">
        <v>12</v>
      </c>
      <c r="C934" t="s">
        <v>16</v>
      </c>
      <c r="D934" t="s">
        <v>19</v>
      </c>
      <c r="E934" t="s">
        <v>24</v>
      </c>
      <c r="F934">
        <v>17</v>
      </c>
      <c r="G934" t="s">
        <v>56</v>
      </c>
      <c r="H934">
        <v>16</v>
      </c>
      <c r="I934">
        <v>4890.5</v>
      </c>
      <c r="J934">
        <v>83138.5</v>
      </c>
    </row>
    <row r="935" spans="1:10" x14ac:dyDescent="0.35">
      <c r="A935" s="17">
        <v>45161</v>
      </c>
      <c r="B935" t="s">
        <v>12</v>
      </c>
      <c r="C935" t="s">
        <v>16</v>
      </c>
      <c r="D935" t="s">
        <v>19</v>
      </c>
      <c r="E935" t="s">
        <v>18</v>
      </c>
      <c r="F935">
        <v>3</v>
      </c>
      <c r="G935" t="s">
        <v>57</v>
      </c>
      <c r="H935">
        <v>35</v>
      </c>
      <c r="I935">
        <v>1076.57</v>
      </c>
      <c r="J935">
        <v>3229.71</v>
      </c>
    </row>
    <row r="936" spans="1:10" x14ac:dyDescent="0.35">
      <c r="A936" s="17">
        <v>45204</v>
      </c>
      <c r="B936" t="s">
        <v>12</v>
      </c>
      <c r="C936" t="s">
        <v>13</v>
      </c>
      <c r="D936" t="s">
        <v>33</v>
      </c>
      <c r="E936" t="s">
        <v>18</v>
      </c>
      <c r="F936">
        <v>10</v>
      </c>
      <c r="G936" t="s">
        <v>58</v>
      </c>
      <c r="H936">
        <v>28</v>
      </c>
      <c r="I936">
        <v>3540.6</v>
      </c>
      <c r="J936">
        <v>35406</v>
      </c>
    </row>
    <row r="937" spans="1:10" x14ac:dyDescent="0.35">
      <c r="A937" s="17">
        <v>44999</v>
      </c>
      <c r="B937" t="s">
        <v>8</v>
      </c>
      <c r="C937" t="s">
        <v>28</v>
      </c>
      <c r="D937" t="s">
        <v>32</v>
      </c>
      <c r="E937" t="s">
        <v>27</v>
      </c>
      <c r="F937">
        <v>13</v>
      </c>
      <c r="G937" t="s">
        <v>59</v>
      </c>
      <c r="H937">
        <v>54</v>
      </c>
      <c r="I937">
        <v>2163.4</v>
      </c>
      <c r="J937">
        <v>28124.2</v>
      </c>
    </row>
    <row r="938" spans="1:10" x14ac:dyDescent="0.35">
      <c r="A938" s="17">
        <v>45122</v>
      </c>
      <c r="B938" t="s">
        <v>8</v>
      </c>
      <c r="C938" t="s">
        <v>9</v>
      </c>
      <c r="D938" t="s">
        <v>10</v>
      </c>
      <c r="E938" t="s">
        <v>15</v>
      </c>
      <c r="F938">
        <v>20</v>
      </c>
      <c r="G938" t="s">
        <v>48</v>
      </c>
      <c r="H938">
        <v>38</v>
      </c>
      <c r="I938">
        <v>1977</v>
      </c>
      <c r="J938">
        <v>39540</v>
      </c>
    </row>
    <row r="939" spans="1:10" x14ac:dyDescent="0.35">
      <c r="A939" s="17">
        <v>45032</v>
      </c>
      <c r="B939" t="s">
        <v>20</v>
      </c>
      <c r="C939" t="s">
        <v>21</v>
      </c>
      <c r="D939" t="s">
        <v>35</v>
      </c>
      <c r="E939" t="s">
        <v>15</v>
      </c>
      <c r="F939">
        <v>2</v>
      </c>
      <c r="G939" t="s">
        <v>49</v>
      </c>
      <c r="H939">
        <v>31</v>
      </c>
      <c r="I939">
        <v>528.62</v>
      </c>
      <c r="J939">
        <v>1057.24</v>
      </c>
    </row>
    <row r="940" spans="1:10" x14ac:dyDescent="0.35">
      <c r="A940" s="17">
        <v>45000</v>
      </c>
      <c r="B940" t="s">
        <v>20</v>
      </c>
      <c r="C940" t="s">
        <v>21</v>
      </c>
      <c r="D940" t="s">
        <v>34</v>
      </c>
      <c r="E940" t="s">
        <v>11</v>
      </c>
      <c r="F940">
        <v>19</v>
      </c>
      <c r="G940" t="s">
        <v>50</v>
      </c>
      <c r="H940">
        <v>20</v>
      </c>
      <c r="I940">
        <v>1093.8900000000001</v>
      </c>
      <c r="J940">
        <v>20783.91</v>
      </c>
    </row>
    <row r="941" spans="1:10" x14ac:dyDescent="0.35">
      <c r="A941" s="17">
        <v>45145</v>
      </c>
      <c r="B941" t="s">
        <v>12</v>
      </c>
      <c r="C941" t="s">
        <v>16</v>
      </c>
      <c r="D941" t="s">
        <v>19</v>
      </c>
      <c r="E941" t="s">
        <v>11</v>
      </c>
      <c r="F941">
        <v>15</v>
      </c>
      <c r="G941" t="s">
        <v>51</v>
      </c>
      <c r="H941">
        <v>25</v>
      </c>
      <c r="I941">
        <v>3897.39</v>
      </c>
      <c r="J941">
        <v>58460.85</v>
      </c>
    </row>
    <row r="942" spans="1:10" x14ac:dyDescent="0.35">
      <c r="A942" s="17">
        <v>45181</v>
      </c>
      <c r="B942" t="s">
        <v>8</v>
      </c>
      <c r="C942" t="s">
        <v>28</v>
      </c>
      <c r="D942" t="s">
        <v>29</v>
      </c>
      <c r="E942" t="s">
        <v>24</v>
      </c>
      <c r="F942">
        <v>17</v>
      </c>
      <c r="G942" t="s">
        <v>52</v>
      </c>
      <c r="H942">
        <v>54</v>
      </c>
      <c r="I942">
        <v>3791.82</v>
      </c>
      <c r="J942">
        <v>64460.94</v>
      </c>
    </row>
    <row r="943" spans="1:10" x14ac:dyDescent="0.35">
      <c r="A943" s="17">
        <v>45011</v>
      </c>
      <c r="B943" t="s">
        <v>8</v>
      </c>
      <c r="C943" t="s">
        <v>28</v>
      </c>
      <c r="D943" t="s">
        <v>29</v>
      </c>
      <c r="E943" t="s">
        <v>24</v>
      </c>
      <c r="F943">
        <v>18</v>
      </c>
      <c r="G943" t="s">
        <v>53</v>
      </c>
      <c r="H943">
        <v>54</v>
      </c>
      <c r="I943">
        <v>1137.05</v>
      </c>
      <c r="J943">
        <v>20466.900000000001</v>
      </c>
    </row>
    <row r="944" spans="1:10" x14ac:dyDescent="0.35">
      <c r="A944" s="17">
        <v>44986</v>
      </c>
      <c r="B944" t="s">
        <v>12</v>
      </c>
      <c r="C944" t="s">
        <v>16</v>
      </c>
      <c r="D944" t="s">
        <v>25</v>
      </c>
      <c r="E944" t="s">
        <v>11</v>
      </c>
      <c r="F944">
        <v>5</v>
      </c>
      <c r="G944" t="s">
        <v>54</v>
      </c>
      <c r="H944">
        <v>17</v>
      </c>
      <c r="I944">
        <v>1192.82</v>
      </c>
      <c r="J944">
        <v>5964.1</v>
      </c>
    </row>
    <row r="945" spans="1:10" x14ac:dyDescent="0.35">
      <c r="A945" s="17">
        <v>45048</v>
      </c>
      <c r="B945" t="s">
        <v>12</v>
      </c>
      <c r="C945" t="s">
        <v>13</v>
      </c>
      <c r="D945" t="s">
        <v>14</v>
      </c>
      <c r="E945" t="s">
        <v>27</v>
      </c>
      <c r="F945">
        <v>12</v>
      </c>
      <c r="G945" t="s">
        <v>55</v>
      </c>
      <c r="H945">
        <v>46</v>
      </c>
      <c r="I945">
        <v>3358.78</v>
      </c>
      <c r="J945">
        <v>40305.360000000001</v>
      </c>
    </row>
    <row r="946" spans="1:10" x14ac:dyDescent="0.35">
      <c r="A946" s="17">
        <v>44979</v>
      </c>
      <c r="B946" t="s">
        <v>20</v>
      </c>
      <c r="C946" t="s">
        <v>21</v>
      </c>
      <c r="D946" t="s">
        <v>34</v>
      </c>
      <c r="E946" t="s">
        <v>11</v>
      </c>
      <c r="F946">
        <v>1</v>
      </c>
      <c r="G946" t="s">
        <v>56</v>
      </c>
      <c r="H946">
        <v>55</v>
      </c>
      <c r="I946">
        <v>4511.88</v>
      </c>
      <c r="J946">
        <v>4511.88</v>
      </c>
    </row>
    <row r="947" spans="1:10" x14ac:dyDescent="0.35">
      <c r="A947" s="17">
        <v>45030</v>
      </c>
      <c r="B947" t="s">
        <v>8</v>
      </c>
      <c r="C947" t="s">
        <v>9</v>
      </c>
      <c r="D947" t="s">
        <v>23</v>
      </c>
      <c r="E947" t="s">
        <v>24</v>
      </c>
      <c r="F947">
        <v>10</v>
      </c>
      <c r="G947" t="s">
        <v>57</v>
      </c>
      <c r="H947">
        <v>37</v>
      </c>
      <c r="I947">
        <v>3882.87</v>
      </c>
      <c r="J947">
        <v>38828.699999999997</v>
      </c>
    </row>
    <row r="948" spans="1:10" x14ac:dyDescent="0.35">
      <c r="A948" s="17">
        <v>45265</v>
      </c>
      <c r="B948" t="s">
        <v>8</v>
      </c>
      <c r="C948" t="s">
        <v>9</v>
      </c>
      <c r="D948" t="s">
        <v>23</v>
      </c>
      <c r="E948" t="s">
        <v>15</v>
      </c>
      <c r="F948">
        <v>4</v>
      </c>
      <c r="G948" t="s">
        <v>58</v>
      </c>
      <c r="H948">
        <v>51</v>
      </c>
      <c r="I948">
        <v>4020.65</v>
      </c>
      <c r="J948">
        <v>16082.6</v>
      </c>
    </row>
    <row r="949" spans="1:10" x14ac:dyDescent="0.35">
      <c r="A949" s="17">
        <v>45071</v>
      </c>
      <c r="B949" t="s">
        <v>12</v>
      </c>
      <c r="C949" t="s">
        <v>16</v>
      </c>
      <c r="D949" t="s">
        <v>19</v>
      </c>
      <c r="E949" t="s">
        <v>18</v>
      </c>
      <c r="F949">
        <v>4</v>
      </c>
      <c r="G949" t="s">
        <v>59</v>
      </c>
      <c r="H949">
        <v>46</v>
      </c>
      <c r="I949">
        <v>430.91</v>
      </c>
      <c r="J949">
        <v>1723.64</v>
      </c>
    </row>
    <row r="950" spans="1:10" x14ac:dyDescent="0.35">
      <c r="A950" s="17">
        <v>44935</v>
      </c>
      <c r="B950" t="s">
        <v>8</v>
      </c>
      <c r="C950" t="s">
        <v>28</v>
      </c>
      <c r="D950" t="s">
        <v>29</v>
      </c>
      <c r="E950" t="s">
        <v>11</v>
      </c>
      <c r="F950">
        <v>7</v>
      </c>
      <c r="G950" t="s">
        <v>48</v>
      </c>
      <c r="H950">
        <v>45</v>
      </c>
      <c r="I950">
        <v>4508.28</v>
      </c>
      <c r="J950">
        <v>31557.96</v>
      </c>
    </row>
    <row r="951" spans="1:10" x14ac:dyDescent="0.35">
      <c r="A951" s="17">
        <v>45044</v>
      </c>
      <c r="B951" t="s">
        <v>20</v>
      </c>
      <c r="C951" t="s">
        <v>21</v>
      </c>
      <c r="D951" t="s">
        <v>35</v>
      </c>
      <c r="E951" t="s">
        <v>18</v>
      </c>
      <c r="F951">
        <v>5</v>
      </c>
      <c r="G951" t="s">
        <v>49</v>
      </c>
      <c r="H951">
        <v>24</v>
      </c>
      <c r="I951">
        <v>438.69</v>
      </c>
      <c r="J951">
        <v>2193.4499999999998</v>
      </c>
    </row>
    <row r="952" spans="1:10" x14ac:dyDescent="0.35">
      <c r="A952" s="17">
        <v>45151</v>
      </c>
      <c r="B952" t="s">
        <v>12</v>
      </c>
      <c r="C952" t="s">
        <v>13</v>
      </c>
      <c r="D952" t="s">
        <v>14</v>
      </c>
      <c r="E952" t="s">
        <v>15</v>
      </c>
      <c r="F952">
        <v>10</v>
      </c>
      <c r="G952" t="s">
        <v>50</v>
      </c>
      <c r="H952">
        <v>50</v>
      </c>
      <c r="I952">
        <v>3439.35</v>
      </c>
      <c r="J952">
        <v>34393.5</v>
      </c>
    </row>
    <row r="953" spans="1:10" x14ac:dyDescent="0.35">
      <c r="A953" s="17">
        <v>45233</v>
      </c>
      <c r="B953" t="s">
        <v>8</v>
      </c>
      <c r="C953" t="s">
        <v>9</v>
      </c>
      <c r="D953" t="s">
        <v>10</v>
      </c>
      <c r="E953" t="s">
        <v>11</v>
      </c>
      <c r="F953">
        <v>16</v>
      </c>
      <c r="G953" t="s">
        <v>51</v>
      </c>
      <c r="H953">
        <v>41</v>
      </c>
      <c r="I953">
        <v>2563.69</v>
      </c>
      <c r="J953">
        <v>41019.040000000001</v>
      </c>
    </row>
    <row r="954" spans="1:10" x14ac:dyDescent="0.35">
      <c r="A954" s="17">
        <v>45083</v>
      </c>
      <c r="B954" t="s">
        <v>12</v>
      </c>
      <c r="C954" t="s">
        <v>13</v>
      </c>
      <c r="D954" t="s">
        <v>14</v>
      </c>
      <c r="E954" t="s">
        <v>24</v>
      </c>
      <c r="F954">
        <v>5</v>
      </c>
      <c r="G954" t="s">
        <v>52</v>
      </c>
      <c r="H954">
        <v>24</v>
      </c>
      <c r="I954">
        <v>975.39</v>
      </c>
      <c r="J954">
        <v>4876.95</v>
      </c>
    </row>
    <row r="955" spans="1:10" x14ac:dyDescent="0.35">
      <c r="A955" s="17">
        <v>45179</v>
      </c>
      <c r="B955" t="s">
        <v>8</v>
      </c>
      <c r="C955" t="s">
        <v>9</v>
      </c>
      <c r="D955" t="s">
        <v>23</v>
      </c>
      <c r="E955" t="s">
        <v>15</v>
      </c>
      <c r="F955">
        <v>7</v>
      </c>
      <c r="G955" t="s">
        <v>53</v>
      </c>
      <c r="H955">
        <v>39</v>
      </c>
      <c r="I955">
        <v>2384.5100000000002</v>
      </c>
      <c r="J955">
        <v>16691.57</v>
      </c>
    </row>
    <row r="956" spans="1:10" x14ac:dyDescent="0.35">
      <c r="A956" s="17">
        <v>45219</v>
      </c>
      <c r="B956" t="s">
        <v>8</v>
      </c>
      <c r="C956" t="s">
        <v>28</v>
      </c>
      <c r="D956" t="s">
        <v>32</v>
      </c>
      <c r="E956" t="s">
        <v>24</v>
      </c>
      <c r="F956">
        <v>20</v>
      </c>
      <c r="G956" t="s">
        <v>54</v>
      </c>
      <c r="H956">
        <v>30</v>
      </c>
      <c r="I956">
        <v>3470.23</v>
      </c>
      <c r="J956">
        <v>69404.600000000006</v>
      </c>
    </row>
    <row r="957" spans="1:10" x14ac:dyDescent="0.35">
      <c r="A957" s="17">
        <v>45038</v>
      </c>
      <c r="B957" t="s">
        <v>12</v>
      </c>
      <c r="C957" t="s">
        <v>13</v>
      </c>
      <c r="D957" t="s">
        <v>33</v>
      </c>
      <c r="E957" t="s">
        <v>15</v>
      </c>
      <c r="F957">
        <v>1</v>
      </c>
      <c r="G957" t="s">
        <v>55</v>
      </c>
      <c r="H957">
        <v>20</v>
      </c>
      <c r="I957">
        <v>3964.08</v>
      </c>
      <c r="J957">
        <v>3964.08</v>
      </c>
    </row>
    <row r="958" spans="1:10" x14ac:dyDescent="0.35">
      <c r="A958" s="17">
        <v>45203</v>
      </c>
      <c r="B958" t="s">
        <v>20</v>
      </c>
      <c r="C958" t="s">
        <v>21</v>
      </c>
      <c r="D958" t="s">
        <v>35</v>
      </c>
      <c r="E958" t="s">
        <v>18</v>
      </c>
      <c r="F958">
        <v>7</v>
      </c>
      <c r="G958" t="s">
        <v>56</v>
      </c>
      <c r="H958">
        <v>33</v>
      </c>
      <c r="I958">
        <v>2227.0700000000002</v>
      </c>
      <c r="J958">
        <v>15589.49</v>
      </c>
    </row>
    <row r="959" spans="1:10" x14ac:dyDescent="0.35">
      <c r="A959" s="17">
        <v>44992</v>
      </c>
      <c r="B959" t="s">
        <v>12</v>
      </c>
      <c r="C959" t="s">
        <v>16</v>
      </c>
      <c r="D959" t="s">
        <v>19</v>
      </c>
      <c r="E959" t="s">
        <v>15</v>
      </c>
      <c r="F959">
        <v>5</v>
      </c>
      <c r="G959" t="s">
        <v>57</v>
      </c>
      <c r="H959">
        <v>48</v>
      </c>
      <c r="I959">
        <v>1460.84</v>
      </c>
      <c r="J959">
        <v>7304.2</v>
      </c>
    </row>
    <row r="960" spans="1:10" x14ac:dyDescent="0.35">
      <c r="A960" s="17">
        <v>44931</v>
      </c>
      <c r="B960" t="s">
        <v>12</v>
      </c>
      <c r="C960" t="s">
        <v>13</v>
      </c>
      <c r="D960" t="s">
        <v>33</v>
      </c>
      <c r="E960" t="s">
        <v>24</v>
      </c>
      <c r="F960">
        <v>13</v>
      </c>
      <c r="G960" t="s">
        <v>58</v>
      </c>
      <c r="H960">
        <v>54</v>
      </c>
      <c r="I960">
        <v>914.82</v>
      </c>
      <c r="J960">
        <v>11892.66</v>
      </c>
    </row>
    <row r="961" spans="1:10" x14ac:dyDescent="0.35">
      <c r="A961" s="17">
        <v>45274</v>
      </c>
      <c r="B961" t="s">
        <v>12</v>
      </c>
      <c r="C961" t="s">
        <v>13</v>
      </c>
      <c r="D961" t="s">
        <v>26</v>
      </c>
      <c r="E961" t="s">
        <v>15</v>
      </c>
      <c r="F961">
        <v>8</v>
      </c>
      <c r="G961" t="s">
        <v>59</v>
      </c>
      <c r="H961">
        <v>19</v>
      </c>
      <c r="I961">
        <v>1794.45</v>
      </c>
      <c r="J961">
        <v>14355.6</v>
      </c>
    </row>
    <row r="962" spans="1:10" x14ac:dyDescent="0.35">
      <c r="A962" s="17">
        <v>44969</v>
      </c>
      <c r="B962" t="s">
        <v>20</v>
      </c>
      <c r="C962" t="s">
        <v>21</v>
      </c>
      <c r="D962" t="s">
        <v>34</v>
      </c>
      <c r="E962" t="s">
        <v>18</v>
      </c>
      <c r="F962">
        <v>9</v>
      </c>
      <c r="G962" t="s">
        <v>48</v>
      </c>
      <c r="H962">
        <v>21</v>
      </c>
      <c r="I962">
        <v>593.01</v>
      </c>
      <c r="J962">
        <v>5337.09</v>
      </c>
    </row>
    <row r="963" spans="1:10" x14ac:dyDescent="0.35">
      <c r="A963" s="17">
        <v>44931</v>
      </c>
      <c r="B963" t="s">
        <v>8</v>
      </c>
      <c r="C963" t="s">
        <v>28</v>
      </c>
      <c r="D963" t="s">
        <v>30</v>
      </c>
      <c r="E963" t="s">
        <v>18</v>
      </c>
      <c r="F963">
        <v>2</v>
      </c>
      <c r="G963" t="s">
        <v>49</v>
      </c>
      <c r="H963">
        <v>52</v>
      </c>
      <c r="I963">
        <v>2704.98</v>
      </c>
      <c r="J963">
        <v>5409.96</v>
      </c>
    </row>
    <row r="964" spans="1:10" x14ac:dyDescent="0.35">
      <c r="A964" s="17">
        <v>45184</v>
      </c>
      <c r="B964" t="s">
        <v>20</v>
      </c>
      <c r="C964" t="s">
        <v>21</v>
      </c>
      <c r="D964" t="s">
        <v>34</v>
      </c>
      <c r="E964" t="s">
        <v>18</v>
      </c>
      <c r="F964">
        <v>1</v>
      </c>
      <c r="G964" t="s">
        <v>50</v>
      </c>
      <c r="H964">
        <v>52</v>
      </c>
      <c r="I964">
        <v>1981.82</v>
      </c>
      <c r="J964">
        <v>1981.82</v>
      </c>
    </row>
    <row r="965" spans="1:10" x14ac:dyDescent="0.35">
      <c r="A965" s="17">
        <v>45174</v>
      </c>
      <c r="B965" t="s">
        <v>12</v>
      </c>
      <c r="C965" t="s">
        <v>16</v>
      </c>
      <c r="D965" t="s">
        <v>25</v>
      </c>
      <c r="E965" t="s">
        <v>27</v>
      </c>
      <c r="F965">
        <v>20</v>
      </c>
      <c r="G965" t="s">
        <v>51</v>
      </c>
      <c r="H965">
        <v>44</v>
      </c>
      <c r="I965">
        <v>774.07</v>
      </c>
      <c r="J965">
        <v>15481.4</v>
      </c>
    </row>
    <row r="966" spans="1:10" x14ac:dyDescent="0.35">
      <c r="A966" s="17">
        <v>45197</v>
      </c>
      <c r="B966" t="s">
        <v>12</v>
      </c>
      <c r="C966" t="s">
        <v>16</v>
      </c>
      <c r="D966" t="s">
        <v>19</v>
      </c>
      <c r="E966" t="s">
        <v>15</v>
      </c>
      <c r="F966">
        <v>11</v>
      </c>
      <c r="G966" t="s">
        <v>52</v>
      </c>
      <c r="H966">
        <v>24</v>
      </c>
      <c r="I966">
        <v>146.47</v>
      </c>
      <c r="J966">
        <v>1611.17</v>
      </c>
    </row>
    <row r="967" spans="1:10" x14ac:dyDescent="0.35">
      <c r="A967" s="17">
        <v>45136</v>
      </c>
      <c r="B967" t="s">
        <v>8</v>
      </c>
      <c r="C967" t="s">
        <v>9</v>
      </c>
      <c r="D967" t="s">
        <v>23</v>
      </c>
      <c r="E967" t="s">
        <v>15</v>
      </c>
      <c r="F967">
        <v>12</v>
      </c>
      <c r="G967" t="s">
        <v>53</v>
      </c>
      <c r="H967">
        <v>49</v>
      </c>
      <c r="I967">
        <v>283.86</v>
      </c>
      <c r="J967">
        <v>3406.32</v>
      </c>
    </row>
    <row r="968" spans="1:10" x14ac:dyDescent="0.35">
      <c r="A968" s="17">
        <v>45066</v>
      </c>
      <c r="B968" t="s">
        <v>8</v>
      </c>
      <c r="C968" t="s">
        <v>9</v>
      </c>
      <c r="D968" t="s">
        <v>10</v>
      </c>
      <c r="E968" t="s">
        <v>27</v>
      </c>
      <c r="F968">
        <v>8</v>
      </c>
      <c r="G968" t="s">
        <v>54</v>
      </c>
      <c r="H968">
        <v>46</v>
      </c>
      <c r="I968">
        <v>4576.97</v>
      </c>
      <c r="J968">
        <v>36615.760000000002</v>
      </c>
    </row>
    <row r="969" spans="1:10" x14ac:dyDescent="0.35">
      <c r="A969" s="17">
        <v>45076</v>
      </c>
      <c r="B969" t="s">
        <v>8</v>
      </c>
      <c r="C969" t="s">
        <v>9</v>
      </c>
      <c r="D969" t="s">
        <v>31</v>
      </c>
      <c r="E969" t="s">
        <v>24</v>
      </c>
      <c r="F969">
        <v>4</v>
      </c>
      <c r="G969" t="s">
        <v>55</v>
      </c>
      <c r="H969">
        <v>32</v>
      </c>
      <c r="I969">
        <v>4368.46</v>
      </c>
      <c r="J969">
        <v>17473.84</v>
      </c>
    </row>
    <row r="970" spans="1:10" x14ac:dyDescent="0.35">
      <c r="A970" s="17">
        <v>45011</v>
      </c>
      <c r="B970" t="s">
        <v>12</v>
      </c>
      <c r="C970" t="s">
        <v>13</v>
      </c>
      <c r="D970" t="s">
        <v>26</v>
      </c>
      <c r="E970" t="s">
        <v>18</v>
      </c>
      <c r="F970">
        <v>17</v>
      </c>
      <c r="G970" t="s">
        <v>56</v>
      </c>
      <c r="H970">
        <v>55</v>
      </c>
      <c r="I970">
        <v>4825.24</v>
      </c>
      <c r="J970">
        <v>82029.08</v>
      </c>
    </row>
    <row r="971" spans="1:10" x14ac:dyDescent="0.35">
      <c r="A971" s="17">
        <v>45025</v>
      </c>
      <c r="B971" t="s">
        <v>8</v>
      </c>
      <c r="C971" t="s">
        <v>28</v>
      </c>
      <c r="D971" t="s">
        <v>32</v>
      </c>
      <c r="E971" t="s">
        <v>27</v>
      </c>
      <c r="F971">
        <v>18</v>
      </c>
      <c r="G971" t="s">
        <v>57</v>
      </c>
      <c r="H971">
        <v>46</v>
      </c>
      <c r="I971">
        <v>3982.89</v>
      </c>
      <c r="J971">
        <v>71692.02</v>
      </c>
    </row>
    <row r="972" spans="1:10" x14ac:dyDescent="0.35">
      <c r="A972" s="17">
        <v>44954</v>
      </c>
      <c r="B972" t="s">
        <v>20</v>
      </c>
      <c r="C972" t="s">
        <v>21</v>
      </c>
      <c r="D972" t="s">
        <v>34</v>
      </c>
      <c r="E972" t="s">
        <v>15</v>
      </c>
      <c r="F972">
        <v>4</v>
      </c>
      <c r="G972" t="s">
        <v>58</v>
      </c>
      <c r="H972">
        <v>23</v>
      </c>
      <c r="I972">
        <v>2169.61</v>
      </c>
      <c r="J972">
        <v>8678.44</v>
      </c>
    </row>
    <row r="973" spans="1:10" x14ac:dyDescent="0.35">
      <c r="A973" s="17">
        <v>45274</v>
      </c>
      <c r="B973" t="s">
        <v>20</v>
      </c>
      <c r="C973" t="s">
        <v>21</v>
      </c>
      <c r="D973" t="s">
        <v>35</v>
      </c>
      <c r="E973" t="s">
        <v>27</v>
      </c>
      <c r="F973">
        <v>18</v>
      </c>
      <c r="G973" t="s">
        <v>59</v>
      </c>
      <c r="H973">
        <v>48</v>
      </c>
      <c r="I973">
        <v>1601.74</v>
      </c>
      <c r="J973">
        <v>28831.32</v>
      </c>
    </row>
    <row r="974" spans="1:10" x14ac:dyDescent="0.35">
      <c r="A974" s="17">
        <v>44942</v>
      </c>
      <c r="B974" t="s">
        <v>20</v>
      </c>
      <c r="C974" t="s">
        <v>21</v>
      </c>
      <c r="D974" t="s">
        <v>34</v>
      </c>
      <c r="E974" t="s">
        <v>11</v>
      </c>
      <c r="F974">
        <v>8</v>
      </c>
      <c r="G974" t="s">
        <v>48</v>
      </c>
      <c r="H974">
        <v>30</v>
      </c>
      <c r="I974">
        <v>4334.41</v>
      </c>
      <c r="J974">
        <v>34675.279999999999</v>
      </c>
    </row>
    <row r="975" spans="1:10" x14ac:dyDescent="0.35">
      <c r="A975" s="17">
        <v>45193</v>
      </c>
      <c r="B975" t="s">
        <v>12</v>
      </c>
      <c r="C975" t="s">
        <v>16</v>
      </c>
      <c r="D975" t="s">
        <v>19</v>
      </c>
      <c r="E975" t="s">
        <v>27</v>
      </c>
      <c r="F975">
        <v>17</v>
      </c>
      <c r="G975" t="s">
        <v>49</v>
      </c>
      <c r="H975">
        <v>32</v>
      </c>
      <c r="I975">
        <v>3933.92</v>
      </c>
      <c r="J975">
        <v>66876.639999999999</v>
      </c>
    </row>
    <row r="976" spans="1:10" x14ac:dyDescent="0.35">
      <c r="A976" s="17">
        <v>45019</v>
      </c>
      <c r="B976" t="s">
        <v>12</v>
      </c>
      <c r="C976" t="s">
        <v>13</v>
      </c>
      <c r="D976" t="s">
        <v>26</v>
      </c>
      <c r="E976" t="s">
        <v>18</v>
      </c>
      <c r="F976">
        <v>6</v>
      </c>
      <c r="G976" t="s">
        <v>50</v>
      </c>
      <c r="H976">
        <v>40</v>
      </c>
      <c r="I976">
        <v>3466.7</v>
      </c>
      <c r="J976">
        <v>20800.2</v>
      </c>
    </row>
    <row r="977" spans="1:10" x14ac:dyDescent="0.35">
      <c r="A977" s="17">
        <v>45000</v>
      </c>
      <c r="B977" t="s">
        <v>8</v>
      </c>
      <c r="C977" t="s">
        <v>28</v>
      </c>
      <c r="D977" t="s">
        <v>29</v>
      </c>
      <c r="E977" t="s">
        <v>27</v>
      </c>
      <c r="F977">
        <v>3</v>
      </c>
      <c r="G977" t="s">
        <v>51</v>
      </c>
      <c r="H977">
        <v>54</v>
      </c>
      <c r="I977">
        <v>4083.59</v>
      </c>
      <c r="J977">
        <v>12250.77</v>
      </c>
    </row>
    <row r="978" spans="1:10" x14ac:dyDescent="0.35">
      <c r="A978" s="17">
        <v>45071</v>
      </c>
      <c r="B978" t="s">
        <v>12</v>
      </c>
      <c r="C978" t="s">
        <v>16</v>
      </c>
      <c r="D978" t="s">
        <v>19</v>
      </c>
      <c r="E978" t="s">
        <v>11</v>
      </c>
      <c r="F978">
        <v>14</v>
      </c>
      <c r="G978" t="s">
        <v>52</v>
      </c>
      <c r="H978">
        <v>54</v>
      </c>
      <c r="I978">
        <v>1972.22</v>
      </c>
      <c r="J978">
        <v>27611.08</v>
      </c>
    </row>
    <row r="979" spans="1:10" x14ac:dyDescent="0.35">
      <c r="A979" s="17">
        <v>45281</v>
      </c>
      <c r="B979" t="s">
        <v>12</v>
      </c>
      <c r="C979" t="s">
        <v>13</v>
      </c>
      <c r="D979" t="s">
        <v>33</v>
      </c>
      <c r="E979" t="s">
        <v>24</v>
      </c>
      <c r="F979">
        <v>4</v>
      </c>
      <c r="G979" t="s">
        <v>53</v>
      </c>
      <c r="H979">
        <v>45</v>
      </c>
      <c r="I979">
        <v>722.05</v>
      </c>
      <c r="J979">
        <v>2888.2</v>
      </c>
    </row>
    <row r="980" spans="1:10" x14ac:dyDescent="0.35">
      <c r="A980" s="17">
        <v>44972</v>
      </c>
      <c r="B980" t="s">
        <v>20</v>
      </c>
      <c r="C980" t="s">
        <v>21</v>
      </c>
      <c r="D980" t="s">
        <v>34</v>
      </c>
      <c r="E980" t="s">
        <v>24</v>
      </c>
      <c r="F980">
        <v>7</v>
      </c>
      <c r="G980" t="s">
        <v>54</v>
      </c>
      <c r="H980">
        <v>47</v>
      </c>
      <c r="I980">
        <v>4803.62</v>
      </c>
      <c r="J980">
        <v>33625.339999999997</v>
      </c>
    </row>
    <row r="981" spans="1:10" x14ac:dyDescent="0.35">
      <c r="A981" s="17">
        <v>45156</v>
      </c>
      <c r="B981" t="s">
        <v>12</v>
      </c>
      <c r="C981" t="s">
        <v>16</v>
      </c>
      <c r="D981" t="s">
        <v>17</v>
      </c>
      <c r="E981" t="s">
        <v>18</v>
      </c>
      <c r="F981">
        <v>1</v>
      </c>
      <c r="G981" t="s">
        <v>55</v>
      </c>
      <c r="H981">
        <v>53</v>
      </c>
      <c r="I981">
        <v>1094.8800000000001</v>
      </c>
      <c r="J981">
        <v>1094.8800000000001</v>
      </c>
    </row>
    <row r="982" spans="1:10" x14ac:dyDescent="0.35">
      <c r="A982" s="17">
        <v>44988</v>
      </c>
      <c r="B982" t="s">
        <v>12</v>
      </c>
      <c r="C982" t="s">
        <v>16</v>
      </c>
      <c r="D982" t="s">
        <v>17</v>
      </c>
      <c r="E982" t="s">
        <v>15</v>
      </c>
      <c r="F982">
        <v>16</v>
      </c>
      <c r="G982" t="s">
        <v>56</v>
      </c>
      <c r="H982">
        <v>33</v>
      </c>
      <c r="I982">
        <v>2640.08</v>
      </c>
      <c r="J982">
        <v>42241.279999999999</v>
      </c>
    </row>
    <row r="983" spans="1:10" x14ac:dyDescent="0.35">
      <c r="A983" s="17">
        <v>45189</v>
      </c>
      <c r="B983" t="s">
        <v>12</v>
      </c>
      <c r="C983" t="s">
        <v>13</v>
      </c>
      <c r="D983" t="s">
        <v>14</v>
      </c>
      <c r="E983" t="s">
        <v>18</v>
      </c>
      <c r="F983">
        <v>15</v>
      </c>
      <c r="G983" t="s">
        <v>57</v>
      </c>
      <c r="H983">
        <v>21</v>
      </c>
      <c r="I983">
        <v>1259.1600000000001</v>
      </c>
      <c r="J983">
        <v>18887.400000000001</v>
      </c>
    </row>
    <row r="984" spans="1:10" x14ac:dyDescent="0.35">
      <c r="A984" s="17">
        <v>45214</v>
      </c>
      <c r="B984" t="s">
        <v>12</v>
      </c>
      <c r="C984" t="s">
        <v>16</v>
      </c>
      <c r="D984" t="s">
        <v>25</v>
      </c>
      <c r="E984" t="s">
        <v>18</v>
      </c>
      <c r="F984">
        <v>20</v>
      </c>
      <c r="G984" t="s">
        <v>58</v>
      </c>
      <c r="H984">
        <v>38</v>
      </c>
      <c r="I984">
        <v>2487.65</v>
      </c>
      <c r="J984">
        <v>49753</v>
      </c>
    </row>
    <row r="985" spans="1:10" x14ac:dyDescent="0.35">
      <c r="A985" s="17">
        <v>44956</v>
      </c>
      <c r="B985" t="s">
        <v>8</v>
      </c>
      <c r="C985" t="s">
        <v>28</v>
      </c>
      <c r="D985" t="s">
        <v>32</v>
      </c>
      <c r="E985" t="s">
        <v>15</v>
      </c>
      <c r="F985">
        <v>3</v>
      </c>
      <c r="G985" t="s">
        <v>59</v>
      </c>
      <c r="H985">
        <v>39</v>
      </c>
      <c r="I985">
        <v>4678.38</v>
      </c>
      <c r="J985">
        <v>14035.14</v>
      </c>
    </row>
    <row r="986" spans="1:10" x14ac:dyDescent="0.35">
      <c r="A986" s="17">
        <v>45095</v>
      </c>
      <c r="B986" t="s">
        <v>12</v>
      </c>
      <c r="C986" t="s">
        <v>16</v>
      </c>
      <c r="D986" t="s">
        <v>19</v>
      </c>
      <c r="E986" t="s">
        <v>27</v>
      </c>
      <c r="F986">
        <v>8</v>
      </c>
      <c r="G986" t="s">
        <v>48</v>
      </c>
      <c r="H986">
        <v>25</v>
      </c>
      <c r="I986">
        <v>308.68</v>
      </c>
      <c r="J986">
        <v>2469.44</v>
      </c>
    </row>
    <row r="987" spans="1:10" x14ac:dyDescent="0.35">
      <c r="A987" s="17">
        <v>45113</v>
      </c>
      <c r="B987" t="s">
        <v>8</v>
      </c>
      <c r="C987" t="s">
        <v>28</v>
      </c>
      <c r="D987" t="s">
        <v>29</v>
      </c>
      <c r="E987" t="s">
        <v>24</v>
      </c>
      <c r="F987">
        <v>19</v>
      </c>
      <c r="G987" t="s">
        <v>49</v>
      </c>
      <c r="H987">
        <v>28</v>
      </c>
      <c r="I987">
        <v>4348.7299999999996</v>
      </c>
      <c r="J987">
        <v>82625.87</v>
      </c>
    </row>
    <row r="988" spans="1:10" x14ac:dyDescent="0.35">
      <c r="A988" s="17">
        <v>45244</v>
      </c>
      <c r="B988" t="s">
        <v>8</v>
      </c>
      <c r="C988" t="s">
        <v>28</v>
      </c>
      <c r="D988" t="s">
        <v>30</v>
      </c>
      <c r="E988" t="s">
        <v>15</v>
      </c>
      <c r="F988">
        <v>8</v>
      </c>
      <c r="G988" t="s">
        <v>50</v>
      </c>
      <c r="H988">
        <v>42</v>
      </c>
      <c r="I988">
        <v>758.58</v>
      </c>
      <c r="J988">
        <v>6068.64</v>
      </c>
    </row>
    <row r="989" spans="1:10" x14ac:dyDescent="0.35">
      <c r="A989" s="17">
        <v>45084</v>
      </c>
      <c r="B989" t="s">
        <v>12</v>
      </c>
      <c r="C989" t="s">
        <v>16</v>
      </c>
      <c r="D989" t="s">
        <v>17</v>
      </c>
      <c r="E989" t="s">
        <v>15</v>
      </c>
      <c r="F989">
        <v>13</v>
      </c>
      <c r="G989" t="s">
        <v>51</v>
      </c>
      <c r="H989">
        <v>36</v>
      </c>
      <c r="I989">
        <v>857.86</v>
      </c>
      <c r="J989">
        <v>11152.18</v>
      </c>
    </row>
    <row r="990" spans="1:10" x14ac:dyDescent="0.35">
      <c r="A990" s="17">
        <v>44944</v>
      </c>
      <c r="B990" t="s">
        <v>8</v>
      </c>
      <c r="C990" t="s">
        <v>28</v>
      </c>
      <c r="D990" t="s">
        <v>30</v>
      </c>
      <c r="E990" t="s">
        <v>24</v>
      </c>
      <c r="F990">
        <v>16</v>
      </c>
      <c r="G990" t="s">
        <v>52</v>
      </c>
      <c r="H990">
        <v>25</v>
      </c>
      <c r="I990">
        <v>4614.01</v>
      </c>
      <c r="J990">
        <v>73824.160000000003</v>
      </c>
    </row>
    <row r="991" spans="1:10" x14ac:dyDescent="0.35">
      <c r="A991" s="17">
        <v>45019</v>
      </c>
      <c r="B991" t="s">
        <v>12</v>
      </c>
      <c r="C991" t="s">
        <v>13</v>
      </c>
      <c r="D991" t="s">
        <v>26</v>
      </c>
      <c r="E991" t="s">
        <v>24</v>
      </c>
      <c r="F991">
        <v>14</v>
      </c>
      <c r="G991" t="s">
        <v>53</v>
      </c>
      <c r="H991">
        <v>35</v>
      </c>
      <c r="I991">
        <v>1658.39</v>
      </c>
      <c r="J991">
        <v>23217.46</v>
      </c>
    </row>
    <row r="992" spans="1:10" x14ac:dyDescent="0.35">
      <c r="A992" s="17">
        <v>45246</v>
      </c>
      <c r="B992" t="s">
        <v>8</v>
      </c>
      <c r="C992" t="s">
        <v>9</v>
      </c>
      <c r="D992" t="s">
        <v>23</v>
      </c>
      <c r="E992" t="s">
        <v>11</v>
      </c>
      <c r="F992">
        <v>12</v>
      </c>
      <c r="G992" t="s">
        <v>54</v>
      </c>
      <c r="H992">
        <v>48</v>
      </c>
      <c r="I992">
        <v>3028.88</v>
      </c>
      <c r="J992">
        <v>36346.559999999998</v>
      </c>
    </row>
    <row r="993" spans="1:10" x14ac:dyDescent="0.35">
      <c r="A993" s="17">
        <v>45235</v>
      </c>
      <c r="B993" t="s">
        <v>20</v>
      </c>
      <c r="C993" t="s">
        <v>21</v>
      </c>
      <c r="D993" t="s">
        <v>34</v>
      </c>
      <c r="E993" t="s">
        <v>11</v>
      </c>
      <c r="F993">
        <v>7</v>
      </c>
      <c r="G993" t="s">
        <v>55</v>
      </c>
      <c r="H993">
        <v>22</v>
      </c>
      <c r="I993">
        <v>1501.06</v>
      </c>
      <c r="J993">
        <v>10507.42</v>
      </c>
    </row>
    <row r="994" spans="1:10" x14ac:dyDescent="0.35">
      <c r="A994" s="17">
        <v>44980</v>
      </c>
      <c r="B994" t="s">
        <v>20</v>
      </c>
      <c r="C994" t="s">
        <v>21</v>
      </c>
      <c r="D994" t="s">
        <v>22</v>
      </c>
      <c r="E994" t="s">
        <v>24</v>
      </c>
      <c r="F994">
        <v>5</v>
      </c>
      <c r="G994" t="s">
        <v>56</v>
      </c>
      <c r="H994">
        <v>47</v>
      </c>
      <c r="I994">
        <v>3404.87</v>
      </c>
      <c r="J994">
        <v>17024.349999999999</v>
      </c>
    </row>
    <row r="995" spans="1:10" x14ac:dyDescent="0.35">
      <c r="A995" s="17">
        <v>44963</v>
      </c>
      <c r="B995" t="s">
        <v>12</v>
      </c>
      <c r="C995" t="s">
        <v>13</v>
      </c>
      <c r="D995" t="s">
        <v>33</v>
      </c>
      <c r="E995" t="s">
        <v>11</v>
      </c>
      <c r="F995">
        <v>8</v>
      </c>
      <c r="G995" t="s">
        <v>57</v>
      </c>
      <c r="H995">
        <v>46</v>
      </c>
      <c r="I995">
        <v>2112.66</v>
      </c>
      <c r="J995">
        <v>16901.28</v>
      </c>
    </row>
    <row r="996" spans="1:10" x14ac:dyDescent="0.35">
      <c r="A996" s="17">
        <v>45231</v>
      </c>
      <c r="B996" t="s">
        <v>12</v>
      </c>
      <c r="C996" t="s">
        <v>16</v>
      </c>
      <c r="D996" t="s">
        <v>17</v>
      </c>
      <c r="E996" t="s">
        <v>15</v>
      </c>
      <c r="F996">
        <v>1</v>
      </c>
      <c r="G996" t="s">
        <v>58</v>
      </c>
      <c r="H996">
        <v>19</v>
      </c>
      <c r="I996">
        <v>1520.97</v>
      </c>
      <c r="J996">
        <v>1520.97</v>
      </c>
    </row>
    <row r="997" spans="1:10" x14ac:dyDescent="0.35">
      <c r="A997" s="17">
        <v>45240</v>
      </c>
      <c r="B997" t="s">
        <v>8</v>
      </c>
      <c r="C997" t="s">
        <v>28</v>
      </c>
      <c r="D997" t="s">
        <v>29</v>
      </c>
      <c r="E997" t="s">
        <v>24</v>
      </c>
      <c r="F997">
        <v>5</v>
      </c>
      <c r="G997" t="s">
        <v>59</v>
      </c>
      <c r="H997">
        <v>28</v>
      </c>
      <c r="I997">
        <v>172.99</v>
      </c>
      <c r="J997">
        <v>864.95</v>
      </c>
    </row>
    <row r="998" spans="1:10" x14ac:dyDescent="0.35">
      <c r="A998" s="17">
        <v>45201</v>
      </c>
      <c r="B998" t="s">
        <v>12</v>
      </c>
      <c r="C998" t="s">
        <v>13</v>
      </c>
      <c r="D998" t="s">
        <v>26</v>
      </c>
      <c r="E998" t="s">
        <v>11</v>
      </c>
      <c r="F998">
        <v>9</v>
      </c>
      <c r="G998" t="s">
        <v>48</v>
      </c>
      <c r="H998">
        <v>49</v>
      </c>
      <c r="I998">
        <v>4781.72</v>
      </c>
      <c r="J998">
        <v>43035.48</v>
      </c>
    </row>
    <row r="999" spans="1:10" x14ac:dyDescent="0.35">
      <c r="A999" s="17">
        <v>45012</v>
      </c>
      <c r="B999" t="s">
        <v>12</v>
      </c>
      <c r="C999" t="s">
        <v>13</v>
      </c>
      <c r="D999" t="s">
        <v>33</v>
      </c>
      <c r="E999" t="s">
        <v>15</v>
      </c>
      <c r="F999">
        <v>6</v>
      </c>
      <c r="G999" t="s">
        <v>49</v>
      </c>
      <c r="H999">
        <v>45</v>
      </c>
      <c r="I999">
        <v>4894.41</v>
      </c>
      <c r="J999">
        <v>29366.46</v>
      </c>
    </row>
    <row r="1000" spans="1:10" x14ac:dyDescent="0.35">
      <c r="A1000" s="17">
        <v>44987</v>
      </c>
      <c r="B1000" t="s">
        <v>8</v>
      </c>
      <c r="C1000" t="s">
        <v>28</v>
      </c>
      <c r="D1000" t="s">
        <v>29</v>
      </c>
      <c r="E1000" t="s">
        <v>18</v>
      </c>
      <c r="F1000">
        <v>19</v>
      </c>
      <c r="G1000" t="s">
        <v>50</v>
      </c>
      <c r="H1000">
        <v>44</v>
      </c>
      <c r="I1000">
        <v>1199.24</v>
      </c>
      <c r="J1000">
        <v>22785.56</v>
      </c>
    </row>
    <row r="1001" spans="1:10" x14ac:dyDescent="0.35">
      <c r="A1001" s="17">
        <v>45140</v>
      </c>
      <c r="B1001" t="s">
        <v>12</v>
      </c>
      <c r="C1001" t="s">
        <v>13</v>
      </c>
      <c r="D1001" t="s">
        <v>33</v>
      </c>
      <c r="E1001" t="s">
        <v>18</v>
      </c>
      <c r="F1001">
        <v>16</v>
      </c>
      <c r="G1001" t="s">
        <v>51</v>
      </c>
      <c r="H1001">
        <v>47</v>
      </c>
      <c r="I1001">
        <v>317.82</v>
      </c>
      <c r="J1001">
        <v>5085.12</v>
      </c>
    </row>
    <row r="1002" spans="1:10" x14ac:dyDescent="0.35">
      <c r="A1002" s="17">
        <v>45607</v>
      </c>
      <c r="B1002" t="s">
        <v>8</v>
      </c>
      <c r="C1002" t="s">
        <v>9</v>
      </c>
      <c r="D1002" t="s">
        <v>10</v>
      </c>
      <c r="E1002" t="s">
        <v>11</v>
      </c>
      <c r="F1002">
        <v>3</v>
      </c>
      <c r="G1002" t="s">
        <v>48</v>
      </c>
      <c r="H1002">
        <v>43</v>
      </c>
      <c r="I1002">
        <v>4210.7700000000004</v>
      </c>
      <c r="J1002">
        <v>12632.31</v>
      </c>
    </row>
    <row r="1003" spans="1:10" x14ac:dyDescent="0.35">
      <c r="A1003" s="17">
        <v>45608</v>
      </c>
      <c r="B1003" t="s">
        <v>12</v>
      </c>
      <c r="C1003" t="s">
        <v>13</v>
      </c>
      <c r="D1003" t="s">
        <v>14</v>
      </c>
      <c r="E1003" t="s">
        <v>15</v>
      </c>
      <c r="F1003">
        <v>19</v>
      </c>
      <c r="G1003" t="s">
        <v>75</v>
      </c>
      <c r="H1003">
        <v>47</v>
      </c>
      <c r="I1003">
        <v>2873.83</v>
      </c>
      <c r="J1003">
        <v>54602.77</v>
      </c>
    </row>
    <row r="1004" spans="1:10" x14ac:dyDescent="0.35">
      <c r="A1004" s="17">
        <v>45609</v>
      </c>
      <c r="B1004" t="s">
        <v>12</v>
      </c>
      <c r="C1004" t="s">
        <v>16</v>
      </c>
      <c r="D1004" t="s">
        <v>17</v>
      </c>
      <c r="E1004" t="s">
        <v>18</v>
      </c>
      <c r="F1004">
        <v>1</v>
      </c>
      <c r="G1004" t="s">
        <v>76</v>
      </c>
      <c r="H1004">
        <v>21</v>
      </c>
      <c r="I1004">
        <v>267.32</v>
      </c>
      <c r="J1004">
        <v>267.32</v>
      </c>
    </row>
    <row r="1005" spans="1:10" x14ac:dyDescent="0.35">
      <c r="A1005" s="17">
        <v>45610</v>
      </c>
      <c r="B1005" t="s">
        <v>12</v>
      </c>
      <c r="C1005" t="s">
        <v>16</v>
      </c>
      <c r="D1005" t="s">
        <v>19</v>
      </c>
      <c r="E1005" t="s">
        <v>11</v>
      </c>
      <c r="F1005">
        <v>9</v>
      </c>
      <c r="G1005" t="s">
        <v>77</v>
      </c>
      <c r="H1005">
        <v>41</v>
      </c>
      <c r="I1005">
        <v>1378.65</v>
      </c>
      <c r="J1005">
        <v>12407.85</v>
      </c>
    </row>
    <row r="1006" spans="1:10" x14ac:dyDescent="0.35">
      <c r="A1006" s="17">
        <v>45611</v>
      </c>
      <c r="B1006" t="s">
        <v>20</v>
      </c>
      <c r="C1006" t="s">
        <v>21</v>
      </c>
      <c r="D1006" t="s">
        <v>22</v>
      </c>
      <c r="E1006" t="s">
        <v>11</v>
      </c>
      <c r="F1006">
        <v>9</v>
      </c>
      <c r="G1006" t="s">
        <v>78</v>
      </c>
      <c r="H1006">
        <v>31</v>
      </c>
      <c r="I1006">
        <v>1161.02</v>
      </c>
      <c r="J1006">
        <v>10449.18</v>
      </c>
    </row>
    <row r="1007" spans="1:10" x14ac:dyDescent="0.35">
      <c r="A1007" s="17">
        <v>45612</v>
      </c>
      <c r="B1007" t="s">
        <v>8</v>
      </c>
      <c r="C1007" t="s">
        <v>9</v>
      </c>
      <c r="D1007" t="s">
        <v>23</v>
      </c>
      <c r="E1007" t="s">
        <v>15</v>
      </c>
      <c r="F1007">
        <v>5</v>
      </c>
      <c r="G1007" t="s">
        <v>53</v>
      </c>
      <c r="H1007">
        <v>40</v>
      </c>
      <c r="I1007">
        <v>3732.82</v>
      </c>
      <c r="J1007">
        <v>18664.099999999999</v>
      </c>
    </row>
    <row r="1008" spans="1:10" x14ac:dyDescent="0.35">
      <c r="A1008" s="17">
        <v>45613</v>
      </c>
      <c r="B1008" t="s">
        <v>20</v>
      </c>
      <c r="C1008" t="s">
        <v>21</v>
      </c>
      <c r="D1008" t="s">
        <v>22</v>
      </c>
      <c r="E1008" t="s">
        <v>24</v>
      </c>
      <c r="F1008">
        <v>4</v>
      </c>
      <c r="G1008" t="s">
        <v>48</v>
      </c>
      <c r="H1008">
        <v>28</v>
      </c>
      <c r="I1008">
        <v>961.38</v>
      </c>
      <c r="J1008">
        <v>3845.52</v>
      </c>
    </row>
    <row r="1009" spans="1:10" x14ac:dyDescent="0.35">
      <c r="A1009" s="17">
        <v>45614</v>
      </c>
      <c r="B1009" t="s">
        <v>20</v>
      </c>
      <c r="C1009" t="s">
        <v>21</v>
      </c>
      <c r="D1009" t="s">
        <v>22</v>
      </c>
      <c r="E1009" s="18" t="s">
        <v>18</v>
      </c>
      <c r="F1009">
        <v>14</v>
      </c>
      <c r="G1009" t="s">
        <v>75</v>
      </c>
      <c r="H1009">
        <v>23</v>
      </c>
      <c r="I1009">
        <v>4457.21</v>
      </c>
      <c r="J1009">
        <v>62400.94</v>
      </c>
    </row>
    <row r="1010" spans="1:10" x14ac:dyDescent="0.35">
      <c r="A1010" s="17">
        <v>45615</v>
      </c>
      <c r="B1010" t="s">
        <v>12</v>
      </c>
      <c r="C1010" t="s">
        <v>16</v>
      </c>
      <c r="D1010" t="s">
        <v>25</v>
      </c>
      <c r="E1010" t="s">
        <v>15</v>
      </c>
      <c r="F1010">
        <v>6</v>
      </c>
      <c r="G1010" t="s">
        <v>76</v>
      </c>
      <c r="H1010">
        <v>25</v>
      </c>
      <c r="I1010">
        <v>2463.6799999999998</v>
      </c>
      <c r="J1010">
        <v>14782.08</v>
      </c>
    </row>
    <row r="1011" spans="1:10" x14ac:dyDescent="0.35">
      <c r="A1011" s="17">
        <v>45616</v>
      </c>
      <c r="B1011" t="s">
        <v>12</v>
      </c>
      <c r="C1011" t="s">
        <v>13</v>
      </c>
      <c r="D1011" t="s">
        <v>26</v>
      </c>
      <c r="E1011" t="s">
        <v>18</v>
      </c>
      <c r="F1011">
        <v>13</v>
      </c>
      <c r="G1011" t="s">
        <v>77</v>
      </c>
      <c r="H1011">
        <v>31</v>
      </c>
      <c r="I1011">
        <v>4226.47</v>
      </c>
      <c r="J1011">
        <v>54944.11</v>
      </c>
    </row>
    <row r="1012" spans="1:10" x14ac:dyDescent="0.35">
      <c r="A1012" s="17">
        <v>45617</v>
      </c>
      <c r="B1012" t="s">
        <v>12</v>
      </c>
      <c r="C1012" t="s">
        <v>16</v>
      </c>
      <c r="D1012" t="s">
        <v>19</v>
      </c>
      <c r="E1012" t="s">
        <v>27</v>
      </c>
      <c r="F1012">
        <v>11</v>
      </c>
      <c r="G1012" t="s">
        <v>78</v>
      </c>
      <c r="H1012">
        <v>16</v>
      </c>
      <c r="I1012">
        <v>2852.22</v>
      </c>
      <c r="J1012">
        <v>31374.42</v>
      </c>
    </row>
    <row r="1013" spans="1:10" x14ac:dyDescent="0.35">
      <c r="A1013" s="17">
        <v>45618</v>
      </c>
      <c r="B1013" t="s">
        <v>20</v>
      </c>
      <c r="C1013" t="s">
        <v>21</v>
      </c>
      <c r="D1013" t="s">
        <v>22</v>
      </c>
      <c r="E1013" t="s">
        <v>18</v>
      </c>
      <c r="F1013">
        <v>2</v>
      </c>
      <c r="G1013" t="s">
        <v>53</v>
      </c>
      <c r="H1013">
        <v>44</v>
      </c>
      <c r="I1013">
        <v>4059.61</v>
      </c>
      <c r="J1013">
        <v>8119.22</v>
      </c>
    </row>
    <row r="1014" spans="1:10" x14ac:dyDescent="0.35">
      <c r="A1014" s="17">
        <v>45619</v>
      </c>
      <c r="B1014" t="s">
        <v>20</v>
      </c>
      <c r="C1014" t="s">
        <v>21</v>
      </c>
      <c r="D1014" t="s">
        <v>22</v>
      </c>
      <c r="E1014" t="s">
        <v>11</v>
      </c>
      <c r="F1014">
        <v>13</v>
      </c>
      <c r="G1014" t="s">
        <v>48</v>
      </c>
      <c r="H1014">
        <v>22</v>
      </c>
      <c r="I1014">
        <v>1965.63</v>
      </c>
      <c r="J1014">
        <v>25553.19</v>
      </c>
    </row>
    <row r="1015" spans="1:10" x14ac:dyDescent="0.35">
      <c r="A1015" s="17">
        <v>45620</v>
      </c>
      <c r="B1015" t="s">
        <v>20</v>
      </c>
      <c r="C1015" t="s">
        <v>21</v>
      </c>
      <c r="D1015" t="s">
        <v>22</v>
      </c>
      <c r="E1015" t="s">
        <v>27</v>
      </c>
      <c r="F1015">
        <v>4</v>
      </c>
      <c r="G1015" t="s">
        <v>75</v>
      </c>
      <c r="H1015">
        <v>42</v>
      </c>
      <c r="I1015">
        <v>1020.23</v>
      </c>
      <c r="J1015">
        <v>4080.92</v>
      </c>
    </row>
    <row r="1016" spans="1:10" x14ac:dyDescent="0.35">
      <c r="A1016" s="17">
        <v>45621</v>
      </c>
      <c r="B1016" t="s">
        <v>20</v>
      </c>
      <c r="C1016" t="s">
        <v>21</v>
      </c>
      <c r="D1016" t="s">
        <v>22</v>
      </c>
      <c r="E1016" t="s">
        <v>24</v>
      </c>
      <c r="F1016">
        <v>16</v>
      </c>
      <c r="G1016" t="s">
        <v>76</v>
      </c>
      <c r="H1016">
        <v>30</v>
      </c>
      <c r="I1016">
        <v>2178.7800000000002</v>
      </c>
      <c r="J1016">
        <v>34860.480000000003</v>
      </c>
    </row>
    <row r="1017" spans="1:10" x14ac:dyDescent="0.35">
      <c r="A1017" s="17">
        <v>45622</v>
      </c>
      <c r="B1017" t="s">
        <v>20</v>
      </c>
      <c r="C1017" t="s">
        <v>21</v>
      </c>
      <c r="D1017" t="s">
        <v>22</v>
      </c>
      <c r="E1017" t="s">
        <v>27</v>
      </c>
      <c r="F1017">
        <v>3</v>
      </c>
      <c r="G1017" t="s">
        <v>77</v>
      </c>
      <c r="H1017">
        <v>22</v>
      </c>
      <c r="I1017">
        <v>4229.84</v>
      </c>
      <c r="J1017">
        <v>12689.52</v>
      </c>
    </row>
    <row r="1018" spans="1:10" x14ac:dyDescent="0.35">
      <c r="A1018" s="17">
        <v>45623</v>
      </c>
      <c r="B1018" t="s">
        <v>8</v>
      </c>
      <c r="C1018" t="s">
        <v>28</v>
      </c>
      <c r="D1018" t="s">
        <v>29</v>
      </c>
      <c r="E1018" t="s">
        <v>11</v>
      </c>
      <c r="F1018">
        <v>11</v>
      </c>
      <c r="G1018" t="s">
        <v>78</v>
      </c>
      <c r="H1018">
        <v>50</v>
      </c>
      <c r="I1018">
        <v>255.3</v>
      </c>
      <c r="J1018">
        <v>2808.3</v>
      </c>
    </row>
    <row r="1019" spans="1:10" x14ac:dyDescent="0.35">
      <c r="A1019" s="17">
        <v>45624</v>
      </c>
      <c r="B1019" t="s">
        <v>8</v>
      </c>
      <c r="C1019" t="s">
        <v>28</v>
      </c>
      <c r="D1019" t="s">
        <v>30</v>
      </c>
      <c r="E1019" t="s">
        <v>15</v>
      </c>
      <c r="F1019">
        <v>1</v>
      </c>
      <c r="G1019" t="s">
        <v>53</v>
      </c>
      <c r="H1019">
        <v>39</v>
      </c>
      <c r="I1019">
        <v>4557.0600000000004</v>
      </c>
      <c r="J1019">
        <v>4557.0600000000004</v>
      </c>
    </row>
    <row r="1020" spans="1:10" x14ac:dyDescent="0.35">
      <c r="A1020" s="17">
        <v>45625</v>
      </c>
      <c r="B1020" t="s">
        <v>8</v>
      </c>
      <c r="C1020" t="s">
        <v>28</v>
      </c>
      <c r="D1020" t="s">
        <v>29</v>
      </c>
      <c r="E1020" t="s">
        <v>27</v>
      </c>
      <c r="F1020">
        <v>10</v>
      </c>
      <c r="G1020" t="s">
        <v>48</v>
      </c>
      <c r="H1020">
        <v>31</v>
      </c>
      <c r="I1020">
        <v>843.5</v>
      </c>
      <c r="J1020">
        <v>8435</v>
      </c>
    </row>
    <row r="1021" spans="1:10" x14ac:dyDescent="0.35">
      <c r="A1021" s="17">
        <v>45626</v>
      </c>
      <c r="B1021" t="s">
        <v>8</v>
      </c>
      <c r="C1021" t="s">
        <v>9</v>
      </c>
      <c r="D1021" t="s">
        <v>10</v>
      </c>
      <c r="E1021" t="s">
        <v>11</v>
      </c>
      <c r="F1021">
        <v>5</v>
      </c>
      <c r="G1021" t="s">
        <v>75</v>
      </c>
      <c r="H1021">
        <v>21</v>
      </c>
      <c r="I1021">
        <v>4987.7</v>
      </c>
      <c r="J1021">
        <v>24938.5</v>
      </c>
    </row>
    <row r="1022" spans="1:10" x14ac:dyDescent="0.35">
      <c r="A1022" s="17">
        <v>45627</v>
      </c>
      <c r="B1022" t="s">
        <v>8</v>
      </c>
      <c r="C1022" t="s">
        <v>28</v>
      </c>
      <c r="D1022" t="s">
        <v>30</v>
      </c>
      <c r="E1022" t="s">
        <v>15</v>
      </c>
      <c r="F1022">
        <v>5</v>
      </c>
      <c r="G1022" t="s">
        <v>76</v>
      </c>
      <c r="H1022">
        <v>25</v>
      </c>
      <c r="I1022">
        <v>3860.73</v>
      </c>
      <c r="J1022">
        <v>19303.650000000001</v>
      </c>
    </row>
    <row r="1023" spans="1:10" x14ac:dyDescent="0.35">
      <c r="A1023" s="17">
        <v>45628</v>
      </c>
      <c r="B1023" t="s">
        <v>8</v>
      </c>
      <c r="C1023" t="s">
        <v>9</v>
      </c>
      <c r="D1023" t="s">
        <v>10</v>
      </c>
      <c r="E1023" t="s">
        <v>24</v>
      </c>
      <c r="F1023">
        <v>14</v>
      </c>
      <c r="G1023" t="s">
        <v>77</v>
      </c>
      <c r="H1023">
        <v>44</v>
      </c>
      <c r="I1023">
        <v>4649.53</v>
      </c>
      <c r="J1023">
        <v>65093.42</v>
      </c>
    </row>
    <row r="1024" spans="1:10" x14ac:dyDescent="0.35">
      <c r="A1024" s="17">
        <v>45629</v>
      </c>
      <c r="B1024" t="s">
        <v>20</v>
      </c>
      <c r="C1024" t="s">
        <v>21</v>
      </c>
      <c r="D1024" t="s">
        <v>22</v>
      </c>
      <c r="E1024" t="s">
        <v>15</v>
      </c>
      <c r="F1024">
        <v>3</v>
      </c>
      <c r="G1024" t="s">
        <v>78</v>
      </c>
      <c r="H1024">
        <v>36</v>
      </c>
      <c r="I1024">
        <v>144.38999999999999</v>
      </c>
      <c r="J1024">
        <v>433.17</v>
      </c>
    </row>
    <row r="1025" spans="1:10" x14ac:dyDescent="0.35">
      <c r="A1025" s="17">
        <v>45630</v>
      </c>
      <c r="B1025" t="s">
        <v>12</v>
      </c>
      <c r="C1025" t="s">
        <v>13</v>
      </c>
      <c r="D1025" t="s">
        <v>26</v>
      </c>
      <c r="E1025" t="s">
        <v>24</v>
      </c>
      <c r="F1025">
        <v>15</v>
      </c>
      <c r="G1025" t="s">
        <v>53</v>
      </c>
      <c r="H1025">
        <v>55</v>
      </c>
      <c r="I1025">
        <v>4402.43</v>
      </c>
      <c r="J1025">
        <v>66036.45</v>
      </c>
    </row>
    <row r="1026" spans="1:10" x14ac:dyDescent="0.35">
      <c r="A1026" s="17">
        <v>45631</v>
      </c>
      <c r="B1026" t="s">
        <v>8</v>
      </c>
      <c r="C1026" t="s">
        <v>9</v>
      </c>
      <c r="D1026" t="s">
        <v>31</v>
      </c>
      <c r="E1026" t="s">
        <v>15</v>
      </c>
      <c r="F1026">
        <v>8</v>
      </c>
      <c r="G1026" t="s">
        <v>48</v>
      </c>
      <c r="H1026">
        <v>42</v>
      </c>
      <c r="I1026">
        <v>1461.31</v>
      </c>
      <c r="J1026">
        <v>11690.48</v>
      </c>
    </row>
    <row r="1027" spans="1:10" x14ac:dyDescent="0.35">
      <c r="A1027" s="17">
        <v>45632</v>
      </c>
      <c r="B1027" t="s">
        <v>8</v>
      </c>
      <c r="C1027" t="s">
        <v>9</v>
      </c>
      <c r="D1027" t="s">
        <v>23</v>
      </c>
      <c r="E1027" t="s">
        <v>11</v>
      </c>
      <c r="F1027">
        <v>9</v>
      </c>
      <c r="G1027" t="s">
        <v>75</v>
      </c>
      <c r="H1027">
        <v>47</v>
      </c>
      <c r="I1027">
        <v>3318.1</v>
      </c>
      <c r="J1027">
        <v>29862.9</v>
      </c>
    </row>
    <row r="1028" spans="1:10" x14ac:dyDescent="0.35">
      <c r="A1028" s="17">
        <v>45633</v>
      </c>
      <c r="B1028" t="s">
        <v>8</v>
      </c>
      <c r="C1028" t="s">
        <v>28</v>
      </c>
      <c r="D1028" t="s">
        <v>32</v>
      </c>
      <c r="E1028" t="s">
        <v>15</v>
      </c>
      <c r="F1028">
        <v>13</v>
      </c>
      <c r="G1028" t="s">
        <v>76</v>
      </c>
      <c r="H1028">
        <v>24</v>
      </c>
      <c r="I1028">
        <v>2475.98</v>
      </c>
      <c r="J1028">
        <v>32187.74</v>
      </c>
    </row>
    <row r="1029" spans="1:10" x14ac:dyDescent="0.35">
      <c r="A1029" s="17">
        <v>45634</v>
      </c>
      <c r="B1029" t="s">
        <v>12</v>
      </c>
      <c r="C1029" t="s">
        <v>16</v>
      </c>
      <c r="D1029" t="s">
        <v>17</v>
      </c>
      <c r="E1029" t="s">
        <v>27</v>
      </c>
      <c r="F1029">
        <v>3</v>
      </c>
      <c r="G1029" t="s">
        <v>77</v>
      </c>
      <c r="H1029">
        <v>45</v>
      </c>
      <c r="I1029">
        <v>4132.17</v>
      </c>
      <c r="J1029">
        <v>12396.51</v>
      </c>
    </row>
    <row r="1030" spans="1:10" x14ac:dyDescent="0.35">
      <c r="A1030" s="17">
        <v>45635</v>
      </c>
      <c r="B1030" t="s">
        <v>12</v>
      </c>
      <c r="C1030" t="s">
        <v>13</v>
      </c>
      <c r="D1030" t="s">
        <v>14</v>
      </c>
      <c r="E1030" t="s">
        <v>15</v>
      </c>
      <c r="F1030">
        <v>12</v>
      </c>
      <c r="G1030" t="s">
        <v>78</v>
      </c>
      <c r="H1030">
        <v>54</v>
      </c>
      <c r="I1030">
        <v>835.83</v>
      </c>
      <c r="J1030">
        <v>10029.959999999999</v>
      </c>
    </row>
    <row r="1031" spans="1:10" x14ac:dyDescent="0.35">
      <c r="A1031" s="17">
        <v>45636</v>
      </c>
      <c r="B1031" t="s">
        <v>20</v>
      </c>
      <c r="C1031" t="s">
        <v>21</v>
      </c>
      <c r="D1031" t="s">
        <v>22</v>
      </c>
      <c r="E1031" t="s">
        <v>24</v>
      </c>
      <c r="F1031">
        <v>12</v>
      </c>
      <c r="G1031" t="s">
        <v>53</v>
      </c>
      <c r="H1031">
        <v>16</v>
      </c>
      <c r="I1031">
        <v>1377.41</v>
      </c>
      <c r="J1031">
        <v>16528.919999999998</v>
      </c>
    </row>
    <row r="1032" spans="1:10" x14ac:dyDescent="0.35">
      <c r="A1032" s="17">
        <v>45637</v>
      </c>
      <c r="B1032" t="s">
        <v>12</v>
      </c>
      <c r="C1032" t="s">
        <v>16</v>
      </c>
      <c r="D1032" t="s">
        <v>25</v>
      </c>
      <c r="E1032" t="s">
        <v>27</v>
      </c>
      <c r="F1032">
        <v>2</v>
      </c>
      <c r="G1032" t="s">
        <v>48</v>
      </c>
      <c r="H1032">
        <v>16</v>
      </c>
      <c r="I1032">
        <v>1983.93</v>
      </c>
      <c r="J1032">
        <v>3967.86</v>
      </c>
    </row>
    <row r="1033" spans="1:10" x14ac:dyDescent="0.35">
      <c r="A1033" s="17">
        <v>45638</v>
      </c>
      <c r="B1033" t="s">
        <v>8</v>
      </c>
      <c r="C1033" t="s">
        <v>9</v>
      </c>
      <c r="D1033" t="s">
        <v>10</v>
      </c>
      <c r="E1033" t="s">
        <v>24</v>
      </c>
      <c r="F1033">
        <v>8</v>
      </c>
      <c r="G1033" t="s">
        <v>75</v>
      </c>
      <c r="H1033">
        <v>26</v>
      </c>
      <c r="I1033">
        <v>4621.75</v>
      </c>
      <c r="J1033">
        <v>36974</v>
      </c>
    </row>
    <row r="1034" spans="1:10" x14ac:dyDescent="0.35">
      <c r="A1034" s="17">
        <v>45639</v>
      </c>
      <c r="B1034" t="s">
        <v>12</v>
      </c>
      <c r="C1034" t="s">
        <v>13</v>
      </c>
      <c r="D1034" t="s">
        <v>33</v>
      </c>
      <c r="E1034" t="s">
        <v>18</v>
      </c>
      <c r="F1034">
        <v>8</v>
      </c>
      <c r="G1034" t="s">
        <v>76</v>
      </c>
      <c r="H1034">
        <v>23</v>
      </c>
      <c r="I1034">
        <v>2342.02</v>
      </c>
      <c r="J1034">
        <v>18736.16</v>
      </c>
    </row>
    <row r="1035" spans="1:10" x14ac:dyDescent="0.35">
      <c r="A1035" s="17">
        <v>45640</v>
      </c>
      <c r="B1035" t="s">
        <v>8</v>
      </c>
      <c r="C1035" t="s">
        <v>9</v>
      </c>
      <c r="D1035" t="s">
        <v>10</v>
      </c>
      <c r="E1035" t="s">
        <v>24</v>
      </c>
      <c r="F1035">
        <v>9</v>
      </c>
      <c r="G1035" t="s">
        <v>77</v>
      </c>
      <c r="H1035">
        <v>21</v>
      </c>
      <c r="I1035">
        <v>489.27</v>
      </c>
      <c r="J1035">
        <v>4403.43</v>
      </c>
    </row>
    <row r="1036" spans="1:10" x14ac:dyDescent="0.35">
      <c r="A1036" s="17">
        <v>45641</v>
      </c>
      <c r="B1036" t="s">
        <v>12</v>
      </c>
      <c r="C1036" t="s">
        <v>16</v>
      </c>
      <c r="D1036" t="s">
        <v>25</v>
      </c>
      <c r="E1036" t="s">
        <v>24</v>
      </c>
      <c r="F1036">
        <v>3</v>
      </c>
      <c r="G1036" t="s">
        <v>78</v>
      </c>
      <c r="H1036">
        <v>17</v>
      </c>
      <c r="I1036">
        <v>2444.6</v>
      </c>
      <c r="J1036">
        <v>7333.8</v>
      </c>
    </row>
    <row r="1037" spans="1:10" x14ac:dyDescent="0.35">
      <c r="A1037" s="17">
        <v>45642</v>
      </c>
      <c r="B1037" t="s">
        <v>12</v>
      </c>
      <c r="C1037" t="s">
        <v>16</v>
      </c>
      <c r="D1037" t="s">
        <v>17</v>
      </c>
      <c r="E1037" t="s">
        <v>11</v>
      </c>
      <c r="F1037">
        <v>5</v>
      </c>
      <c r="G1037" t="s">
        <v>53</v>
      </c>
      <c r="H1037">
        <v>55</v>
      </c>
      <c r="I1037">
        <v>1346.45</v>
      </c>
      <c r="J1037">
        <v>6732.25</v>
      </c>
    </row>
    <row r="1038" spans="1:10" x14ac:dyDescent="0.35">
      <c r="A1038" s="17">
        <v>45643</v>
      </c>
      <c r="B1038" t="s">
        <v>8</v>
      </c>
      <c r="C1038" t="s">
        <v>9</v>
      </c>
      <c r="D1038" t="s">
        <v>31</v>
      </c>
      <c r="E1038" t="s">
        <v>24</v>
      </c>
      <c r="F1038">
        <v>17</v>
      </c>
      <c r="G1038" t="s">
        <v>48</v>
      </c>
      <c r="H1038">
        <v>47</v>
      </c>
      <c r="I1038">
        <v>1333.71</v>
      </c>
      <c r="J1038">
        <v>22673.07</v>
      </c>
    </row>
    <row r="1039" spans="1:10" x14ac:dyDescent="0.35">
      <c r="A1039" s="17">
        <v>45644</v>
      </c>
      <c r="B1039" t="s">
        <v>12</v>
      </c>
      <c r="C1039" t="s">
        <v>13</v>
      </c>
      <c r="D1039" t="s">
        <v>33</v>
      </c>
      <c r="E1039" t="s">
        <v>27</v>
      </c>
      <c r="F1039">
        <v>2</v>
      </c>
      <c r="G1039" t="s">
        <v>75</v>
      </c>
      <c r="H1039">
        <v>33</v>
      </c>
      <c r="I1039">
        <v>2287.09</v>
      </c>
      <c r="J1039">
        <v>4574.18</v>
      </c>
    </row>
    <row r="1040" spans="1:10" x14ac:dyDescent="0.35">
      <c r="A1040" s="17">
        <v>45645</v>
      </c>
      <c r="B1040" t="s">
        <v>8</v>
      </c>
      <c r="C1040" t="s">
        <v>28</v>
      </c>
      <c r="D1040" t="s">
        <v>29</v>
      </c>
      <c r="E1040" t="s">
        <v>27</v>
      </c>
      <c r="F1040">
        <v>12</v>
      </c>
      <c r="G1040" t="s">
        <v>76</v>
      </c>
      <c r="H1040">
        <v>24</v>
      </c>
      <c r="I1040">
        <v>2384.1</v>
      </c>
      <c r="J1040">
        <v>28609.200000000001</v>
      </c>
    </row>
    <row r="1041" spans="1:10" x14ac:dyDescent="0.35">
      <c r="A1041" s="17">
        <v>45646</v>
      </c>
      <c r="B1041" t="s">
        <v>8</v>
      </c>
      <c r="C1041" t="s">
        <v>28</v>
      </c>
      <c r="D1041" t="s">
        <v>30</v>
      </c>
      <c r="E1041" t="s">
        <v>11</v>
      </c>
      <c r="F1041">
        <v>2</v>
      </c>
      <c r="G1041" t="s">
        <v>77</v>
      </c>
      <c r="H1041">
        <v>55</v>
      </c>
      <c r="I1041">
        <v>3037.55</v>
      </c>
      <c r="J1041">
        <v>6075.1</v>
      </c>
    </row>
    <row r="1042" spans="1:10" x14ac:dyDescent="0.35">
      <c r="A1042" s="17">
        <v>45647</v>
      </c>
      <c r="B1042" t="s">
        <v>8</v>
      </c>
      <c r="C1042" t="s">
        <v>9</v>
      </c>
      <c r="D1042" t="s">
        <v>10</v>
      </c>
      <c r="E1042" t="s">
        <v>11</v>
      </c>
      <c r="F1042">
        <v>7</v>
      </c>
      <c r="G1042" t="s">
        <v>78</v>
      </c>
      <c r="H1042">
        <v>33</v>
      </c>
      <c r="I1042">
        <v>3163.37</v>
      </c>
      <c r="J1042">
        <v>22143.59</v>
      </c>
    </row>
    <row r="1043" spans="1:10" x14ac:dyDescent="0.35">
      <c r="A1043" s="17">
        <v>45648</v>
      </c>
      <c r="B1043" t="s">
        <v>8</v>
      </c>
      <c r="C1043" t="s">
        <v>9</v>
      </c>
      <c r="D1043" t="s">
        <v>31</v>
      </c>
      <c r="E1043" t="s">
        <v>11</v>
      </c>
      <c r="F1043">
        <v>13</v>
      </c>
      <c r="G1043" t="s">
        <v>53</v>
      </c>
      <c r="H1043">
        <v>41</v>
      </c>
      <c r="I1043">
        <v>4985.82</v>
      </c>
      <c r="J1043">
        <v>64815.66</v>
      </c>
    </row>
    <row r="1044" spans="1:10" x14ac:dyDescent="0.35">
      <c r="A1044" s="17">
        <v>45649</v>
      </c>
      <c r="B1044" t="s">
        <v>8</v>
      </c>
      <c r="C1044" t="s">
        <v>28</v>
      </c>
      <c r="D1044" t="s">
        <v>32</v>
      </c>
      <c r="E1044" t="s">
        <v>24</v>
      </c>
      <c r="F1044">
        <v>8</v>
      </c>
      <c r="G1044" t="s">
        <v>48</v>
      </c>
      <c r="H1044">
        <v>17</v>
      </c>
      <c r="I1044">
        <v>285.94</v>
      </c>
      <c r="J1044">
        <v>2287.52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6D91-EA05-4F2C-9905-2FFE06DB0217}">
  <sheetPr codeName="Sheet8"/>
  <dimension ref="A1"/>
  <sheetViews>
    <sheetView showGridLines="0" workbookViewId="0">
      <selection activeCell="H8" sqref="H8"/>
    </sheetView>
  </sheetViews>
  <sheetFormatPr defaultRowHeight="14.5" x14ac:dyDescent="0.35"/>
  <cols>
    <col min="2" max="2" width="12.36328125" bestFit="1" customWidth="1"/>
    <col min="3" max="3" width="20.17968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5594E-F120-40D3-9092-CEA60CBE76A8}">
  <dimension ref="A3:F19"/>
  <sheetViews>
    <sheetView workbookViewId="0">
      <selection activeCell="E3" sqref="E3:F18"/>
    </sheetView>
  </sheetViews>
  <sheetFormatPr defaultRowHeight="14.5" x14ac:dyDescent="0.35"/>
  <cols>
    <col min="1" max="1" width="11" bestFit="1" customWidth="1"/>
    <col min="2" max="3" width="18.7265625" bestFit="1" customWidth="1"/>
    <col min="5" max="5" width="11" bestFit="1" customWidth="1"/>
    <col min="6" max="6" width="21.26953125" customWidth="1"/>
    <col min="7" max="7" width="9.7265625" bestFit="1" customWidth="1"/>
    <col min="8" max="8" width="18.7265625" bestFit="1" customWidth="1"/>
  </cols>
  <sheetData>
    <row r="3" spans="1:6" x14ac:dyDescent="0.35">
      <c r="A3" s="2" t="s">
        <v>3</v>
      </c>
      <c r="B3" t="s">
        <v>39</v>
      </c>
      <c r="E3" s="24" t="s">
        <v>3</v>
      </c>
      <c r="F3" s="24" t="s">
        <v>39</v>
      </c>
    </row>
    <row r="4" spans="1:6" x14ac:dyDescent="0.35">
      <c r="A4" t="s">
        <v>29</v>
      </c>
      <c r="B4">
        <v>2104800.63</v>
      </c>
      <c r="E4" t="s">
        <v>29</v>
      </c>
      <c r="F4">
        <f>GETPIVOTDATA("Sales Amount",$A$3,"City",E4)</f>
        <v>2104800.63</v>
      </c>
    </row>
    <row r="5" spans="1:6" x14ac:dyDescent="0.35">
      <c r="A5" t="s">
        <v>33</v>
      </c>
      <c r="B5">
        <v>2014542.2099999995</v>
      </c>
      <c r="E5" t="s">
        <v>33</v>
      </c>
      <c r="F5">
        <f t="shared" ref="F5:F18" si="0">GETPIVOTDATA("Sales Amount",$A$3,"City",E5)</f>
        <v>2014542.2099999995</v>
      </c>
    </row>
    <row r="6" spans="1:6" x14ac:dyDescent="0.35">
      <c r="A6" t="s">
        <v>17</v>
      </c>
      <c r="B6">
        <v>1476957.1900000002</v>
      </c>
      <c r="E6" t="s">
        <v>17</v>
      </c>
      <c r="F6">
        <f t="shared" si="0"/>
        <v>1476957.1900000002</v>
      </c>
    </row>
    <row r="7" spans="1:6" x14ac:dyDescent="0.35">
      <c r="A7" t="s">
        <v>25</v>
      </c>
      <c r="B7">
        <v>2039253.8900000001</v>
      </c>
      <c r="E7" t="s">
        <v>25</v>
      </c>
      <c r="F7">
        <f t="shared" si="0"/>
        <v>2039253.8900000001</v>
      </c>
    </row>
    <row r="8" spans="1:6" x14ac:dyDescent="0.35">
      <c r="A8" t="s">
        <v>35</v>
      </c>
      <c r="B8">
        <v>1330303.4400000004</v>
      </c>
      <c r="E8" t="s">
        <v>35</v>
      </c>
      <c r="F8">
        <f t="shared" si="0"/>
        <v>1330303.4400000004</v>
      </c>
    </row>
    <row r="9" spans="1:6" x14ac:dyDescent="0.35">
      <c r="A9" t="s">
        <v>26</v>
      </c>
      <c r="B9">
        <v>2170276.38</v>
      </c>
      <c r="E9" t="s">
        <v>26</v>
      </c>
      <c r="F9">
        <f t="shared" si="0"/>
        <v>2170276.38</v>
      </c>
    </row>
    <row r="10" spans="1:6" x14ac:dyDescent="0.35">
      <c r="A10" t="s">
        <v>34</v>
      </c>
      <c r="B10">
        <v>1164799.72</v>
      </c>
      <c r="E10" t="s">
        <v>34</v>
      </c>
      <c r="F10">
        <f t="shared" si="0"/>
        <v>1164799.72</v>
      </c>
    </row>
    <row r="11" spans="1:6" x14ac:dyDescent="0.35">
      <c r="A11" t="s">
        <v>19</v>
      </c>
      <c r="B11">
        <v>1892788.0499999996</v>
      </c>
      <c r="E11" t="s">
        <v>19</v>
      </c>
      <c r="F11">
        <f t="shared" si="0"/>
        <v>1892788.0499999996</v>
      </c>
    </row>
    <row r="12" spans="1:6" x14ac:dyDescent="0.35">
      <c r="A12" t="s">
        <v>10</v>
      </c>
      <c r="B12">
        <v>2350805.2300000004</v>
      </c>
      <c r="E12" t="s">
        <v>10</v>
      </c>
      <c r="F12">
        <f t="shared" si="0"/>
        <v>2350805.2300000004</v>
      </c>
    </row>
    <row r="13" spans="1:6" x14ac:dyDescent="0.35">
      <c r="A13" t="s">
        <v>14</v>
      </c>
      <c r="B13">
        <v>1817297.62</v>
      </c>
      <c r="E13" t="s">
        <v>14</v>
      </c>
      <c r="F13">
        <f t="shared" si="0"/>
        <v>1817297.62</v>
      </c>
    </row>
    <row r="14" spans="1:6" x14ac:dyDescent="0.35">
      <c r="A14" t="s">
        <v>23</v>
      </c>
      <c r="B14">
        <v>2152961.3499999992</v>
      </c>
      <c r="E14" t="s">
        <v>23</v>
      </c>
      <c r="F14">
        <f t="shared" si="0"/>
        <v>2152961.3499999992</v>
      </c>
    </row>
    <row r="15" spans="1:6" x14ac:dyDescent="0.35">
      <c r="A15" t="s">
        <v>22</v>
      </c>
      <c r="B15">
        <v>2294581.4700000002</v>
      </c>
      <c r="E15" t="s">
        <v>22</v>
      </c>
      <c r="F15">
        <f t="shared" si="0"/>
        <v>2294581.4700000002</v>
      </c>
    </row>
    <row r="16" spans="1:6" x14ac:dyDescent="0.35">
      <c r="A16" t="s">
        <v>31</v>
      </c>
      <c r="B16">
        <v>1645822.7700000003</v>
      </c>
      <c r="E16" t="s">
        <v>31</v>
      </c>
      <c r="F16">
        <f t="shared" si="0"/>
        <v>1645822.7700000003</v>
      </c>
    </row>
    <row r="17" spans="1:6" x14ac:dyDescent="0.35">
      <c r="A17" t="s">
        <v>32</v>
      </c>
      <c r="B17">
        <v>1379882.43</v>
      </c>
      <c r="E17" t="s">
        <v>32</v>
      </c>
      <c r="F17">
        <f t="shared" si="0"/>
        <v>1379882.43</v>
      </c>
    </row>
    <row r="18" spans="1:6" x14ac:dyDescent="0.35">
      <c r="A18" t="s">
        <v>30</v>
      </c>
      <c r="B18">
        <v>1643990.8099999998</v>
      </c>
      <c r="E18" t="s">
        <v>30</v>
      </c>
      <c r="F18">
        <f t="shared" si="0"/>
        <v>1643990.8099999998</v>
      </c>
    </row>
    <row r="19" spans="1:6" x14ac:dyDescent="0.35">
      <c r="A19" t="s">
        <v>37</v>
      </c>
      <c r="B19">
        <v>27479063.189999994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49553-8ECF-46BB-8B2B-4576D0CE2E53}">
  <dimension ref="B9:D22"/>
  <sheetViews>
    <sheetView topLeftCell="A7" workbookViewId="0">
      <selection activeCell="F6" sqref="F6"/>
    </sheetView>
  </sheetViews>
  <sheetFormatPr defaultRowHeight="14.5" x14ac:dyDescent="0.35"/>
  <cols>
    <col min="2" max="2" width="12.36328125" bestFit="1" customWidth="1"/>
    <col min="3" max="3" width="18.7265625" bestFit="1" customWidth="1"/>
    <col min="4" max="4" width="15.81640625" bestFit="1" customWidth="1"/>
  </cols>
  <sheetData>
    <row r="9" spans="2:4" x14ac:dyDescent="0.35">
      <c r="B9" s="2" t="s">
        <v>36</v>
      </c>
      <c r="C9" t="s">
        <v>39</v>
      </c>
      <c r="D9" t="s">
        <v>207</v>
      </c>
    </row>
    <row r="10" spans="2:4" x14ac:dyDescent="0.35">
      <c r="B10" s="4" t="s">
        <v>55</v>
      </c>
      <c r="C10">
        <v>2295603.6899999985</v>
      </c>
      <c r="D10">
        <v>114780.18449999992</v>
      </c>
    </row>
    <row r="11" spans="2:4" x14ac:dyDescent="0.35">
      <c r="B11" s="4" t="s">
        <v>59</v>
      </c>
      <c r="C11">
        <v>2014362.6899999995</v>
      </c>
      <c r="D11">
        <v>100718.13449999997</v>
      </c>
    </row>
    <row r="12" spans="2:4" x14ac:dyDescent="0.35">
      <c r="B12" s="4" t="s">
        <v>54</v>
      </c>
      <c r="C12">
        <v>2164493.16</v>
      </c>
      <c r="D12">
        <v>108224.65800000001</v>
      </c>
    </row>
    <row r="13" spans="2:4" x14ac:dyDescent="0.35">
      <c r="B13" s="4" t="s">
        <v>49</v>
      </c>
      <c r="C13">
        <v>2217838.37</v>
      </c>
      <c r="D13">
        <v>110891.91850000001</v>
      </c>
    </row>
    <row r="14" spans="2:4" x14ac:dyDescent="0.35">
      <c r="B14" s="4" t="s">
        <v>52</v>
      </c>
      <c r="C14">
        <v>2475698.2200000011</v>
      </c>
      <c r="D14">
        <v>123784.91100000005</v>
      </c>
    </row>
    <row r="15" spans="2:4" x14ac:dyDescent="0.35">
      <c r="B15" s="4" t="s">
        <v>58</v>
      </c>
      <c r="C15">
        <v>2133042.4700000002</v>
      </c>
      <c r="D15">
        <v>106652.12350000002</v>
      </c>
    </row>
    <row r="16" spans="2:4" x14ac:dyDescent="0.35">
      <c r="B16" s="4" t="s">
        <v>53</v>
      </c>
      <c r="C16">
        <v>1974405.26</v>
      </c>
      <c r="D16">
        <v>98720.263000000006</v>
      </c>
    </row>
    <row r="17" spans="2:4" x14ac:dyDescent="0.35">
      <c r="B17" s="4" t="s">
        <v>56</v>
      </c>
      <c r="C17">
        <v>1932354.4500000004</v>
      </c>
      <c r="D17">
        <v>96617.722500000018</v>
      </c>
    </row>
    <row r="18" spans="2:4" x14ac:dyDescent="0.35">
      <c r="B18" s="4" t="s">
        <v>48</v>
      </c>
      <c r="C18">
        <v>2393966.9099999997</v>
      </c>
      <c r="D18">
        <v>119698.3455</v>
      </c>
    </row>
    <row r="19" spans="2:4" x14ac:dyDescent="0.35">
      <c r="B19" s="4" t="s">
        <v>51</v>
      </c>
      <c r="C19">
        <v>2310951.9500000007</v>
      </c>
      <c r="D19">
        <v>115547.59750000003</v>
      </c>
    </row>
    <row r="20" spans="2:4" x14ac:dyDescent="0.35">
      <c r="B20" s="4" t="s">
        <v>57</v>
      </c>
      <c r="C20">
        <v>2205429.9099999992</v>
      </c>
      <c r="D20">
        <v>110271.49549999998</v>
      </c>
    </row>
    <row r="21" spans="2:4" x14ac:dyDescent="0.35">
      <c r="B21" s="4" t="s">
        <v>50</v>
      </c>
      <c r="C21">
        <v>2478246.6100000003</v>
      </c>
      <c r="D21">
        <v>123912.33050000001</v>
      </c>
    </row>
    <row r="22" spans="2:4" x14ac:dyDescent="0.35">
      <c r="B22" s="4" t="s">
        <v>37</v>
      </c>
      <c r="C22">
        <v>26596393.689999998</v>
      </c>
      <c r="D22">
        <v>1329819.6844999983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D86AC-4FF8-4819-90E9-A1CA66CF28F0}">
  <dimension ref="A1:L146"/>
  <sheetViews>
    <sheetView workbookViewId="0">
      <selection activeCell="D2" sqref="D2"/>
    </sheetView>
  </sheetViews>
  <sheetFormatPr defaultRowHeight="14.5" x14ac:dyDescent="0.35"/>
  <cols>
    <col min="1" max="1" width="10.08984375" bestFit="1" customWidth="1"/>
    <col min="2" max="2" width="6.453125" bestFit="1" customWidth="1"/>
    <col min="3" max="3" width="11.6328125" bestFit="1" customWidth="1"/>
    <col min="4" max="4" width="11" bestFit="1" customWidth="1"/>
    <col min="5" max="5" width="11.08984375" bestFit="1" customWidth="1"/>
    <col min="6" max="6" width="8.1796875" bestFit="1" customWidth="1"/>
    <col min="7" max="7" width="10.6328125" bestFit="1" customWidth="1"/>
    <col min="8" max="8" width="4.26953125" bestFit="1" customWidth="1"/>
    <col min="9" max="9" width="12.1796875" bestFit="1" customWidth="1"/>
    <col min="10" max="10" width="8.81640625" bestFit="1" customWidth="1"/>
    <col min="11" max="11" width="12.26953125" bestFit="1" customWidth="1"/>
    <col min="12" max="12" width="13.453125" customWidth="1"/>
  </cols>
  <sheetData>
    <row r="1" spans="1:12" x14ac:dyDescent="0.35">
      <c r="A1" s="19" t="s">
        <v>0</v>
      </c>
      <c r="B1" s="19" t="s">
        <v>1</v>
      </c>
      <c r="C1" s="19" t="s">
        <v>2</v>
      </c>
      <c r="D1" s="19" t="s">
        <v>3</v>
      </c>
      <c r="E1" s="19" t="s">
        <v>4</v>
      </c>
      <c r="F1" s="19" t="s">
        <v>5</v>
      </c>
      <c r="G1" s="19" t="s">
        <v>79</v>
      </c>
      <c r="H1" s="19" t="s">
        <v>72</v>
      </c>
      <c r="I1" s="19" t="s">
        <v>6</v>
      </c>
      <c r="J1" s="19" t="s">
        <v>80</v>
      </c>
      <c r="K1" s="19" t="s">
        <v>7</v>
      </c>
      <c r="L1" s="21" t="s">
        <v>206</v>
      </c>
    </row>
    <row r="2" spans="1:12" x14ac:dyDescent="0.35">
      <c r="A2" s="20">
        <v>45570</v>
      </c>
      <c r="B2" t="s">
        <v>8</v>
      </c>
      <c r="C2" t="s">
        <v>16</v>
      </c>
      <c r="D2" t="s">
        <v>17</v>
      </c>
      <c r="E2" t="s">
        <v>81</v>
      </c>
      <c r="F2">
        <v>4</v>
      </c>
      <c r="G2" t="s">
        <v>82</v>
      </c>
      <c r="H2">
        <v>30</v>
      </c>
      <c r="I2">
        <v>26925.88</v>
      </c>
      <c r="J2">
        <v>22030.23</v>
      </c>
      <c r="K2">
        <v>107703.52</v>
      </c>
      <c r="L2">
        <v>88120.92</v>
      </c>
    </row>
    <row r="3" spans="1:12" x14ac:dyDescent="0.35">
      <c r="A3" s="20">
        <v>45640</v>
      </c>
      <c r="B3" t="s">
        <v>83</v>
      </c>
      <c r="C3" t="s">
        <v>28</v>
      </c>
      <c r="D3" t="s">
        <v>30</v>
      </c>
      <c r="E3" t="s">
        <v>81</v>
      </c>
      <c r="F3">
        <v>14</v>
      </c>
      <c r="G3" t="s">
        <v>84</v>
      </c>
      <c r="H3">
        <v>33</v>
      </c>
      <c r="I3">
        <v>22261.06</v>
      </c>
      <c r="J3">
        <v>12023.34</v>
      </c>
      <c r="K3">
        <v>311654.84000000003</v>
      </c>
      <c r="L3">
        <v>168326.76</v>
      </c>
    </row>
    <row r="4" spans="1:12" x14ac:dyDescent="0.35">
      <c r="A4" s="20">
        <v>45511</v>
      </c>
      <c r="B4" t="s">
        <v>83</v>
      </c>
      <c r="C4" t="s">
        <v>28</v>
      </c>
      <c r="D4" t="s">
        <v>32</v>
      </c>
      <c r="E4" t="s">
        <v>85</v>
      </c>
      <c r="F4">
        <v>20</v>
      </c>
      <c r="G4" t="s">
        <v>86</v>
      </c>
      <c r="H4">
        <v>38</v>
      </c>
      <c r="I4">
        <v>6264.31</v>
      </c>
      <c r="J4">
        <v>3873.02</v>
      </c>
      <c r="K4">
        <v>125286.2</v>
      </c>
      <c r="L4">
        <v>77460.399999999994</v>
      </c>
    </row>
    <row r="5" spans="1:12" x14ac:dyDescent="0.35">
      <c r="A5" s="20">
        <v>45405</v>
      </c>
      <c r="B5" t="s">
        <v>8</v>
      </c>
      <c r="C5" t="s">
        <v>21</v>
      </c>
      <c r="D5" t="s">
        <v>22</v>
      </c>
      <c r="E5" t="s">
        <v>87</v>
      </c>
      <c r="F5">
        <v>12</v>
      </c>
      <c r="G5" t="s">
        <v>88</v>
      </c>
      <c r="H5">
        <v>34</v>
      </c>
      <c r="I5">
        <v>19843.080000000002</v>
      </c>
      <c r="J5">
        <v>16361.48</v>
      </c>
      <c r="K5">
        <v>238116.96</v>
      </c>
      <c r="L5">
        <v>196337.76</v>
      </c>
    </row>
    <row r="6" spans="1:12" x14ac:dyDescent="0.35">
      <c r="A6" s="20">
        <v>45615</v>
      </c>
      <c r="B6" t="s">
        <v>8</v>
      </c>
      <c r="C6" t="s">
        <v>9</v>
      </c>
      <c r="D6" t="s">
        <v>23</v>
      </c>
      <c r="E6" t="s">
        <v>89</v>
      </c>
      <c r="F6">
        <v>15</v>
      </c>
      <c r="G6" t="s">
        <v>90</v>
      </c>
      <c r="H6">
        <v>22</v>
      </c>
      <c r="I6">
        <v>8736.69</v>
      </c>
      <c r="J6">
        <v>7766.52</v>
      </c>
      <c r="K6">
        <v>131050.35</v>
      </c>
      <c r="L6">
        <v>116497.8</v>
      </c>
    </row>
    <row r="7" spans="1:12" x14ac:dyDescent="0.35">
      <c r="A7" s="20">
        <v>45516</v>
      </c>
      <c r="B7" t="s">
        <v>83</v>
      </c>
      <c r="C7" t="s">
        <v>21</v>
      </c>
      <c r="D7" t="s">
        <v>22</v>
      </c>
      <c r="E7" t="s">
        <v>87</v>
      </c>
      <c r="F7">
        <v>15</v>
      </c>
      <c r="G7" t="s">
        <v>91</v>
      </c>
      <c r="H7">
        <v>37</v>
      </c>
      <c r="I7">
        <v>14991.48</v>
      </c>
      <c r="J7">
        <v>9760.61</v>
      </c>
      <c r="K7">
        <v>224872.2</v>
      </c>
      <c r="L7">
        <v>146409.15000000002</v>
      </c>
    </row>
    <row r="8" spans="1:12" x14ac:dyDescent="0.35">
      <c r="A8" s="20">
        <v>45720</v>
      </c>
      <c r="B8" t="s">
        <v>20</v>
      </c>
      <c r="C8" t="s">
        <v>28</v>
      </c>
      <c r="D8" t="s">
        <v>32</v>
      </c>
      <c r="E8" t="s">
        <v>87</v>
      </c>
      <c r="F8">
        <v>5</v>
      </c>
      <c r="G8" t="s">
        <v>92</v>
      </c>
      <c r="H8">
        <v>30</v>
      </c>
      <c r="I8">
        <v>25664.39</v>
      </c>
      <c r="J8">
        <v>15970.68</v>
      </c>
      <c r="K8">
        <v>128321.95</v>
      </c>
      <c r="L8">
        <v>79853.399999999994</v>
      </c>
    </row>
    <row r="9" spans="1:12" x14ac:dyDescent="0.35">
      <c r="A9" s="20">
        <v>45316</v>
      </c>
      <c r="B9" t="s">
        <v>20</v>
      </c>
      <c r="C9" t="s">
        <v>9</v>
      </c>
      <c r="D9" t="s">
        <v>10</v>
      </c>
      <c r="E9" t="s">
        <v>81</v>
      </c>
      <c r="F9">
        <v>20</v>
      </c>
      <c r="G9" t="s">
        <v>93</v>
      </c>
      <c r="H9">
        <v>53</v>
      </c>
      <c r="I9">
        <v>40322.879999999997</v>
      </c>
      <c r="J9">
        <v>22670.76</v>
      </c>
      <c r="K9">
        <v>806457.6</v>
      </c>
      <c r="L9">
        <v>453415.19999999995</v>
      </c>
    </row>
    <row r="10" spans="1:12" x14ac:dyDescent="0.35">
      <c r="A10" s="20">
        <v>45857</v>
      </c>
      <c r="B10" t="s">
        <v>20</v>
      </c>
      <c r="C10" t="s">
        <v>28</v>
      </c>
      <c r="D10" t="s">
        <v>32</v>
      </c>
      <c r="E10" t="s">
        <v>87</v>
      </c>
      <c r="F10">
        <v>18</v>
      </c>
      <c r="G10" t="s">
        <v>94</v>
      </c>
      <c r="H10">
        <v>32</v>
      </c>
      <c r="I10">
        <v>16167.48</v>
      </c>
      <c r="J10">
        <v>9570.18</v>
      </c>
      <c r="K10">
        <v>291014.64</v>
      </c>
      <c r="L10">
        <v>172263.24</v>
      </c>
    </row>
    <row r="11" spans="1:12" x14ac:dyDescent="0.35">
      <c r="A11" s="20">
        <v>45668</v>
      </c>
      <c r="B11" t="s">
        <v>12</v>
      </c>
      <c r="C11" t="s">
        <v>28</v>
      </c>
      <c r="D11" t="s">
        <v>30</v>
      </c>
      <c r="E11" t="s">
        <v>95</v>
      </c>
      <c r="F11">
        <v>8</v>
      </c>
      <c r="G11" t="s">
        <v>96</v>
      </c>
      <c r="H11">
        <v>35</v>
      </c>
      <c r="I11">
        <v>16097.78</v>
      </c>
      <c r="J11">
        <v>12950.13</v>
      </c>
      <c r="K11">
        <v>128782.24</v>
      </c>
      <c r="L11">
        <v>103601.04</v>
      </c>
    </row>
    <row r="12" spans="1:12" x14ac:dyDescent="0.35">
      <c r="A12" s="20">
        <v>45588</v>
      </c>
      <c r="B12" t="s">
        <v>20</v>
      </c>
      <c r="C12" t="s">
        <v>16</v>
      </c>
      <c r="D12" t="s">
        <v>17</v>
      </c>
      <c r="E12" t="s">
        <v>81</v>
      </c>
      <c r="F12">
        <v>1</v>
      </c>
      <c r="G12" t="s">
        <v>97</v>
      </c>
      <c r="H12">
        <v>51</v>
      </c>
      <c r="I12">
        <v>41911.449999999997</v>
      </c>
      <c r="J12">
        <v>26112.43</v>
      </c>
      <c r="K12">
        <v>41911.449999999997</v>
      </c>
      <c r="L12">
        <v>26112.43</v>
      </c>
    </row>
    <row r="13" spans="1:12" x14ac:dyDescent="0.35">
      <c r="A13" s="20">
        <v>45812</v>
      </c>
      <c r="B13" t="s">
        <v>12</v>
      </c>
      <c r="C13" t="s">
        <v>16</v>
      </c>
      <c r="D13" t="s">
        <v>25</v>
      </c>
      <c r="E13" t="s">
        <v>89</v>
      </c>
      <c r="F13">
        <v>7</v>
      </c>
      <c r="G13" t="s">
        <v>98</v>
      </c>
      <c r="H13">
        <v>52</v>
      </c>
      <c r="I13">
        <v>46304.15</v>
      </c>
      <c r="J13">
        <v>24814.36</v>
      </c>
      <c r="K13">
        <v>324129.05</v>
      </c>
      <c r="L13">
        <v>173700.52000000002</v>
      </c>
    </row>
    <row r="14" spans="1:12" x14ac:dyDescent="0.35">
      <c r="A14" s="20">
        <v>45850</v>
      </c>
      <c r="B14" t="s">
        <v>83</v>
      </c>
      <c r="C14" t="s">
        <v>16</v>
      </c>
      <c r="D14" t="s">
        <v>17</v>
      </c>
      <c r="E14" t="s">
        <v>81</v>
      </c>
      <c r="F14">
        <v>16</v>
      </c>
      <c r="G14" t="s">
        <v>99</v>
      </c>
      <c r="H14">
        <v>43</v>
      </c>
      <c r="I14">
        <v>45204.87</v>
      </c>
      <c r="J14">
        <v>24728.09</v>
      </c>
      <c r="K14">
        <v>723277.92</v>
      </c>
      <c r="L14">
        <v>395649.44</v>
      </c>
    </row>
    <row r="15" spans="1:12" x14ac:dyDescent="0.35">
      <c r="A15" s="20">
        <v>45284</v>
      </c>
      <c r="B15" t="s">
        <v>12</v>
      </c>
      <c r="C15" t="s">
        <v>28</v>
      </c>
      <c r="D15" t="s">
        <v>32</v>
      </c>
      <c r="E15" t="s">
        <v>95</v>
      </c>
      <c r="F15">
        <v>3</v>
      </c>
      <c r="G15" t="s">
        <v>100</v>
      </c>
      <c r="H15">
        <v>34</v>
      </c>
      <c r="I15">
        <v>38907.4</v>
      </c>
      <c r="J15">
        <v>33166.5</v>
      </c>
      <c r="K15">
        <v>116722.2</v>
      </c>
      <c r="L15">
        <v>99499.5</v>
      </c>
    </row>
    <row r="16" spans="1:12" x14ac:dyDescent="0.35">
      <c r="A16" s="20">
        <v>45590</v>
      </c>
      <c r="B16" t="s">
        <v>20</v>
      </c>
      <c r="C16" t="s">
        <v>16</v>
      </c>
      <c r="D16" t="s">
        <v>17</v>
      </c>
      <c r="E16" t="s">
        <v>95</v>
      </c>
      <c r="F16">
        <v>1</v>
      </c>
      <c r="G16" t="s">
        <v>101</v>
      </c>
      <c r="H16">
        <v>38</v>
      </c>
      <c r="I16">
        <v>47119.23</v>
      </c>
      <c r="J16">
        <v>28984.26</v>
      </c>
      <c r="K16">
        <v>47119.23</v>
      </c>
      <c r="L16">
        <v>28984.26</v>
      </c>
    </row>
    <row r="17" spans="1:12" x14ac:dyDescent="0.35">
      <c r="A17" s="20">
        <v>45478</v>
      </c>
      <c r="B17" t="s">
        <v>20</v>
      </c>
      <c r="C17" t="s">
        <v>21</v>
      </c>
      <c r="D17" t="s">
        <v>22</v>
      </c>
      <c r="E17" t="s">
        <v>89</v>
      </c>
      <c r="F17">
        <v>9</v>
      </c>
      <c r="G17" t="s">
        <v>102</v>
      </c>
      <c r="H17">
        <v>25</v>
      </c>
      <c r="I17">
        <v>13835.43</v>
      </c>
      <c r="J17">
        <v>8054.28</v>
      </c>
      <c r="K17">
        <v>124518.87</v>
      </c>
      <c r="L17">
        <v>72488.52</v>
      </c>
    </row>
    <row r="18" spans="1:12" x14ac:dyDescent="0.35">
      <c r="A18" s="20">
        <v>45579</v>
      </c>
      <c r="B18" t="s">
        <v>20</v>
      </c>
      <c r="C18" t="s">
        <v>21</v>
      </c>
      <c r="D18" t="s">
        <v>22</v>
      </c>
      <c r="E18" t="s">
        <v>85</v>
      </c>
      <c r="F18">
        <v>4</v>
      </c>
      <c r="G18" t="s">
        <v>103</v>
      </c>
      <c r="H18">
        <v>55</v>
      </c>
      <c r="I18">
        <v>49565.89</v>
      </c>
      <c r="J18">
        <v>33983.89</v>
      </c>
      <c r="K18">
        <v>198263.56</v>
      </c>
      <c r="L18">
        <v>135935.56</v>
      </c>
    </row>
    <row r="19" spans="1:12" x14ac:dyDescent="0.35">
      <c r="A19" s="20">
        <v>45495</v>
      </c>
      <c r="B19" t="s">
        <v>83</v>
      </c>
      <c r="C19" t="s">
        <v>9</v>
      </c>
      <c r="D19" t="s">
        <v>10</v>
      </c>
      <c r="E19" t="s">
        <v>81</v>
      </c>
      <c r="F19">
        <v>15</v>
      </c>
      <c r="G19" t="s">
        <v>104</v>
      </c>
      <c r="H19">
        <v>43</v>
      </c>
      <c r="I19">
        <v>32902.18</v>
      </c>
      <c r="J19">
        <v>17070.669999999998</v>
      </c>
      <c r="K19">
        <v>493532.7</v>
      </c>
      <c r="L19">
        <v>256060.05</v>
      </c>
    </row>
    <row r="20" spans="1:12" x14ac:dyDescent="0.35">
      <c r="A20" s="20">
        <v>45687</v>
      </c>
      <c r="B20" t="s">
        <v>8</v>
      </c>
      <c r="C20" t="s">
        <v>21</v>
      </c>
      <c r="D20" t="s">
        <v>22</v>
      </c>
      <c r="E20" t="s">
        <v>81</v>
      </c>
      <c r="F20">
        <v>17</v>
      </c>
      <c r="G20" t="s">
        <v>105</v>
      </c>
      <c r="H20">
        <v>47</v>
      </c>
      <c r="I20">
        <v>30403.15</v>
      </c>
      <c r="J20">
        <v>22902.82</v>
      </c>
      <c r="K20">
        <v>516853.55</v>
      </c>
      <c r="L20">
        <v>389347.94</v>
      </c>
    </row>
    <row r="21" spans="1:12" x14ac:dyDescent="0.35">
      <c r="A21" s="20">
        <v>45262</v>
      </c>
      <c r="B21" t="s">
        <v>83</v>
      </c>
      <c r="C21" t="s">
        <v>28</v>
      </c>
      <c r="D21" t="s">
        <v>30</v>
      </c>
      <c r="E21" t="s">
        <v>85</v>
      </c>
      <c r="F21">
        <v>18</v>
      </c>
      <c r="G21" t="s">
        <v>96</v>
      </c>
      <c r="H21">
        <v>33</v>
      </c>
      <c r="I21">
        <v>47357.88</v>
      </c>
      <c r="J21">
        <v>28003.03</v>
      </c>
      <c r="K21">
        <v>852441.84</v>
      </c>
      <c r="L21">
        <v>504054.54</v>
      </c>
    </row>
    <row r="22" spans="1:12" x14ac:dyDescent="0.35">
      <c r="A22" s="20">
        <v>45308</v>
      </c>
      <c r="B22" t="s">
        <v>83</v>
      </c>
      <c r="C22" t="s">
        <v>28</v>
      </c>
      <c r="D22" t="s">
        <v>32</v>
      </c>
      <c r="E22" t="s">
        <v>89</v>
      </c>
      <c r="F22">
        <v>7</v>
      </c>
      <c r="G22" t="s">
        <v>106</v>
      </c>
      <c r="H22">
        <v>46</v>
      </c>
      <c r="I22">
        <v>29880.3</v>
      </c>
      <c r="J22">
        <v>20275.22</v>
      </c>
      <c r="K22">
        <v>209162.1</v>
      </c>
      <c r="L22">
        <v>141926.54</v>
      </c>
    </row>
    <row r="23" spans="1:12" x14ac:dyDescent="0.35">
      <c r="A23" s="20">
        <v>45710</v>
      </c>
      <c r="B23" t="s">
        <v>12</v>
      </c>
      <c r="C23" t="s">
        <v>16</v>
      </c>
      <c r="D23" t="s">
        <v>25</v>
      </c>
      <c r="E23" t="s">
        <v>81</v>
      </c>
      <c r="F23">
        <v>6</v>
      </c>
      <c r="G23" t="s">
        <v>107</v>
      </c>
      <c r="H23">
        <v>45</v>
      </c>
      <c r="I23">
        <v>7606.11</v>
      </c>
      <c r="J23">
        <v>4258.12</v>
      </c>
      <c r="K23">
        <v>45636.66</v>
      </c>
      <c r="L23">
        <v>25548.720000000001</v>
      </c>
    </row>
    <row r="24" spans="1:12" x14ac:dyDescent="0.35">
      <c r="A24" s="20">
        <v>45303</v>
      </c>
      <c r="B24" t="s">
        <v>83</v>
      </c>
      <c r="C24" t="s">
        <v>13</v>
      </c>
      <c r="D24" t="s">
        <v>26</v>
      </c>
      <c r="E24" t="s">
        <v>85</v>
      </c>
      <c r="F24">
        <v>11</v>
      </c>
      <c r="G24" t="s">
        <v>108</v>
      </c>
      <c r="H24">
        <v>56</v>
      </c>
      <c r="I24">
        <v>13663.24</v>
      </c>
      <c r="J24">
        <v>11110.79</v>
      </c>
      <c r="K24">
        <v>150295.64000000001</v>
      </c>
      <c r="L24">
        <v>122218.69</v>
      </c>
    </row>
    <row r="25" spans="1:12" x14ac:dyDescent="0.35">
      <c r="A25" s="20">
        <v>45599</v>
      </c>
      <c r="B25" t="s">
        <v>20</v>
      </c>
      <c r="C25" t="s">
        <v>21</v>
      </c>
      <c r="D25" t="s">
        <v>22</v>
      </c>
      <c r="E25" t="s">
        <v>81</v>
      </c>
      <c r="F25">
        <v>5</v>
      </c>
      <c r="G25" t="s">
        <v>109</v>
      </c>
      <c r="H25">
        <v>48</v>
      </c>
      <c r="I25">
        <v>47678.57</v>
      </c>
      <c r="J25">
        <v>38232.06</v>
      </c>
      <c r="K25">
        <v>238392.85</v>
      </c>
      <c r="L25">
        <v>191160.3</v>
      </c>
    </row>
    <row r="26" spans="1:12" x14ac:dyDescent="0.35">
      <c r="A26" s="20">
        <v>45703</v>
      </c>
      <c r="B26" t="s">
        <v>8</v>
      </c>
      <c r="C26" t="s">
        <v>16</v>
      </c>
      <c r="D26" t="s">
        <v>25</v>
      </c>
      <c r="E26" t="s">
        <v>89</v>
      </c>
      <c r="F26">
        <v>10</v>
      </c>
      <c r="G26" t="s">
        <v>110</v>
      </c>
      <c r="H26">
        <v>60</v>
      </c>
      <c r="I26">
        <v>6375.98</v>
      </c>
      <c r="J26">
        <v>3802.6</v>
      </c>
      <c r="K26">
        <v>63759.8</v>
      </c>
      <c r="L26">
        <v>38026</v>
      </c>
    </row>
    <row r="27" spans="1:12" x14ac:dyDescent="0.35">
      <c r="A27" s="20">
        <v>45396</v>
      </c>
      <c r="B27" t="s">
        <v>8</v>
      </c>
      <c r="C27" t="s">
        <v>9</v>
      </c>
      <c r="D27" t="s">
        <v>10</v>
      </c>
      <c r="E27" t="s">
        <v>89</v>
      </c>
      <c r="F27">
        <v>2</v>
      </c>
      <c r="G27" t="s">
        <v>111</v>
      </c>
      <c r="H27">
        <v>27</v>
      </c>
      <c r="I27">
        <v>15700.43</v>
      </c>
      <c r="J27">
        <v>12410.65</v>
      </c>
      <c r="K27">
        <v>31400.86</v>
      </c>
      <c r="L27">
        <v>24821.3</v>
      </c>
    </row>
    <row r="28" spans="1:12" x14ac:dyDescent="0.35">
      <c r="A28" s="20">
        <v>45567</v>
      </c>
      <c r="B28" t="s">
        <v>12</v>
      </c>
      <c r="C28" t="s">
        <v>16</v>
      </c>
      <c r="D28" t="s">
        <v>25</v>
      </c>
      <c r="E28" t="s">
        <v>89</v>
      </c>
      <c r="F28">
        <v>13</v>
      </c>
      <c r="G28" t="s">
        <v>112</v>
      </c>
      <c r="H28">
        <v>23</v>
      </c>
      <c r="I28">
        <v>40512.21</v>
      </c>
      <c r="J28">
        <v>34324.18</v>
      </c>
      <c r="K28">
        <v>526658.73</v>
      </c>
      <c r="L28">
        <v>446214.34</v>
      </c>
    </row>
    <row r="29" spans="1:12" x14ac:dyDescent="0.35">
      <c r="A29" s="20">
        <v>45363</v>
      </c>
      <c r="B29" t="s">
        <v>12</v>
      </c>
      <c r="C29" t="s">
        <v>13</v>
      </c>
      <c r="D29" t="s">
        <v>26</v>
      </c>
      <c r="E29" t="s">
        <v>81</v>
      </c>
      <c r="F29">
        <v>8</v>
      </c>
      <c r="G29" t="s">
        <v>113</v>
      </c>
      <c r="H29">
        <v>24</v>
      </c>
      <c r="I29">
        <v>13261.75</v>
      </c>
      <c r="J29">
        <v>9763.93</v>
      </c>
      <c r="K29">
        <v>106094</v>
      </c>
      <c r="L29">
        <v>78111.44</v>
      </c>
    </row>
    <row r="30" spans="1:12" x14ac:dyDescent="0.35">
      <c r="A30" s="20">
        <v>45159</v>
      </c>
      <c r="B30" t="s">
        <v>8</v>
      </c>
      <c r="C30" t="s">
        <v>28</v>
      </c>
      <c r="D30" t="s">
        <v>29</v>
      </c>
      <c r="E30" t="s">
        <v>81</v>
      </c>
      <c r="F30">
        <v>10</v>
      </c>
      <c r="G30" t="s">
        <v>114</v>
      </c>
      <c r="H30">
        <v>40</v>
      </c>
      <c r="I30">
        <v>12858.59</v>
      </c>
      <c r="J30">
        <v>11131.45</v>
      </c>
      <c r="K30">
        <v>128585.9</v>
      </c>
      <c r="L30">
        <v>111314.5</v>
      </c>
    </row>
    <row r="31" spans="1:12" x14ac:dyDescent="0.35">
      <c r="A31" s="20">
        <v>45563</v>
      </c>
      <c r="B31" t="s">
        <v>8</v>
      </c>
      <c r="C31" t="s">
        <v>13</v>
      </c>
      <c r="D31" t="s">
        <v>26</v>
      </c>
      <c r="E31" t="s">
        <v>89</v>
      </c>
      <c r="F31">
        <v>7</v>
      </c>
      <c r="G31" t="s">
        <v>115</v>
      </c>
      <c r="H31">
        <v>32</v>
      </c>
      <c r="I31">
        <v>38140.269999999997</v>
      </c>
      <c r="J31">
        <v>19449.939999999999</v>
      </c>
      <c r="K31">
        <v>266981.89</v>
      </c>
      <c r="L31">
        <v>136149.57999999999</v>
      </c>
    </row>
    <row r="32" spans="1:12" x14ac:dyDescent="0.35">
      <c r="A32" s="20">
        <v>45169</v>
      </c>
      <c r="B32" t="s">
        <v>83</v>
      </c>
      <c r="C32" t="s">
        <v>21</v>
      </c>
      <c r="D32" t="s">
        <v>22</v>
      </c>
      <c r="E32" t="s">
        <v>87</v>
      </c>
      <c r="F32">
        <v>7</v>
      </c>
      <c r="G32" t="s">
        <v>116</v>
      </c>
      <c r="H32">
        <v>39</v>
      </c>
      <c r="I32">
        <v>33430.769999999997</v>
      </c>
      <c r="J32">
        <v>25147.41</v>
      </c>
      <c r="K32">
        <v>234015.39</v>
      </c>
      <c r="L32">
        <v>176031.87</v>
      </c>
    </row>
    <row r="33" spans="1:12" x14ac:dyDescent="0.35">
      <c r="A33" s="20">
        <v>45296</v>
      </c>
      <c r="B33" t="s">
        <v>8</v>
      </c>
      <c r="C33" t="s">
        <v>9</v>
      </c>
      <c r="D33" t="s">
        <v>10</v>
      </c>
      <c r="E33" t="s">
        <v>87</v>
      </c>
      <c r="F33">
        <v>19</v>
      </c>
      <c r="G33" t="s">
        <v>117</v>
      </c>
      <c r="H33">
        <v>45</v>
      </c>
      <c r="I33">
        <v>16163.84</v>
      </c>
      <c r="J33">
        <v>14369.27</v>
      </c>
      <c r="K33">
        <v>307112.96000000002</v>
      </c>
      <c r="L33">
        <v>273016.13</v>
      </c>
    </row>
    <row r="34" spans="1:12" x14ac:dyDescent="0.35">
      <c r="A34" s="20">
        <v>45454</v>
      </c>
      <c r="B34" t="s">
        <v>8</v>
      </c>
      <c r="C34" t="s">
        <v>28</v>
      </c>
      <c r="D34" t="s">
        <v>32</v>
      </c>
      <c r="E34" t="s">
        <v>95</v>
      </c>
      <c r="F34">
        <v>18</v>
      </c>
      <c r="G34" t="s">
        <v>118</v>
      </c>
      <c r="H34">
        <v>28</v>
      </c>
      <c r="I34">
        <v>35372.07</v>
      </c>
      <c r="J34">
        <v>27157.200000000001</v>
      </c>
      <c r="K34">
        <v>636697.26</v>
      </c>
      <c r="L34">
        <v>488829.60000000003</v>
      </c>
    </row>
    <row r="35" spans="1:12" x14ac:dyDescent="0.35">
      <c r="A35" s="20">
        <v>45468</v>
      </c>
      <c r="B35" t="s">
        <v>20</v>
      </c>
      <c r="C35" t="s">
        <v>28</v>
      </c>
      <c r="D35" t="s">
        <v>32</v>
      </c>
      <c r="E35" t="s">
        <v>89</v>
      </c>
      <c r="F35">
        <v>15</v>
      </c>
      <c r="G35" t="s">
        <v>119</v>
      </c>
      <c r="H35">
        <v>59</v>
      </c>
      <c r="I35">
        <v>41330.410000000003</v>
      </c>
      <c r="J35">
        <v>23726.55</v>
      </c>
      <c r="K35">
        <v>619956.15</v>
      </c>
      <c r="L35">
        <v>355898.25</v>
      </c>
    </row>
    <row r="36" spans="1:12" x14ac:dyDescent="0.35">
      <c r="A36" s="20">
        <v>45357</v>
      </c>
      <c r="B36" t="s">
        <v>83</v>
      </c>
      <c r="C36" t="s">
        <v>16</v>
      </c>
      <c r="D36" t="s">
        <v>25</v>
      </c>
      <c r="E36" t="s">
        <v>85</v>
      </c>
      <c r="F36">
        <v>6</v>
      </c>
      <c r="G36" t="s">
        <v>120</v>
      </c>
      <c r="H36">
        <v>34</v>
      </c>
      <c r="I36">
        <v>44321.87</v>
      </c>
      <c r="J36">
        <v>39546.379999999997</v>
      </c>
      <c r="K36">
        <v>265931.21999999997</v>
      </c>
      <c r="L36">
        <v>237278.27999999997</v>
      </c>
    </row>
    <row r="37" spans="1:12" x14ac:dyDescent="0.35">
      <c r="A37" s="20">
        <v>45467</v>
      </c>
      <c r="B37" t="s">
        <v>20</v>
      </c>
      <c r="C37" t="s">
        <v>28</v>
      </c>
      <c r="D37" t="s">
        <v>32</v>
      </c>
      <c r="E37" t="s">
        <v>87</v>
      </c>
      <c r="F37">
        <v>10</v>
      </c>
      <c r="G37" t="s">
        <v>104</v>
      </c>
      <c r="H37">
        <v>50</v>
      </c>
      <c r="I37">
        <v>28834.34</v>
      </c>
      <c r="J37">
        <v>15113.16</v>
      </c>
      <c r="K37">
        <v>288343.40000000002</v>
      </c>
      <c r="L37">
        <v>151131.6</v>
      </c>
    </row>
    <row r="38" spans="1:12" x14ac:dyDescent="0.35">
      <c r="A38" s="20">
        <v>45435</v>
      </c>
      <c r="B38" t="s">
        <v>8</v>
      </c>
      <c r="C38" t="s">
        <v>9</v>
      </c>
      <c r="D38" t="s">
        <v>31</v>
      </c>
      <c r="E38" t="s">
        <v>87</v>
      </c>
      <c r="F38">
        <v>17</v>
      </c>
      <c r="G38" t="s">
        <v>121</v>
      </c>
      <c r="H38">
        <v>30</v>
      </c>
      <c r="I38">
        <v>49724.02</v>
      </c>
      <c r="J38">
        <v>33643.379999999997</v>
      </c>
      <c r="K38">
        <v>845308.34</v>
      </c>
      <c r="L38">
        <v>571937.46</v>
      </c>
    </row>
    <row r="39" spans="1:12" x14ac:dyDescent="0.35">
      <c r="A39" s="20">
        <v>45679</v>
      </c>
      <c r="B39" t="s">
        <v>20</v>
      </c>
      <c r="C39" t="s">
        <v>28</v>
      </c>
      <c r="D39" t="s">
        <v>32</v>
      </c>
      <c r="E39" t="s">
        <v>81</v>
      </c>
      <c r="F39">
        <v>10</v>
      </c>
      <c r="G39" t="s">
        <v>122</v>
      </c>
      <c r="H39">
        <v>41</v>
      </c>
      <c r="I39">
        <v>15433.11</v>
      </c>
      <c r="J39">
        <v>11057</v>
      </c>
      <c r="K39">
        <v>154331.1</v>
      </c>
      <c r="L39">
        <v>110570</v>
      </c>
    </row>
    <row r="40" spans="1:12" x14ac:dyDescent="0.35">
      <c r="A40" s="20">
        <v>45767</v>
      </c>
      <c r="B40" t="s">
        <v>12</v>
      </c>
      <c r="C40" t="s">
        <v>28</v>
      </c>
      <c r="D40" t="s">
        <v>29</v>
      </c>
      <c r="E40" t="s">
        <v>89</v>
      </c>
      <c r="F40">
        <v>18</v>
      </c>
      <c r="G40" t="s">
        <v>113</v>
      </c>
      <c r="H40">
        <v>29</v>
      </c>
      <c r="I40">
        <v>21561.02</v>
      </c>
      <c r="J40">
        <v>11539.36</v>
      </c>
      <c r="K40">
        <v>388098.36</v>
      </c>
      <c r="L40">
        <v>207708.48</v>
      </c>
    </row>
    <row r="41" spans="1:12" x14ac:dyDescent="0.35">
      <c r="A41" s="20">
        <v>45195</v>
      </c>
      <c r="B41" t="s">
        <v>83</v>
      </c>
      <c r="C41" t="s">
        <v>9</v>
      </c>
      <c r="D41" t="s">
        <v>10</v>
      </c>
      <c r="E41" t="s">
        <v>85</v>
      </c>
      <c r="F41">
        <v>20</v>
      </c>
      <c r="G41" t="s">
        <v>123</v>
      </c>
      <c r="H41">
        <v>23</v>
      </c>
      <c r="I41">
        <v>34927.21</v>
      </c>
      <c r="J41">
        <v>25660.959999999999</v>
      </c>
      <c r="K41">
        <v>698544.2</v>
      </c>
      <c r="L41">
        <v>513219.19999999995</v>
      </c>
    </row>
    <row r="42" spans="1:12" x14ac:dyDescent="0.35">
      <c r="A42" s="20">
        <v>45744</v>
      </c>
      <c r="B42" t="s">
        <v>20</v>
      </c>
      <c r="C42" t="s">
        <v>9</v>
      </c>
      <c r="D42" t="s">
        <v>31</v>
      </c>
      <c r="E42" t="s">
        <v>89</v>
      </c>
      <c r="F42">
        <v>6</v>
      </c>
      <c r="G42" t="s">
        <v>124</v>
      </c>
      <c r="H42">
        <v>55</v>
      </c>
      <c r="I42">
        <v>36801.769999999997</v>
      </c>
      <c r="J42">
        <v>23919.27</v>
      </c>
      <c r="K42">
        <v>220810.62</v>
      </c>
      <c r="L42">
        <v>143515.62</v>
      </c>
    </row>
    <row r="43" spans="1:12" x14ac:dyDescent="0.35">
      <c r="A43" s="20">
        <v>45510</v>
      </c>
      <c r="B43" t="s">
        <v>12</v>
      </c>
      <c r="C43" t="s">
        <v>16</v>
      </c>
      <c r="D43" t="s">
        <v>25</v>
      </c>
      <c r="E43" t="s">
        <v>95</v>
      </c>
      <c r="F43">
        <v>11</v>
      </c>
      <c r="G43" t="s">
        <v>93</v>
      </c>
      <c r="H43">
        <v>57</v>
      </c>
      <c r="I43">
        <v>44986.45</v>
      </c>
      <c r="J43">
        <v>32582.76</v>
      </c>
      <c r="K43">
        <v>494850.95</v>
      </c>
      <c r="L43">
        <v>358410.36</v>
      </c>
    </row>
    <row r="44" spans="1:12" x14ac:dyDescent="0.35">
      <c r="A44" s="20">
        <v>45420</v>
      </c>
      <c r="B44" t="s">
        <v>8</v>
      </c>
      <c r="C44" t="s">
        <v>13</v>
      </c>
      <c r="D44" t="s">
        <v>125</v>
      </c>
      <c r="E44" t="s">
        <v>81</v>
      </c>
      <c r="F44">
        <v>19</v>
      </c>
      <c r="G44" t="s">
        <v>122</v>
      </c>
      <c r="H44">
        <v>37</v>
      </c>
      <c r="I44">
        <v>23614.799999999999</v>
      </c>
      <c r="J44">
        <v>16679.650000000001</v>
      </c>
      <c r="K44">
        <v>448681.2</v>
      </c>
      <c r="L44">
        <v>316913.35000000003</v>
      </c>
    </row>
    <row r="45" spans="1:12" x14ac:dyDescent="0.35">
      <c r="A45" s="20">
        <v>45505</v>
      </c>
      <c r="B45" t="s">
        <v>83</v>
      </c>
      <c r="C45" t="s">
        <v>16</v>
      </c>
      <c r="D45" t="s">
        <v>25</v>
      </c>
      <c r="E45" t="s">
        <v>89</v>
      </c>
      <c r="F45">
        <v>4</v>
      </c>
      <c r="G45" t="s">
        <v>126</v>
      </c>
      <c r="H45">
        <v>50</v>
      </c>
      <c r="I45">
        <v>39077.07</v>
      </c>
      <c r="J45">
        <v>26039.69</v>
      </c>
      <c r="K45">
        <v>156308.28</v>
      </c>
      <c r="L45">
        <v>104158.76</v>
      </c>
    </row>
    <row r="46" spans="1:12" x14ac:dyDescent="0.35">
      <c r="A46" s="20">
        <v>45157</v>
      </c>
      <c r="B46" t="s">
        <v>83</v>
      </c>
      <c r="C46" t="s">
        <v>13</v>
      </c>
      <c r="D46" t="s">
        <v>125</v>
      </c>
      <c r="E46" t="s">
        <v>95</v>
      </c>
      <c r="F46">
        <v>9</v>
      </c>
      <c r="G46" t="s">
        <v>112</v>
      </c>
      <c r="H46">
        <v>44</v>
      </c>
      <c r="I46">
        <v>43659.24</v>
      </c>
      <c r="J46">
        <v>23157.78</v>
      </c>
      <c r="K46">
        <v>392933.16</v>
      </c>
      <c r="L46">
        <v>208420.02</v>
      </c>
    </row>
    <row r="47" spans="1:12" x14ac:dyDescent="0.35">
      <c r="A47" s="20">
        <v>45867</v>
      </c>
      <c r="B47" t="s">
        <v>20</v>
      </c>
      <c r="C47" t="s">
        <v>21</v>
      </c>
      <c r="D47" t="s">
        <v>22</v>
      </c>
      <c r="E47" t="s">
        <v>89</v>
      </c>
      <c r="F47">
        <v>2</v>
      </c>
      <c r="G47" t="s">
        <v>127</v>
      </c>
      <c r="H47">
        <v>33</v>
      </c>
      <c r="I47">
        <v>21393.45</v>
      </c>
      <c r="J47">
        <v>13189.94</v>
      </c>
      <c r="K47">
        <v>42786.9</v>
      </c>
      <c r="L47">
        <v>26379.88</v>
      </c>
    </row>
    <row r="48" spans="1:12" x14ac:dyDescent="0.35">
      <c r="A48" s="20">
        <v>45699</v>
      </c>
      <c r="B48" t="s">
        <v>12</v>
      </c>
      <c r="C48" t="s">
        <v>13</v>
      </c>
      <c r="D48" t="s">
        <v>26</v>
      </c>
      <c r="E48" t="s">
        <v>81</v>
      </c>
      <c r="F48">
        <v>12</v>
      </c>
      <c r="G48" t="s">
        <v>128</v>
      </c>
      <c r="H48">
        <v>39</v>
      </c>
      <c r="I48">
        <v>7890.99</v>
      </c>
      <c r="J48">
        <v>6379.83</v>
      </c>
      <c r="K48">
        <v>94691.88</v>
      </c>
      <c r="L48">
        <v>76557.959999999992</v>
      </c>
    </row>
    <row r="49" spans="1:12" x14ac:dyDescent="0.35">
      <c r="A49" s="20">
        <v>45709</v>
      </c>
      <c r="B49" t="s">
        <v>8</v>
      </c>
      <c r="C49" t="s">
        <v>21</v>
      </c>
      <c r="D49" t="s">
        <v>22</v>
      </c>
      <c r="E49" t="s">
        <v>87</v>
      </c>
      <c r="F49">
        <v>16</v>
      </c>
      <c r="G49" t="s">
        <v>129</v>
      </c>
      <c r="H49">
        <v>60</v>
      </c>
      <c r="I49">
        <v>17436.400000000001</v>
      </c>
      <c r="J49">
        <v>10845.3</v>
      </c>
      <c r="K49">
        <v>278982.40000000002</v>
      </c>
      <c r="L49">
        <v>173524.8</v>
      </c>
    </row>
    <row r="50" spans="1:12" x14ac:dyDescent="0.35">
      <c r="A50" s="20">
        <v>45681</v>
      </c>
      <c r="B50" t="s">
        <v>8</v>
      </c>
      <c r="C50" t="s">
        <v>21</v>
      </c>
      <c r="D50" t="s">
        <v>22</v>
      </c>
      <c r="E50" t="s">
        <v>87</v>
      </c>
      <c r="F50">
        <v>6</v>
      </c>
      <c r="G50" t="s">
        <v>130</v>
      </c>
      <c r="H50">
        <v>35</v>
      </c>
      <c r="I50">
        <v>16261.05</v>
      </c>
      <c r="J50">
        <v>8848.49</v>
      </c>
      <c r="K50">
        <v>97566.3</v>
      </c>
      <c r="L50">
        <v>53090.94</v>
      </c>
    </row>
    <row r="51" spans="1:12" x14ac:dyDescent="0.35">
      <c r="A51" s="20">
        <v>45527</v>
      </c>
      <c r="B51" t="s">
        <v>8</v>
      </c>
      <c r="C51" t="s">
        <v>21</v>
      </c>
      <c r="D51" t="s">
        <v>22</v>
      </c>
      <c r="E51" t="s">
        <v>85</v>
      </c>
      <c r="F51">
        <v>8</v>
      </c>
      <c r="G51" t="s">
        <v>131</v>
      </c>
      <c r="H51">
        <v>43</v>
      </c>
      <c r="I51">
        <v>40755</v>
      </c>
      <c r="J51">
        <v>26503.57</v>
      </c>
      <c r="K51">
        <v>326040</v>
      </c>
      <c r="L51">
        <v>212028.56</v>
      </c>
    </row>
    <row r="52" spans="1:12" x14ac:dyDescent="0.35">
      <c r="A52" s="20">
        <v>45167</v>
      </c>
      <c r="B52" t="s">
        <v>8</v>
      </c>
      <c r="C52" t="s">
        <v>28</v>
      </c>
      <c r="D52" t="s">
        <v>30</v>
      </c>
      <c r="E52" t="s">
        <v>87</v>
      </c>
      <c r="F52">
        <v>19</v>
      </c>
      <c r="G52" t="s">
        <v>132</v>
      </c>
      <c r="H52">
        <v>46</v>
      </c>
      <c r="I52">
        <v>30459.06</v>
      </c>
      <c r="J52">
        <v>17181.2</v>
      </c>
      <c r="K52">
        <v>578722.14</v>
      </c>
      <c r="L52">
        <v>326442.8</v>
      </c>
    </row>
    <row r="53" spans="1:12" x14ac:dyDescent="0.35">
      <c r="A53" s="20">
        <v>45254</v>
      </c>
      <c r="B53" t="s">
        <v>20</v>
      </c>
      <c r="C53" t="s">
        <v>21</v>
      </c>
      <c r="D53" t="s">
        <v>22</v>
      </c>
      <c r="E53" t="s">
        <v>87</v>
      </c>
      <c r="F53">
        <v>4</v>
      </c>
      <c r="G53" t="s">
        <v>133</v>
      </c>
      <c r="H53">
        <v>33</v>
      </c>
      <c r="I53">
        <v>27421.83</v>
      </c>
      <c r="J53">
        <v>17449.310000000001</v>
      </c>
      <c r="K53">
        <v>109687.32</v>
      </c>
      <c r="L53">
        <v>69797.240000000005</v>
      </c>
    </row>
    <row r="54" spans="1:12" x14ac:dyDescent="0.35">
      <c r="A54" s="20">
        <v>45750</v>
      </c>
      <c r="B54" t="s">
        <v>12</v>
      </c>
      <c r="C54" t="s">
        <v>28</v>
      </c>
      <c r="D54" t="s">
        <v>29</v>
      </c>
      <c r="E54" t="s">
        <v>87</v>
      </c>
      <c r="F54">
        <v>20</v>
      </c>
      <c r="G54" t="s">
        <v>134</v>
      </c>
      <c r="H54">
        <v>37</v>
      </c>
      <c r="I54">
        <v>39931.89</v>
      </c>
      <c r="J54">
        <v>34771.39</v>
      </c>
      <c r="K54">
        <v>798637.8</v>
      </c>
      <c r="L54">
        <v>695427.8</v>
      </c>
    </row>
    <row r="55" spans="1:12" x14ac:dyDescent="0.35">
      <c r="A55" s="20">
        <v>45211</v>
      </c>
      <c r="B55" t="s">
        <v>20</v>
      </c>
      <c r="C55" t="s">
        <v>13</v>
      </c>
      <c r="D55" t="s">
        <v>135</v>
      </c>
      <c r="E55" t="s">
        <v>95</v>
      </c>
      <c r="F55">
        <v>14</v>
      </c>
      <c r="G55" t="s">
        <v>136</v>
      </c>
      <c r="H55">
        <v>49</v>
      </c>
      <c r="I55">
        <v>22295.65</v>
      </c>
      <c r="J55">
        <v>14660.6</v>
      </c>
      <c r="K55">
        <v>312139.09999999998</v>
      </c>
      <c r="L55">
        <v>205248.4</v>
      </c>
    </row>
    <row r="56" spans="1:12" x14ac:dyDescent="0.35">
      <c r="A56" s="20">
        <v>45298</v>
      </c>
      <c r="B56" t="s">
        <v>8</v>
      </c>
      <c r="C56" t="s">
        <v>21</v>
      </c>
      <c r="D56" t="s">
        <v>22</v>
      </c>
      <c r="E56" t="s">
        <v>95</v>
      </c>
      <c r="F56">
        <v>3</v>
      </c>
      <c r="G56" t="s">
        <v>137</v>
      </c>
      <c r="H56">
        <v>36</v>
      </c>
      <c r="I56">
        <v>23842.66</v>
      </c>
      <c r="J56">
        <v>14359.59</v>
      </c>
      <c r="K56">
        <v>71527.98</v>
      </c>
      <c r="L56">
        <v>43078.770000000004</v>
      </c>
    </row>
    <row r="57" spans="1:12" x14ac:dyDescent="0.35">
      <c r="A57" s="20">
        <v>45317</v>
      </c>
      <c r="B57" t="s">
        <v>12</v>
      </c>
      <c r="C57" t="s">
        <v>21</v>
      </c>
      <c r="D57" t="s">
        <v>22</v>
      </c>
      <c r="E57" t="s">
        <v>89</v>
      </c>
      <c r="F57">
        <v>16</v>
      </c>
      <c r="G57" t="s">
        <v>138</v>
      </c>
      <c r="H57">
        <v>47</v>
      </c>
      <c r="I57">
        <v>8340.3700000000008</v>
      </c>
      <c r="J57">
        <v>7057.53</v>
      </c>
      <c r="K57">
        <v>133445.92000000001</v>
      </c>
      <c r="L57">
        <v>112920.48</v>
      </c>
    </row>
    <row r="58" spans="1:12" x14ac:dyDescent="0.35">
      <c r="A58" s="20">
        <v>45280</v>
      </c>
      <c r="B58" t="s">
        <v>12</v>
      </c>
      <c r="C58" t="s">
        <v>21</v>
      </c>
      <c r="D58" t="s">
        <v>22</v>
      </c>
      <c r="E58" t="s">
        <v>85</v>
      </c>
      <c r="F58">
        <v>3</v>
      </c>
      <c r="G58" t="s">
        <v>139</v>
      </c>
      <c r="H58">
        <v>55</v>
      </c>
      <c r="I58">
        <v>33728.879999999997</v>
      </c>
      <c r="J58">
        <v>27865.56</v>
      </c>
      <c r="K58">
        <v>101186.64</v>
      </c>
      <c r="L58">
        <v>83596.680000000008</v>
      </c>
    </row>
    <row r="59" spans="1:12" x14ac:dyDescent="0.35">
      <c r="A59" s="20">
        <v>45151</v>
      </c>
      <c r="B59" t="s">
        <v>12</v>
      </c>
      <c r="C59" t="s">
        <v>13</v>
      </c>
      <c r="D59" t="s">
        <v>135</v>
      </c>
      <c r="E59" t="s">
        <v>87</v>
      </c>
      <c r="F59">
        <v>17</v>
      </c>
      <c r="G59" t="s">
        <v>88</v>
      </c>
      <c r="H59">
        <v>56</v>
      </c>
      <c r="I59">
        <v>29178.71</v>
      </c>
      <c r="J59">
        <v>15673.83</v>
      </c>
      <c r="K59">
        <v>496038.07</v>
      </c>
      <c r="L59">
        <v>266455.11</v>
      </c>
    </row>
    <row r="60" spans="1:12" x14ac:dyDescent="0.35">
      <c r="A60" s="20">
        <v>45699</v>
      </c>
      <c r="B60" t="s">
        <v>20</v>
      </c>
      <c r="C60" t="s">
        <v>21</v>
      </c>
      <c r="D60" t="s">
        <v>22</v>
      </c>
      <c r="E60" t="s">
        <v>85</v>
      </c>
      <c r="F60">
        <v>17</v>
      </c>
      <c r="G60" t="s">
        <v>140</v>
      </c>
      <c r="H60">
        <v>41</v>
      </c>
      <c r="I60">
        <v>7976.46</v>
      </c>
      <c r="J60">
        <v>5988.59</v>
      </c>
      <c r="K60">
        <v>135599.82</v>
      </c>
      <c r="L60">
        <v>101806.03</v>
      </c>
    </row>
    <row r="61" spans="1:12" x14ac:dyDescent="0.35">
      <c r="A61" s="20">
        <v>45284</v>
      </c>
      <c r="B61" t="s">
        <v>8</v>
      </c>
      <c r="C61" t="s">
        <v>9</v>
      </c>
      <c r="D61" t="s">
        <v>31</v>
      </c>
      <c r="E61" t="s">
        <v>85</v>
      </c>
      <c r="F61">
        <v>15</v>
      </c>
      <c r="G61" t="s">
        <v>141</v>
      </c>
      <c r="H61">
        <v>46</v>
      </c>
      <c r="I61">
        <v>37552.81</v>
      </c>
      <c r="J61">
        <v>20871.63</v>
      </c>
      <c r="K61">
        <v>563292.15</v>
      </c>
      <c r="L61">
        <v>313074.45</v>
      </c>
    </row>
    <row r="62" spans="1:12" x14ac:dyDescent="0.35">
      <c r="A62" s="20">
        <v>45319</v>
      </c>
      <c r="B62" t="s">
        <v>8</v>
      </c>
      <c r="C62" t="s">
        <v>13</v>
      </c>
      <c r="D62" t="s">
        <v>135</v>
      </c>
      <c r="E62" t="s">
        <v>85</v>
      </c>
      <c r="F62">
        <v>2</v>
      </c>
      <c r="G62" t="s">
        <v>142</v>
      </c>
      <c r="H62">
        <v>33</v>
      </c>
      <c r="I62">
        <v>9970.84</v>
      </c>
      <c r="J62">
        <v>7271.73</v>
      </c>
      <c r="K62">
        <v>19941.68</v>
      </c>
      <c r="L62">
        <v>14543.46</v>
      </c>
    </row>
    <row r="63" spans="1:12" x14ac:dyDescent="0.35">
      <c r="A63" s="20">
        <v>45816</v>
      </c>
      <c r="B63" t="s">
        <v>83</v>
      </c>
      <c r="C63" t="s">
        <v>28</v>
      </c>
      <c r="D63" t="s">
        <v>30</v>
      </c>
      <c r="E63" t="s">
        <v>89</v>
      </c>
      <c r="F63">
        <v>6</v>
      </c>
      <c r="G63" t="s">
        <v>143</v>
      </c>
      <c r="H63">
        <v>48</v>
      </c>
      <c r="I63">
        <v>15299.57</v>
      </c>
      <c r="J63">
        <v>9397.77</v>
      </c>
      <c r="K63">
        <v>91797.42</v>
      </c>
      <c r="L63">
        <v>56386.62</v>
      </c>
    </row>
    <row r="64" spans="1:12" x14ac:dyDescent="0.35">
      <c r="A64" s="20">
        <v>45320</v>
      </c>
      <c r="B64" t="s">
        <v>20</v>
      </c>
      <c r="C64" t="s">
        <v>21</v>
      </c>
      <c r="D64" t="s">
        <v>22</v>
      </c>
      <c r="E64" t="s">
        <v>81</v>
      </c>
      <c r="F64">
        <v>2</v>
      </c>
      <c r="G64" t="s">
        <v>144</v>
      </c>
      <c r="H64">
        <v>35</v>
      </c>
      <c r="I64">
        <v>24479.02</v>
      </c>
      <c r="J64">
        <v>18488.45</v>
      </c>
      <c r="K64">
        <v>48958.04</v>
      </c>
      <c r="L64">
        <v>36976.9</v>
      </c>
    </row>
    <row r="65" spans="1:12" x14ac:dyDescent="0.35">
      <c r="A65" s="20">
        <v>45841</v>
      </c>
      <c r="B65" t="s">
        <v>8</v>
      </c>
      <c r="C65" t="s">
        <v>21</v>
      </c>
      <c r="D65" t="s">
        <v>22</v>
      </c>
      <c r="E65" t="s">
        <v>85</v>
      </c>
      <c r="F65">
        <v>1</v>
      </c>
      <c r="G65" t="s">
        <v>145</v>
      </c>
      <c r="H65">
        <v>40</v>
      </c>
      <c r="I65">
        <v>32123.82</v>
      </c>
      <c r="J65">
        <v>27407.62</v>
      </c>
      <c r="K65">
        <v>32123.82</v>
      </c>
      <c r="L65">
        <v>27407.62</v>
      </c>
    </row>
    <row r="66" spans="1:12" x14ac:dyDescent="0.35">
      <c r="A66" s="20">
        <v>45551</v>
      </c>
      <c r="B66" t="s">
        <v>20</v>
      </c>
      <c r="C66" t="s">
        <v>16</v>
      </c>
      <c r="D66" t="s">
        <v>25</v>
      </c>
      <c r="E66" t="s">
        <v>89</v>
      </c>
      <c r="F66">
        <v>7</v>
      </c>
      <c r="G66" t="s">
        <v>146</v>
      </c>
      <c r="H66">
        <v>34</v>
      </c>
      <c r="I66">
        <v>45182.11</v>
      </c>
      <c r="J66">
        <v>23944.12</v>
      </c>
      <c r="K66">
        <v>316274.77</v>
      </c>
      <c r="L66">
        <v>167608.84</v>
      </c>
    </row>
    <row r="67" spans="1:12" x14ac:dyDescent="0.35">
      <c r="A67" s="20">
        <v>45351</v>
      </c>
      <c r="B67" t="s">
        <v>83</v>
      </c>
      <c r="C67" t="s">
        <v>13</v>
      </c>
      <c r="D67" t="s">
        <v>135</v>
      </c>
      <c r="E67" t="s">
        <v>87</v>
      </c>
      <c r="F67">
        <v>4</v>
      </c>
      <c r="G67" t="s">
        <v>104</v>
      </c>
      <c r="H67">
        <v>29</v>
      </c>
      <c r="I67">
        <v>22031.599999999999</v>
      </c>
      <c r="J67">
        <v>17277.55</v>
      </c>
      <c r="K67">
        <v>88126.399999999994</v>
      </c>
      <c r="L67">
        <v>69110.2</v>
      </c>
    </row>
    <row r="68" spans="1:12" x14ac:dyDescent="0.35">
      <c r="A68" s="20">
        <v>45548</v>
      </c>
      <c r="B68" t="s">
        <v>8</v>
      </c>
      <c r="C68" t="s">
        <v>28</v>
      </c>
      <c r="D68" t="s">
        <v>29</v>
      </c>
      <c r="E68" t="s">
        <v>85</v>
      </c>
      <c r="F68">
        <v>20</v>
      </c>
      <c r="G68" t="s">
        <v>145</v>
      </c>
      <c r="H68">
        <v>27</v>
      </c>
      <c r="I68">
        <v>19020.14</v>
      </c>
      <c r="J68">
        <v>11499.89</v>
      </c>
      <c r="K68">
        <v>380402.8</v>
      </c>
      <c r="L68">
        <v>229997.8</v>
      </c>
    </row>
    <row r="69" spans="1:12" x14ac:dyDescent="0.35">
      <c r="A69" s="20">
        <v>45348</v>
      </c>
      <c r="B69" t="s">
        <v>83</v>
      </c>
      <c r="C69" t="s">
        <v>13</v>
      </c>
      <c r="D69" t="s">
        <v>125</v>
      </c>
      <c r="E69" t="s">
        <v>81</v>
      </c>
      <c r="F69">
        <v>2</v>
      </c>
      <c r="G69" t="s">
        <v>147</v>
      </c>
      <c r="H69">
        <v>60</v>
      </c>
      <c r="I69">
        <v>32858.68</v>
      </c>
      <c r="J69">
        <v>23928.66</v>
      </c>
      <c r="K69">
        <v>65717.36</v>
      </c>
      <c r="L69">
        <v>47857.32</v>
      </c>
    </row>
    <row r="70" spans="1:12" x14ac:dyDescent="0.35">
      <c r="A70" s="20">
        <v>45470</v>
      </c>
      <c r="B70" t="s">
        <v>20</v>
      </c>
      <c r="C70" t="s">
        <v>16</v>
      </c>
      <c r="D70" t="s">
        <v>17</v>
      </c>
      <c r="E70" t="s">
        <v>95</v>
      </c>
      <c r="F70">
        <v>15</v>
      </c>
      <c r="G70" t="s">
        <v>148</v>
      </c>
      <c r="H70">
        <v>30</v>
      </c>
      <c r="I70">
        <v>6662.29</v>
      </c>
      <c r="J70">
        <v>3448.57</v>
      </c>
      <c r="K70">
        <v>99934.35</v>
      </c>
      <c r="L70">
        <v>51728.55</v>
      </c>
    </row>
    <row r="71" spans="1:12" x14ac:dyDescent="0.35">
      <c r="A71" s="20">
        <v>45610</v>
      </c>
      <c r="B71" t="s">
        <v>83</v>
      </c>
      <c r="C71" t="s">
        <v>16</v>
      </c>
      <c r="D71" t="s">
        <v>25</v>
      </c>
      <c r="E71" t="s">
        <v>87</v>
      </c>
      <c r="F71">
        <v>10</v>
      </c>
      <c r="G71" t="s">
        <v>149</v>
      </c>
      <c r="H71">
        <v>56</v>
      </c>
      <c r="I71">
        <v>22731.31</v>
      </c>
      <c r="J71">
        <v>13919.51</v>
      </c>
      <c r="K71">
        <v>227313.1</v>
      </c>
      <c r="L71">
        <v>139195.1</v>
      </c>
    </row>
    <row r="72" spans="1:12" x14ac:dyDescent="0.35">
      <c r="A72" s="20">
        <v>45400</v>
      </c>
      <c r="B72" t="s">
        <v>83</v>
      </c>
      <c r="C72" t="s">
        <v>16</v>
      </c>
      <c r="D72" t="s">
        <v>25</v>
      </c>
      <c r="E72" t="s">
        <v>87</v>
      </c>
      <c r="F72">
        <v>4</v>
      </c>
      <c r="G72" t="s">
        <v>150</v>
      </c>
      <c r="H72">
        <v>59</v>
      </c>
      <c r="I72">
        <v>21463.84</v>
      </c>
      <c r="J72">
        <v>18032.099999999999</v>
      </c>
      <c r="K72">
        <v>85855.360000000001</v>
      </c>
      <c r="L72">
        <v>72128.399999999994</v>
      </c>
    </row>
    <row r="73" spans="1:12" x14ac:dyDescent="0.35">
      <c r="A73" s="20">
        <v>45863</v>
      </c>
      <c r="B73" t="s">
        <v>83</v>
      </c>
      <c r="C73" t="s">
        <v>21</v>
      </c>
      <c r="D73" t="s">
        <v>22</v>
      </c>
      <c r="E73" t="s">
        <v>85</v>
      </c>
      <c r="F73">
        <v>14</v>
      </c>
      <c r="G73" t="s">
        <v>151</v>
      </c>
      <c r="H73">
        <v>54</v>
      </c>
      <c r="I73">
        <v>31166.67</v>
      </c>
      <c r="J73">
        <v>26796.75</v>
      </c>
      <c r="K73">
        <v>436333.38</v>
      </c>
      <c r="L73">
        <v>375154.5</v>
      </c>
    </row>
    <row r="74" spans="1:12" x14ac:dyDescent="0.35">
      <c r="A74" s="20">
        <v>45391</v>
      </c>
      <c r="B74" t="s">
        <v>83</v>
      </c>
      <c r="C74" t="s">
        <v>21</v>
      </c>
      <c r="D74" t="s">
        <v>22</v>
      </c>
      <c r="E74" t="s">
        <v>81</v>
      </c>
      <c r="F74">
        <v>13</v>
      </c>
      <c r="G74" t="s">
        <v>152</v>
      </c>
      <c r="H74">
        <v>53</v>
      </c>
      <c r="I74">
        <v>36354.28</v>
      </c>
      <c r="J74">
        <v>31904.73</v>
      </c>
      <c r="K74">
        <v>472605.64</v>
      </c>
      <c r="L74">
        <v>414761.49</v>
      </c>
    </row>
    <row r="75" spans="1:12" x14ac:dyDescent="0.35">
      <c r="A75" s="20">
        <v>45353</v>
      </c>
      <c r="B75" t="s">
        <v>8</v>
      </c>
      <c r="C75" t="s">
        <v>16</v>
      </c>
      <c r="D75" t="s">
        <v>25</v>
      </c>
      <c r="E75" t="s">
        <v>89</v>
      </c>
      <c r="F75">
        <v>19</v>
      </c>
      <c r="G75" t="s">
        <v>153</v>
      </c>
      <c r="H75">
        <v>49</v>
      </c>
      <c r="I75">
        <v>42943.19</v>
      </c>
      <c r="J75">
        <v>36005.79</v>
      </c>
      <c r="K75">
        <v>815920.61</v>
      </c>
      <c r="L75">
        <v>684110.01</v>
      </c>
    </row>
    <row r="76" spans="1:12" x14ac:dyDescent="0.35">
      <c r="A76" s="20">
        <v>45629</v>
      </c>
      <c r="B76" t="s">
        <v>12</v>
      </c>
      <c r="C76" t="s">
        <v>16</v>
      </c>
      <c r="D76" t="s">
        <v>25</v>
      </c>
      <c r="E76" t="s">
        <v>87</v>
      </c>
      <c r="F76">
        <v>13</v>
      </c>
      <c r="G76" t="s">
        <v>154</v>
      </c>
      <c r="H76">
        <v>57</v>
      </c>
      <c r="I76">
        <v>10304.24</v>
      </c>
      <c r="J76">
        <v>9216.18</v>
      </c>
      <c r="K76">
        <v>133955.12</v>
      </c>
      <c r="L76">
        <v>119810.34</v>
      </c>
    </row>
    <row r="77" spans="1:12" x14ac:dyDescent="0.35">
      <c r="A77" s="20">
        <v>45488</v>
      </c>
      <c r="B77" t="s">
        <v>8</v>
      </c>
      <c r="C77" t="s">
        <v>9</v>
      </c>
      <c r="D77" t="s">
        <v>10</v>
      </c>
      <c r="E77" t="s">
        <v>89</v>
      </c>
      <c r="F77">
        <v>20</v>
      </c>
      <c r="G77" t="s">
        <v>121</v>
      </c>
      <c r="H77">
        <v>53</v>
      </c>
      <c r="I77">
        <v>36205.519999999997</v>
      </c>
      <c r="J77">
        <v>30860.03</v>
      </c>
      <c r="K77">
        <v>724110.4</v>
      </c>
      <c r="L77">
        <v>617200.6</v>
      </c>
    </row>
    <row r="78" spans="1:12" x14ac:dyDescent="0.35">
      <c r="A78" s="20">
        <v>45642</v>
      </c>
      <c r="B78" t="s">
        <v>8</v>
      </c>
      <c r="C78" t="s">
        <v>16</v>
      </c>
      <c r="D78" t="s">
        <v>25</v>
      </c>
      <c r="E78" t="s">
        <v>85</v>
      </c>
      <c r="F78">
        <v>12</v>
      </c>
      <c r="G78" t="s">
        <v>155</v>
      </c>
      <c r="H78">
        <v>46</v>
      </c>
      <c r="I78">
        <v>41490.480000000003</v>
      </c>
      <c r="J78">
        <v>35148.400000000001</v>
      </c>
      <c r="K78">
        <v>497885.76</v>
      </c>
      <c r="L78">
        <v>421780.80000000005</v>
      </c>
    </row>
    <row r="79" spans="1:12" x14ac:dyDescent="0.35">
      <c r="A79" s="20">
        <v>45266</v>
      </c>
      <c r="B79" t="s">
        <v>8</v>
      </c>
      <c r="C79" t="s">
        <v>16</v>
      </c>
      <c r="D79" t="s">
        <v>17</v>
      </c>
      <c r="E79" t="s">
        <v>95</v>
      </c>
      <c r="F79">
        <v>2</v>
      </c>
      <c r="G79" t="s">
        <v>156</v>
      </c>
      <c r="H79">
        <v>53</v>
      </c>
      <c r="I79">
        <v>31029.95</v>
      </c>
      <c r="J79">
        <v>20814.09</v>
      </c>
      <c r="K79">
        <v>62059.9</v>
      </c>
      <c r="L79">
        <v>41628.18</v>
      </c>
    </row>
    <row r="80" spans="1:12" x14ac:dyDescent="0.35">
      <c r="A80" s="20">
        <v>45375</v>
      </c>
      <c r="B80" t="s">
        <v>8</v>
      </c>
      <c r="C80" t="s">
        <v>13</v>
      </c>
      <c r="D80" t="s">
        <v>135</v>
      </c>
      <c r="E80" t="s">
        <v>85</v>
      </c>
      <c r="F80">
        <v>12</v>
      </c>
      <c r="G80" t="s">
        <v>94</v>
      </c>
      <c r="H80">
        <v>35</v>
      </c>
      <c r="I80">
        <v>27351.51</v>
      </c>
      <c r="J80">
        <v>15418.76</v>
      </c>
      <c r="K80">
        <v>328218.12</v>
      </c>
      <c r="L80">
        <v>185025.12</v>
      </c>
    </row>
    <row r="81" spans="1:12" x14ac:dyDescent="0.35">
      <c r="A81" s="20">
        <v>45581</v>
      </c>
      <c r="B81" t="s">
        <v>12</v>
      </c>
      <c r="C81" t="s">
        <v>28</v>
      </c>
      <c r="D81" t="s">
        <v>30</v>
      </c>
      <c r="E81" t="s">
        <v>81</v>
      </c>
      <c r="F81">
        <v>15</v>
      </c>
      <c r="G81" t="s">
        <v>157</v>
      </c>
      <c r="H81">
        <v>35</v>
      </c>
      <c r="I81">
        <v>42195.45</v>
      </c>
      <c r="J81">
        <v>29085.95</v>
      </c>
      <c r="K81">
        <v>632931.75</v>
      </c>
      <c r="L81">
        <v>436289.25</v>
      </c>
    </row>
    <row r="82" spans="1:12" x14ac:dyDescent="0.35">
      <c r="A82" s="20">
        <v>45418</v>
      </c>
      <c r="B82" t="s">
        <v>20</v>
      </c>
      <c r="C82" t="s">
        <v>28</v>
      </c>
      <c r="D82" t="s">
        <v>29</v>
      </c>
      <c r="E82" t="s">
        <v>85</v>
      </c>
      <c r="F82">
        <v>11</v>
      </c>
      <c r="G82" t="s">
        <v>158</v>
      </c>
      <c r="H82">
        <v>41</v>
      </c>
      <c r="I82">
        <v>39296.400000000001</v>
      </c>
      <c r="J82">
        <v>30365.05</v>
      </c>
      <c r="K82">
        <v>432260.4</v>
      </c>
      <c r="L82">
        <v>334015.55</v>
      </c>
    </row>
    <row r="83" spans="1:12" x14ac:dyDescent="0.35">
      <c r="A83" s="20">
        <v>45828</v>
      </c>
      <c r="B83" t="s">
        <v>20</v>
      </c>
      <c r="C83" t="s">
        <v>21</v>
      </c>
      <c r="D83" t="s">
        <v>22</v>
      </c>
      <c r="E83" t="s">
        <v>89</v>
      </c>
      <c r="F83">
        <v>7</v>
      </c>
      <c r="G83" t="s">
        <v>159</v>
      </c>
      <c r="H83">
        <v>36</v>
      </c>
      <c r="I83">
        <v>9121.2000000000007</v>
      </c>
      <c r="J83">
        <v>5717.29</v>
      </c>
      <c r="K83">
        <v>63848.4</v>
      </c>
      <c r="L83">
        <v>40021.03</v>
      </c>
    </row>
    <row r="84" spans="1:12" x14ac:dyDescent="0.35">
      <c r="A84" s="20">
        <v>45772</v>
      </c>
      <c r="B84" t="s">
        <v>12</v>
      </c>
      <c r="C84" t="s">
        <v>21</v>
      </c>
      <c r="D84" t="s">
        <v>22</v>
      </c>
      <c r="E84" t="s">
        <v>89</v>
      </c>
      <c r="F84">
        <v>18</v>
      </c>
      <c r="G84" t="s">
        <v>160</v>
      </c>
      <c r="H84">
        <v>52</v>
      </c>
      <c r="I84">
        <v>33588.19</v>
      </c>
      <c r="J84">
        <v>19285.89</v>
      </c>
      <c r="K84">
        <v>604587.42000000004</v>
      </c>
      <c r="L84">
        <v>347146.02</v>
      </c>
    </row>
    <row r="85" spans="1:12" x14ac:dyDescent="0.35">
      <c r="A85" s="20">
        <v>45370</v>
      </c>
      <c r="B85" t="s">
        <v>12</v>
      </c>
      <c r="C85" t="s">
        <v>21</v>
      </c>
      <c r="D85" t="s">
        <v>22</v>
      </c>
      <c r="E85" t="s">
        <v>87</v>
      </c>
      <c r="F85">
        <v>11</v>
      </c>
      <c r="G85" t="s">
        <v>161</v>
      </c>
      <c r="H85">
        <v>40</v>
      </c>
      <c r="I85">
        <v>19765.48</v>
      </c>
      <c r="J85">
        <v>12276.07</v>
      </c>
      <c r="K85">
        <v>217420.28</v>
      </c>
      <c r="L85">
        <v>135036.76999999999</v>
      </c>
    </row>
    <row r="86" spans="1:12" x14ac:dyDescent="0.35">
      <c r="A86" s="20">
        <v>45398</v>
      </c>
      <c r="B86" t="s">
        <v>83</v>
      </c>
      <c r="C86" t="s">
        <v>21</v>
      </c>
      <c r="D86" t="s">
        <v>22</v>
      </c>
      <c r="E86" t="s">
        <v>85</v>
      </c>
      <c r="F86">
        <v>2</v>
      </c>
      <c r="G86" t="s">
        <v>162</v>
      </c>
      <c r="H86">
        <v>22</v>
      </c>
      <c r="I86">
        <v>32271.279999999999</v>
      </c>
      <c r="J86">
        <v>20337.02</v>
      </c>
      <c r="K86">
        <v>64542.559999999998</v>
      </c>
      <c r="L86">
        <v>40674.04</v>
      </c>
    </row>
    <row r="87" spans="1:12" x14ac:dyDescent="0.35">
      <c r="A87" s="20">
        <v>45679</v>
      </c>
      <c r="B87" t="s">
        <v>83</v>
      </c>
      <c r="C87" t="s">
        <v>16</v>
      </c>
      <c r="D87" t="s">
        <v>25</v>
      </c>
      <c r="E87" t="s">
        <v>87</v>
      </c>
      <c r="F87">
        <v>10</v>
      </c>
      <c r="G87" t="s">
        <v>163</v>
      </c>
      <c r="H87">
        <v>57</v>
      </c>
      <c r="I87">
        <v>17901.55</v>
      </c>
      <c r="J87">
        <v>10204.790000000001</v>
      </c>
      <c r="K87">
        <v>179015.5</v>
      </c>
      <c r="L87">
        <v>102047.90000000001</v>
      </c>
    </row>
    <row r="88" spans="1:12" x14ac:dyDescent="0.35">
      <c r="A88" s="20">
        <v>45813</v>
      </c>
      <c r="B88" t="s">
        <v>12</v>
      </c>
      <c r="C88" t="s">
        <v>9</v>
      </c>
      <c r="D88" t="s">
        <v>10</v>
      </c>
      <c r="E88" t="s">
        <v>89</v>
      </c>
      <c r="F88">
        <v>9</v>
      </c>
      <c r="G88" t="s">
        <v>164</v>
      </c>
      <c r="H88">
        <v>58</v>
      </c>
      <c r="I88">
        <v>24033.9</v>
      </c>
      <c r="J88">
        <v>17374.43</v>
      </c>
      <c r="K88">
        <v>216305.1</v>
      </c>
      <c r="L88">
        <v>156369.87</v>
      </c>
    </row>
    <row r="89" spans="1:12" x14ac:dyDescent="0.35">
      <c r="A89" s="20">
        <v>45637</v>
      </c>
      <c r="B89" t="s">
        <v>83</v>
      </c>
      <c r="C89" t="s">
        <v>21</v>
      </c>
      <c r="D89" t="s">
        <v>22</v>
      </c>
      <c r="E89" t="s">
        <v>87</v>
      </c>
      <c r="F89">
        <v>17</v>
      </c>
      <c r="G89" t="s">
        <v>165</v>
      </c>
      <c r="H89">
        <v>22</v>
      </c>
      <c r="I89">
        <v>23142.73</v>
      </c>
      <c r="J89">
        <v>18889.88</v>
      </c>
      <c r="K89">
        <v>393426.41</v>
      </c>
      <c r="L89">
        <v>321127.96000000002</v>
      </c>
    </row>
    <row r="90" spans="1:12" x14ac:dyDescent="0.35">
      <c r="A90" s="20">
        <v>45290</v>
      </c>
      <c r="B90" t="s">
        <v>8</v>
      </c>
      <c r="C90" t="s">
        <v>9</v>
      </c>
      <c r="D90" t="s">
        <v>10</v>
      </c>
      <c r="E90" t="s">
        <v>81</v>
      </c>
      <c r="F90">
        <v>1</v>
      </c>
      <c r="G90" t="s">
        <v>166</v>
      </c>
      <c r="H90">
        <v>54</v>
      </c>
      <c r="I90">
        <v>12655.13</v>
      </c>
      <c r="J90">
        <v>9141.56</v>
      </c>
      <c r="K90">
        <v>12655.13</v>
      </c>
      <c r="L90">
        <v>9141.56</v>
      </c>
    </row>
    <row r="91" spans="1:12" x14ac:dyDescent="0.35">
      <c r="A91" s="20">
        <v>45369</v>
      </c>
      <c r="B91" t="s">
        <v>83</v>
      </c>
      <c r="C91" t="s">
        <v>28</v>
      </c>
      <c r="D91" t="s">
        <v>29</v>
      </c>
      <c r="E91" t="s">
        <v>95</v>
      </c>
      <c r="F91">
        <v>15</v>
      </c>
      <c r="G91" t="s">
        <v>167</v>
      </c>
      <c r="H91">
        <v>44</v>
      </c>
      <c r="I91">
        <v>9202.9500000000007</v>
      </c>
      <c r="J91">
        <v>4782.57</v>
      </c>
      <c r="K91">
        <v>138044.25</v>
      </c>
      <c r="L91">
        <v>71738.549999999988</v>
      </c>
    </row>
    <row r="92" spans="1:12" x14ac:dyDescent="0.35">
      <c r="A92" s="20">
        <v>45336</v>
      </c>
      <c r="B92" t="s">
        <v>20</v>
      </c>
      <c r="C92" t="s">
        <v>21</v>
      </c>
      <c r="D92" t="s">
        <v>22</v>
      </c>
      <c r="E92" t="s">
        <v>81</v>
      </c>
      <c r="F92">
        <v>18</v>
      </c>
      <c r="G92" t="s">
        <v>168</v>
      </c>
      <c r="H92">
        <v>24</v>
      </c>
      <c r="I92">
        <v>9204.35</v>
      </c>
      <c r="J92">
        <v>5214.3500000000004</v>
      </c>
      <c r="K92">
        <v>165678.29999999999</v>
      </c>
      <c r="L92">
        <v>93858.3</v>
      </c>
    </row>
    <row r="93" spans="1:12" x14ac:dyDescent="0.35">
      <c r="A93" s="20">
        <v>45671</v>
      </c>
      <c r="B93" t="s">
        <v>20</v>
      </c>
      <c r="C93" t="s">
        <v>9</v>
      </c>
      <c r="D93" t="s">
        <v>23</v>
      </c>
      <c r="E93" t="s">
        <v>81</v>
      </c>
      <c r="F93">
        <v>5</v>
      </c>
      <c r="G93" t="s">
        <v>169</v>
      </c>
      <c r="H93">
        <v>30</v>
      </c>
      <c r="I93">
        <v>48133.54</v>
      </c>
      <c r="J93">
        <v>27108.04</v>
      </c>
      <c r="K93">
        <v>240667.7</v>
      </c>
      <c r="L93">
        <v>135540.20000000001</v>
      </c>
    </row>
    <row r="94" spans="1:12" x14ac:dyDescent="0.35">
      <c r="A94" s="20">
        <v>45472</v>
      </c>
      <c r="B94" t="s">
        <v>20</v>
      </c>
      <c r="C94" t="s">
        <v>9</v>
      </c>
      <c r="D94" t="s">
        <v>31</v>
      </c>
      <c r="E94" t="s">
        <v>81</v>
      </c>
      <c r="F94">
        <v>10</v>
      </c>
      <c r="G94" t="s">
        <v>170</v>
      </c>
      <c r="H94">
        <v>29</v>
      </c>
      <c r="I94">
        <v>43442.6</v>
      </c>
      <c r="J94">
        <v>23525.23</v>
      </c>
      <c r="K94">
        <v>434426</v>
      </c>
      <c r="L94">
        <v>235252.3</v>
      </c>
    </row>
    <row r="95" spans="1:12" x14ac:dyDescent="0.35">
      <c r="A95" s="20">
        <v>45649</v>
      </c>
      <c r="B95" t="s">
        <v>12</v>
      </c>
      <c r="C95" t="s">
        <v>16</v>
      </c>
      <c r="D95" t="s">
        <v>25</v>
      </c>
      <c r="E95" t="s">
        <v>81</v>
      </c>
      <c r="F95">
        <v>5</v>
      </c>
      <c r="G95" t="s">
        <v>171</v>
      </c>
      <c r="H95">
        <v>36</v>
      </c>
      <c r="I95">
        <v>21735.06</v>
      </c>
      <c r="J95">
        <v>11326.72</v>
      </c>
      <c r="K95">
        <v>108675.3</v>
      </c>
      <c r="L95">
        <v>56633.599999999999</v>
      </c>
    </row>
    <row r="96" spans="1:12" x14ac:dyDescent="0.35">
      <c r="A96" s="20">
        <v>45229</v>
      </c>
      <c r="B96" t="s">
        <v>20</v>
      </c>
      <c r="C96" t="s">
        <v>16</v>
      </c>
      <c r="D96" t="s">
        <v>17</v>
      </c>
      <c r="E96" t="s">
        <v>89</v>
      </c>
      <c r="F96">
        <v>2</v>
      </c>
      <c r="G96" t="s">
        <v>172</v>
      </c>
      <c r="H96">
        <v>57</v>
      </c>
      <c r="I96">
        <v>37585.42</v>
      </c>
      <c r="J96">
        <v>30487.46</v>
      </c>
      <c r="K96">
        <v>75170.84</v>
      </c>
      <c r="L96">
        <v>60974.92</v>
      </c>
    </row>
    <row r="97" spans="1:12" x14ac:dyDescent="0.35">
      <c r="A97" s="20">
        <v>45747</v>
      </c>
      <c r="B97" t="s">
        <v>12</v>
      </c>
      <c r="C97" t="s">
        <v>28</v>
      </c>
      <c r="D97" t="s">
        <v>29</v>
      </c>
      <c r="E97" t="s">
        <v>81</v>
      </c>
      <c r="F97">
        <v>9</v>
      </c>
      <c r="G97" t="s">
        <v>173</v>
      </c>
      <c r="H97">
        <v>45</v>
      </c>
      <c r="I97">
        <v>23281.46</v>
      </c>
      <c r="J97">
        <v>16632.55</v>
      </c>
      <c r="K97">
        <v>209533.14</v>
      </c>
      <c r="L97">
        <v>149692.94999999998</v>
      </c>
    </row>
    <row r="98" spans="1:12" x14ac:dyDescent="0.35">
      <c r="A98" s="20">
        <v>45177</v>
      </c>
      <c r="B98" t="s">
        <v>12</v>
      </c>
      <c r="C98" t="s">
        <v>13</v>
      </c>
      <c r="D98" t="s">
        <v>135</v>
      </c>
      <c r="E98" t="s">
        <v>87</v>
      </c>
      <c r="F98">
        <v>14</v>
      </c>
      <c r="G98" t="s">
        <v>163</v>
      </c>
      <c r="H98">
        <v>49</v>
      </c>
      <c r="I98">
        <v>16049.9</v>
      </c>
      <c r="J98">
        <v>9901.41</v>
      </c>
      <c r="K98">
        <v>224698.6</v>
      </c>
      <c r="L98">
        <v>138619.74</v>
      </c>
    </row>
    <row r="99" spans="1:12" x14ac:dyDescent="0.35">
      <c r="A99" s="20">
        <v>45547</v>
      </c>
      <c r="B99" t="s">
        <v>8</v>
      </c>
      <c r="C99" t="s">
        <v>16</v>
      </c>
      <c r="D99" t="s">
        <v>17</v>
      </c>
      <c r="E99" t="s">
        <v>85</v>
      </c>
      <c r="F99">
        <v>9</v>
      </c>
      <c r="G99" t="s">
        <v>174</v>
      </c>
      <c r="H99">
        <v>58</v>
      </c>
      <c r="I99">
        <v>16411.36</v>
      </c>
      <c r="J99">
        <v>11195.12</v>
      </c>
      <c r="K99">
        <v>147702.24</v>
      </c>
      <c r="L99">
        <v>100756.08</v>
      </c>
    </row>
    <row r="100" spans="1:12" x14ac:dyDescent="0.35">
      <c r="A100" s="20">
        <v>45565</v>
      </c>
      <c r="B100" t="s">
        <v>8</v>
      </c>
      <c r="C100" t="s">
        <v>28</v>
      </c>
      <c r="D100" t="s">
        <v>30</v>
      </c>
      <c r="E100" t="s">
        <v>95</v>
      </c>
      <c r="F100">
        <v>13</v>
      </c>
      <c r="G100" t="s">
        <v>175</v>
      </c>
      <c r="H100">
        <v>43</v>
      </c>
      <c r="I100">
        <v>43521.41</v>
      </c>
      <c r="J100">
        <v>38795.71</v>
      </c>
      <c r="K100">
        <v>565778.32999999996</v>
      </c>
      <c r="L100">
        <v>504344.23</v>
      </c>
    </row>
    <row r="101" spans="1:12" x14ac:dyDescent="0.35">
      <c r="A101" s="20">
        <v>45328</v>
      </c>
      <c r="B101" t="s">
        <v>8</v>
      </c>
      <c r="C101" t="s">
        <v>9</v>
      </c>
      <c r="D101" t="s">
        <v>10</v>
      </c>
      <c r="E101" t="s">
        <v>95</v>
      </c>
      <c r="F101">
        <v>14</v>
      </c>
      <c r="G101" t="s">
        <v>176</v>
      </c>
      <c r="H101">
        <v>57</v>
      </c>
      <c r="I101">
        <v>17650.599999999999</v>
      </c>
      <c r="J101">
        <v>15138.41</v>
      </c>
      <c r="K101">
        <v>247108.4</v>
      </c>
      <c r="L101">
        <v>211937.74</v>
      </c>
    </row>
    <row r="102" spans="1:12" x14ac:dyDescent="0.35">
      <c r="A102" s="20">
        <v>45836</v>
      </c>
      <c r="B102" t="s">
        <v>8</v>
      </c>
      <c r="C102" t="s">
        <v>16</v>
      </c>
      <c r="D102" t="s">
        <v>25</v>
      </c>
      <c r="E102" t="s">
        <v>89</v>
      </c>
      <c r="F102">
        <v>13</v>
      </c>
      <c r="G102" t="s">
        <v>177</v>
      </c>
      <c r="H102">
        <v>29</v>
      </c>
      <c r="I102">
        <v>20787.77</v>
      </c>
      <c r="J102">
        <v>11420.87</v>
      </c>
      <c r="K102">
        <v>270241.01</v>
      </c>
      <c r="L102">
        <v>148471.31</v>
      </c>
    </row>
    <row r="103" spans="1:12" x14ac:dyDescent="0.35">
      <c r="A103" s="20">
        <v>45237</v>
      </c>
      <c r="B103" t="s">
        <v>12</v>
      </c>
      <c r="C103" t="s">
        <v>21</v>
      </c>
      <c r="D103" t="s">
        <v>22</v>
      </c>
      <c r="E103" t="s">
        <v>95</v>
      </c>
      <c r="F103">
        <v>17</v>
      </c>
      <c r="G103" t="s">
        <v>178</v>
      </c>
      <c r="H103">
        <v>50</v>
      </c>
      <c r="I103">
        <v>46689.78</v>
      </c>
      <c r="J103">
        <v>31041.02</v>
      </c>
      <c r="K103">
        <v>793726.26</v>
      </c>
      <c r="L103">
        <v>527697.34</v>
      </c>
    </row>
    <row r="104" spans="1:12" x14ac:dyDescent="0.35">
      <c r="A104" s="20">
        <v>45211</v>
      </c>
      <c r="B104" t="s">
        <v>20</v>
      </c>
      <c r="C104" t="s">
        <v>21</v>
      </c>
      <c r="D104" t="s">
        <v>22</v>
      </c>
      <c r="E104" t="s">
        <v>89</v>
      </c>
      <c r="F104">
        <v>3</v>
      </c>
      <c r="G104" t="s">
        <v>179</v>
      </c>
      <c r="H104">
        <v>47</v>
      </c>
      <c r="I104">
        <v>48974.26</v>
      </c>
      <c r="J104">
        <v>29476.78</v>
      </c>
      <c r="K104">
        <v>146922.78</v>
      </c>
      <c r="L104">
        <v>88430.34</v>
      </c>
    </row>
    <row r="105" spans="1:12" x14ac:dyDescent="0.35">
      <c r="A105" s="20">
        <v>45407</v>
      </c>
      <c r="B105" t="s">
        <v>83</v>
      </c>
      <c r="C105" t="s">
        <v>13</v>
      </c>
      <c r="D105" t="s">
        <v>135</v>
      </c>
      <c r="E105" t="s">
        <v>87</v>
      </c>
      <c r="F105">
        <v>15</v>
      </c>
      <c r="G105" t="s">
        <v>91</v>
      </c>
      <c r="H105">
        <v>56</v>
      </c>
      <c r="I105">
        <v>28038.87</v>
      </c>
      <c r="J105">
        <v>23151.01</v>
      </c>
      <c r="K105">
        <v>420583.05</v>
      </c>
      <c r="L105">
        <v>347265.14999999997</v>
      </c>
    </row>
    <row r="106" spans="1:12" x14ac:dyDescent="0.35">
      <c r="A106" s="20">
        <v>45232</v>
      </c>
      <c r="B106" t="s">
        <v>20</v>
      </c>
      <c r="C106" t="s">
        <v>9</v>
      </c>
      <c r="D106" t="s">
        <v>23</v>
      </c>
      <c r="E106" t="s">
        <v>87</v>
      </c>
      <c r="F106">
        <v>16</v>
      </c>
      <c r="G106" t="s">
        <v>180</v>
      </c>
      <c r="H106">
        <v>57</v>
      </c>
      <c r="I106">
        <v>6729.82</v>
      </c>
      <c r="J106">
        <v>5161.0600000000004</v>
      </c>
      <c r="K106">
        <v>107677.12</v>
      </c>
      <c r="L106">
        <v>82576.960000000006</v>
      </c>
    </row>
    <row r="107" spans="1:12" x14ac:dyDescent="0.35">
      <c r="A107" s="20">
        <v>45420</v>
      </c>
      <c r="B107" t="s">
        <v>8</v>
      </c>
      <c r="C107" t="s">
        <v>13</v>
      </c>
      <c r="D107" t="s">
        <v>26</v>
      </c>
      <c r="E107" t="s">
        <v>87</v>
      </c>
      <c r="F107">
        <v>18</v>
      </c>
      <c r="G107" t="s">
        <v>181</v>
      </c>
      <c r="H107">
        <v>36</v>
      </c>
      <c r="I107">
        <v>42139.78</v>
      </c>
      <c r="J107">
        <v>30776.26</v>
      </c>
      <c r="K107">
        <v>758516.04</v>
      </c>
      <c r="L107">
        <v>553972.67999999993</v>
      </c>
    </row>
    <row r="108" spans="1:12" x14ac:dyDescent="0.35">
      <c r="A108" s="20">
        <v>45384</v>
      </c>
      <c r="B108" t="s">
        <v>12</v>
      </c>
      <c r="C108" t="s">
        <v>28</v>
      </c>
      <c r="D108" t="s">
        <v>30</v>
      </c>
      <c r="E108" t="s">
        <v>81</v>
      </c>
      <c r="F108">
        <v>18</v>
      </c>
      <c r="G108" t="s">
        <v>182</v>
      </c>
      <c r="H108">
        <v>23</v>
      </c>
      <c r="I108">
        <v>34595.64</v>
      </c>
      <c r="J108">
        <v>25680.42</v>
      </c>
      <c r="K108">
        <v>622721.52</v>
      </c>
      <c r="L108">
        <v>462247.55999999994</v>
      </c>
    </row>
    <row r="109" spans="1:12" x14ac:dyDescent="0.35">
      <c r="A109" s="20">
        <v>45661</v>
      </c>
      <c r="B109" t="s">
        <v>83</v>
      </c>
      <c r="C109" t="s">
        <v>9</v>
      </c>
      <c r="D109" t="s">
        <v>23</v>
      </c>
      <c r="E109" t="s">
        <v>95</v>
      </c>
      <c r="F109">
        <v>15</v>
      </c>
      <c r="G109" t="s">
        <v>97</v>
      </c>
      <c r="H109">
        <v>55</v>
      </c>
      <c r="I109">
        <v>41536.949999999997</v>
      </c>
      <c r="J109">
        <v>36391.24</v>
      </c>
      <c r="K109">
        <v>623054.25</v>
      </c>
      <c r="L109">
        <v>545868.6</v>
      </c>
    </row>
    <row r="110" spans="1:12" x14ac:dyDescent="0.35">
      <c r="A110" s="20">
        <v>45514</v>
      </c>
      <c r="B110" t="s">
        <v>12</v>
      </c>
      <c r="C110" t="s">
        <v>13</v>
      </c>
      <c r="D110" t="s">
        <v>26</v>
      </c>
      <c r="E110" t="s">
        <v>95</v>
      </c>
      <c r="F110">
        <v>14</v>
      </c>
      <c r="G110" t="s">
        <v>114</v>
      </c>
      <c r="H110">
        <v>28</v>
      </c>
      <c r="I110">
        <v>27988.01</v>
      </c>
      <c r="J110">
        <v>21915.17</v>
      </c>
      <c r="K110">
        <v>391832.14</v>
      </c>
      <c r="L110">
        <v>306812.38</v>
      </c>
    </row>
    <row r="111" spans="1:12" x14ac:dyDescent="0.35">
      <c r="A111" s="20">
        <v>45557</v>
      </c>
      <c r="B111" t="s">
        <v>20</v>
      </c>
      <c r="C111" t="s">
        <v>13</v>
      </c>
      <c r="D111" t="s">
        <v>135</v>
      </c>
      <c r="E111" t="s">
        <v>81</v>
      </c>
      <c r="F111">
        <v>5</v>
      </c>
      <c r="G111" t="s">
        <v>110</v>
      </c>
      <c r="H111">
        <v>25</v>
      </c>
      <c r="I111">
        <v>41740.06</v>
      </c>
      <c r="J111">
        <v>30448.41</v>
      </c>
      <c r="K111">
        <v>208700.3</v>
      </c>
      <c r="L111">
        <v>152242.04999999999</v>
      </c>
    </row>
    <row r="112" spans="1:12" x14ac:dyDescent="0.35">
      <c r="A112" s="20">
        <v>45350</v>
      </c>
      <c r="B112" t="s">
        <v>83</v>
      </c>
      <c r="C112" t="s">
        <v>16</v>
      </c>
      <c r="D112" t="s">
        <v>17</v>
      </c>
      <c r="E112" t="s">
        <v>87</v>
      </c>
      <c r="F112">
        <v>14</v>
      </c>
      <c r="G112" t="s">
        <v>183</v>
      </c>
      <c r="H112">
        <v>58</v>
      </c>
      <c r="I112">
        <v>13506.37</v>
      </c>
      <c r="J112">
        <v>10246.64</v>
      </c>
      <c r="K112">
        <v>189089.18</v>
      </c>
      <c r="L112">
        <v>143452.96</v>
      </c>
    </row>
    <row r="113" spans="1:12" x14ac:dyDescent="0.35">
      <c r="A113" s="20">
        <v>45529</v>
      </c>
      <c r="B113" t="s">
        <v>83</v>
      </c>
      <c r="C113" t="s">
        <v>9</v>
      </c>
      <c r="D113" t="s">
        <v>10</v>
      </c>
      <c r="E113" t="s">
        <v>89</v>
      </c>
      <c r="F113">
        <v>4</v>
      </c>
      <c r="G113" t="s">
        <v>184</v>
      </c>
      <c r="H113">
        <v>30</v>
      </c>
      <c r="I113">
        <v>6966.76</v>
      </c>
      <c r="J113">
        <v>4527.41</v>
      </c>
      <c r="K113">
        <v>27867.040000000001</v>
      </c>
      <c r="L113">
        <v>18109.64</v>
      </c>
    </row>
    <row r="114" spans="1:12" x14ac:dyDescent="0.35">
      <c r="A114" s="20">
        <v>45342</v>
      </c>
      <c r="B114" t="s">
        <v>12</v>
      </c>
      <c r="C114" t="s">
        <v>13</v>
      </c>
      <c r="D114" t="s">
        <v>135</v>
      </c>
      <c r="E114" t="s">
        <v>89</v>
      </c>
      <c r="F114">
        <v>18</v>
      </c>
      <c r="G114" t="s">
        <v>185</v>
      </c>
      <c r="H114">
        <v>50</v>
      </c>
      <c r="I114">
        <v>23372.28</v>
      </c>
      <c r="J114">
        <v>14205.37</v>
      </c>
      <c r="K114">
        <v>420701.04</v>
      </c>
      <c r="L114">
        <v>255696.66</v>
      </c>
    </row>
    <row r="115" spans="1:12" x14ac:dyDescent="0.35">
      <c r="A115" s="20">
        <v>45401</v>
      </c>
      <c r="B115" t="s">
        <v>8</v>
      </c>
      <c r="C115" t="s">
        <v>16</v>
      </c>
      <c r="D115" t="s">
        <v>25</v>
      </c>
      <c r="E115" t="s">
        <v>81</v>
      </c>
      <c r="F115">
        <v>11</v>
      </c>
      <c r="G115" t="s">
        <v>186</v>
      </c>
      <c r="H115">
        <v>50</v>
      </c>
      <c r="I115">
        <v>48445.09</v>
      </c>
      <c r="J115">
        <v>33341.769999999997</v>
      </c>
      <c r="K115">
        <v>532895.99</v>
      </c>
      <c r="L115">
        <v>366759.47</v>
      </c>
    </row>
    <row r="116" spans="1:12" x14ac:dyDescent="0.35">
      <c r="A116" s="20">
        <v>45163</v>
      </c>
      <c r="B116" t="s">
        <v>12</v>
      </c>
      <c r="C116" t="s">
        <v>28</v>
      </c>
      <c r="D116" t="s">
        <v>32</v>
      </c>
      <c r="E116" t="s">
        <v>81</v>
      </c>
      <c r="F116">
        <v>5</v>
      </c>
      <c r="G116" t="s">
        <v>187</v>
      </c>
      <c r="H116">
        <v>22</v>
      </c>
      <c r="I116">
        <v>42335.35</v>
      </c>
      <c r="J116">
        <v>31949.279999999999</v>
      </c>
      <c r="K116">
        <v>211676.75</v>
      </c>
      <c r="L116">
        <v>159746.4</v>
      </c>
    </row>
    <row r="117" spans="1:12" x14ac:dyDescent="0.35">
      <c r="A117" s="20">
        <v>45781</v>
      </c>
      <c r="B117" t="s">
        <v>8</v>
      </c>
      <c r="C117" t="s">
        <v>28</v>
      </c>
      <c r="D117" t="s">
        <v>30</v>
      </c>
      <c r="E117" t="s">
        <v>87</v>
      </c>
      <c r="F117">
        <v>3</v>
      </c>
      <c r="G117" t="s">
        <v>161</v>
      </c>
      <c r="H117">
        <v>28</v>
      </c>
      <c r="I117">
        <v>38842.35</v>
      </c>
      <c r="J117">
        <v>25353.48</v>
      </c>
      <c r="K117">
        <v>116527.05</v>
      </c>
      <c r="L117">
        <v>76060.44</v>
      </c>
    </row>
    <row r="118" spans="1:12" x14ac:dyDescent="0.35">
      <c r="A118" s="20">
        <v>45642</v>
      </c>
      <c r="B118" t="s">
        <v>83</v>
      </c>
      <c r="C118" t="s">
        <v>16</v>
      </c>
      <c r="D118" t="s">
        <v>25</v>
      </c>
      <c r="E118" t="s">
        <v>89</v>
      </c>
      <c r="F118">
        <v>2</v>
      </c>
      <c r="G118" t="s">
        <v>177</v>
      </c>
      <c r="H118">
        <v>31</v>
      </c>
      <c r="I118">
        <v>30689.63</v>
      </c>
      <c r="J118">
        <v>19768.740000000002</v>
      </c>
      <c r="K118">
        <v>61379.26</v>
      </c>
      <c r="L118">
        <v>39537.480000000003</v>
      </c>
    </row>
    <row r="119" spans="1:12" x14ac:dyDescent="0.35">
      <c r="A119" s="20">
        <v>45346</v>
      </c>
      <c r="B119" t="s">
        <v>8</v>
      </c>
      <c r="C119" t="s">
        <v>9</v>
      </c>
      <c r="D119" t="s">
        <v>31</v>
      </c>
      <c r="E119" t="s">
        <v>95</v>
      </c>
      <c r="F119">
        <v>4</v>
      </c>
      <c r="G119" t="s">
        <v>188</v>
      </c>
      <c r="H119">
        <v>60</v>
      </c>
      <c r="I119">
        <v>28757.119999999999</v>
      </c>
      <c r="J119">
        <v>21229.02</v>
      </c>
      <c r="K119">
        <v>115028.48</v>
      </c>
      <c r="L119">
        <v>84916.08</v>
      </c>
    </row>
    <row r="120" spans="1:12" x14ac:dyDescent="0.35">
      <c r="A120" s="20">
        <v>45293</v>
      </c>
      <c r="B120" t="s">
        <v>83</v>
      </c>
      <c r="C120" t="s">
        <v>13</v>
      </c>
      <c r="D120" t="s">
        <v>26</v>
      </c>
      <c r="E120" t="s">
        <v>95</v>
      </c>
      <c r="F120">
        <v>16</v>
      </c>
      <c r="G120" t="s">
        <v>189</v>
      </c>
      <c r="H120">
        <v>35</v>
      </c>
      <c r="I120">
        <v>26094.6</v>
      </c>
      <c r="J120">
        <v>21961.42</v>
      </c>
      <c r="K120">
        <v>417513.6</v>
      </c>
      <c r="L120">
        <v>351382.72</v>
      </c>
    </row>
    <row r="121" spans="1:12" x14ac:dyDescent="0.35">
      <c r="A121" s="20">
        <v>45469</v>
      </c>
      <c r="B121" t="s">
        <v>20</v>
      </c>
      <c r="C121" t="s">
        <v>28</v>
      </c>
      <c r="D121" t="s">
        <v>29</v>
      </c>
      <c r="E121" t="s">
        <v>81</v>
      </c>
      <c r="F121">
        <v>1</v>
      </c>
      <c r="G121" t="s">
        <v>84</v>
      </c>
      <c r="H121">
        <v>34</v>
      </c>
      <c r="I121">
        <v>44654.52</v>
      </c>
      <c r="J121">
        <v>32004.6</v>
      </c>
      <c r="K121">
        <v>44654.52</v>
      </c>
      <c r="L121">
        <v>32004.6</v>
      </c>
    </row>
    <row r="122" spans="1:12" x14ac:dyDescent="0.35">
      <c r="A122" s="20">
        <v>45634</v>
      </c>
      <c r="B122" t="s">
        <v>12</v>
      </c>
      <c r="C122" t="s">
        <v>16</v>
      </c>
      <c r="D122" t="s">
        <v>17</v>
      </c>
      <c r="E122" t="s">
        <v>87</v>
      </c>
      <c r="F122">
        <v>17</v>
      </c>
      <c r="G122" t="s">
        <v>190</v>
      </c>
      <c r="H122">
        <v>47</v>
      </c>
      <c r="I122">
        <v>7337.09</v>
      </c>
      <c r="J122">
        <v>5208.33</v>
      </c>
      <c r="K122">
        <v>124730.53</v>
      </c>
      <c r="L122">
        <v>88541.61</v>
      </c>
    </row>
    <row r="123" spans="1:12" x14ac:dyDescent="0.35">
      <c r="A123" s="20">
        <v>45539</v>
      </c>
      <c r="B123" t="s">
        <v>8</v>
      </c>
      <c r="C123" t="s">
        <v>9</v>
      </c>
      <c r="D123" t="s">
        <v>31</v>
      </c>
      <c r="E123" t="s">
        <v>95</v>
      </c>
      <c r="F123">
        <v>5</v>
      </c>
      <c r="G123" t="s">
        <v>191</v>
      </c>
      <c r="H123">
        <v>39</v>
      </c>
      <c r="I123">
        <v>9034.2900000000009</v>
      </c>
      <c r="J123">
        <v>6057.31</v>
      </c>
      <c r="K123">
        <v>45171.45</v>
      </c>
      <c r="L123">
        <v>30286.550000000003</v>
      </c>
    </row>
    <row r="124" spans="1:12" x14ac:dyDescent="0.35">
      <c r="A124" s="20">
        <v>45690</v>
      </c>
      <c r="B124" t="s">
        <v>83</v>
      </c>
      <c r="C124" t="s">
        <v>9</v>
      </c>
      <c r="D124" t="s">
        <v>10</v>
      </c>
      <c r="E124" t="s">
        <v>81</v>
      </c>
      <c r="F124">
        <v>9</v>
      </c>
      <c r="G124" t="s">
        <v>138</v>
      </c>
      <c r="H124">
        <v>30</v>
      </c>
      <c r="I124">
        <v>16175.7</v>
      </c>
      <c r="J124">
        <v>9433.24</v>
      </c>
      <c r="K124">
        <v>145581.29999999999</v>
      </c>
      <c r="L124">
        <v>84899.16</v>
      </c>
    </row>
    <row r="125" spans="1:12" x14ac:dyDescent="0.35">
      <c r="A125" s="20">
        <v>45855</v>
      </c>
      <c r="B125" t="s">
        <v>20</v>
      </c>
      <c r="C125" t="s">
        <v>9</v>
      </c>
      <c r="D125" t="s">
        <v>23</v>
      </c>
      <c r="E125" t="s">
        <v>95</v>
      </c>
      <c r="F125">
        <v>4</v>
      </c>
      <c r="G125" t="s">
        <v>192</v>
      </c>
      <c r="H125">
        <v>57</v>
      </c>
      <c r="I125">
        <v>31763.64</v>
      </c>
      <c r="J125">
        <v>24285.25</v>
      </c>
      <c r="K125">
        <v>127054.56</v>
      </c>
      <c r="L125">
        <v>97141</v>
      </c>
    </row>
    <row r="126" spans="1:12" x14ac:dyDescent="0.35">
      <c r="A126" s="20">
        <v>45497</v>
      </c>
      <c r="B126" t="s">
        <v>20</v>
      </c>
      <c r="C126" t="s">
        <v>28</v>
      </c>
      <c r="D126" t="s">
        <v>30</v>
      </c>
      <c r="E126" t="s">
        <v>85</v>
      </c>
      <c r="F126">
        <v>15</v>
      </c>
      <c r="G126" t="s">
        <v>193</v>
      </c>
      <c r="H126">
        <v>59</v>
      </c>
      <c r="I126">
        <v>48542.62</v>
      </c>
      <c r="J126">
        <v>31533.119999999999</v>
      </c>
      <c r="K126">
        <v>728139.3</v>
      </c>
      <c r="L126">
        <v>472996.8</v>
      </c>
    </row>
    <row r="127" spans="1:12" x14ac:dyDescent="0.35">
      <c r="A127" s="20">
        <v>45227</v>
      </c>
      <c r="B127" t="s">
        <v>20</v>
      </c>
      <c r="C127" t="s">
        <v>16</v>
      </c>
      <c r="D127" t="s">
        <v>17</v>
      </c>
      <c r="E127" t="s">
        <v>87</v>
      </c>
      <c r="F127">
        <v>8</v>
      </c>
      <c r="G127" t="s">
        <v>126</v>
      </c>
      <c r="H127">
        <v>35</v>
      </c>
      <c r="I127">
        <v>9795.4</v>
      </c>
      <c r="J127">
        <v>5441.68</v>
      </c>
      <c r="K127">
        <v>78363.199999999997</v>
      </c>
      <c r="L127">
        <v>43533.440000000002</v>
      </c>
    </row>
    <row r="128" spans="1:12" x14ac:dyDescent="0.35">
      <c r="A128" s="20">
        <v>45705</v>
      </c>
      <c r="B128" t="s">
        <v>12</v>
      </c>
      <c r="C128" t="s">
        <v>9</v>
      </c>
      <c r="D128" t="s">
        <v>31</v>
      </c>
      <c r="E128" t="s">
        <v>95</v>
      </c>
      <c r="F128">
        <v>1</v>
      </c>
      <c r="G128" t="s">
        <v>194</v>
      </c>
      <c r="H128">
        <v>57</v>
      </c>
      <c r="I128">
        <v>47984.54</v>
      </c>
      <c r="J128">
        <v>24015.8</v>
      </c>
      <c r="K128">
        <v>47984.54</v>
      </c>
      <c r="L128">
        <v>24015.8</v>
      </c>
    </row>
    <row r="129" spans="1:12" x14ac:dyDescent="0.35">
      <c r="A129" s="20">
        <v>45586</v>
      </c>
      <c r="B129" t="s">
        <v>83</v>
      </c>
      <c r="C129" t="s">
        <v>16</v>
      </c>
      <c r="D129" t="s">
        <v>25</v>
      </c>
      <c r="E129" t="s">
        <v>89</v>
      </c>
      <c r="F129">
        <v>18</v>
      </c>
      <c r="G129" t="s">
        <v>190</v>
      </c>
      <c r="H129">
        <v>59</v>
      </c>
      <c r="I129">
        <v>39169.449999999997</v>
      </c>
      <c r="J129">
        <v>23148.45</v>
      </c>
      <c r="K129">
        <v>705050.1</v>
      </c>
      <c r="L129">
        <v>416672.10000000003</v>
      </c>
    </row>
    <row r="130" spans="1:12" x14ac:dyDescent="0.35">
      <c r="A130" s="20">
        <v>45772</v>
      </c>
      <c r="B130" t="s">
        <v>83</v>
      </c>
      <c r="C130" t="s">
        <v>16</v>
      </c>
      <c r="D130" t="s">
        <v>25</v>
      </c>
      <c r="E130" t="s">
        <v>87</v>
      </c>
      <c r="F130">
        <v>7</v>
      </c>
      <c r="G130" t="s">
        <v>195</v>
      </c>
      <c r="H130">
        <v>44</v>
      </c>
      <c r="I130">
        <v>25783.07</v>
      </c>
      <c r="J130">
        <v>20514.560000000001</v>
      </c>
      <c r="K130">
        <v>180481.49</v>
      </c>
      <c r="L130">
        <v>143601.92000000001</v>
      </c>
    </row>
    <row r="131" spans="1:12" x14ac:dyDescent="0.35">
      <c r="A131" s="20">
        <v>45155</v>
      </c>
      <c r="B131" t="s">
        <v>20</v>
      </c>
      <c r="C131" t="s">
        <v>16</v>
      </c>
      <c r="D131" t="s">
        <v>25</v>
      </c>
      <c r="E131" t="s">
        <v>87</v>
      </c>
      <c r="F131">
        <v>3</v>
      </c>
      <c r="G131" t="s">
        <v>196</v>
      </c>
      <c r="H131">
        <v>26</v>
      </c>
      <c r="I131">
        <v>17349.5</v>
      </c>
      <c r="J131">
        <v>10670.19</v>
      </c>
      <c r="K131">
        <v>52048.5</v>
      </c>
      <c r="L131">
        <v>32010.57</v>
      </c>
    </row>
    <row r="132" spans="1:12" x14ac:dyDescent="0.35">
      <c r="A132" s="20">
        <v>45614</v>
      </c>
      <c r="B132" t="s">
        <v>83</v>
      </c>
      <c r="C132" t="s">
        <v>13</v>
      </c>
      <c r="D132" t="s">
        <v>135</v>
      </c>
      <c r="E132" t="s">
        <v>85</v>
      </c>
      <c r="F132">
        <v>12</v>
      </c>
      <c r="G132" t="s">
        <v>113</v>
      </c>
      <c r="H132">
        <v>45</v>
      </c>
      <c r="I132">
        <v>42334.879999999997</v>
      </c>
      <c r="J132">
        <v>21267.46</v>
      </c>
      <c r="K132">
        <v>508018.56</v>
      </c>
      <c r="L132">
        <v>255209.52</v>
      </c>
    </row>
    <row r="133" spans="1:12" x14ac:dyDescent="0.35">
      <c r="A133" s="20">
        <v>45306</v>
      </c>
      <c r="B133" t="s">
        <v>12</v>
      </c>
      <c r="C133" t="s">
        <v>16</v>
      </c>
      <c r="D133" t="s">
        <v>25</v>
      </c>
      <c r="E133" t="s">
        <v>89</v>
      </c>
      <c r="F133">
        <v>6</v>
      </c>
      <c r="G133" t="s">
        <v>147</v>
      </c>
      <c r="H133">
        <v>31</v>
      </c>
      <c r="I133">
        <v>14656.16</v>
      </c>
      <c r="J133">
        <v>7763.95</v>
      </c>
      <c r="K133">
        <v>87936.960000000006</v>
      </c>
      <c r="L133">
        <v>46583.7</v>
      </c>
    </row>
    <row r="134" spans="1:12" x14ac:dyDescent="0.35">
      <c r="A134" s="20">
        <v>45837</v>
      </c>
      <c r="B134" t="s">
        <v>8</v>
      </c>
      <c r="C134" t="s">
        <v>9</v>
      </c>
      <c r="D134" t="s">
        <v>23</v>
      </c>
      <c r="E134" t="s">
        <v>95</v>
      </c>
      <c r="F134">
        <v>15</v>
      </c>
      <c r="G134" t="s">
        <v>122</v>
      </c>
      <c r="H134">
        <v>37</v>
      </c>
      <c r="I134">
        <v>48658.93</v>
      </c>
      <c r="J134">
        <v>42215.21</v>
      </c>
      <c r="K134">
        <v>729883.95</v>
      </c>
      <c r="L134">
        <v>633228.15</v>
      </c>
    </row>
    <row r="135" spans="1:12" x14ac:dyDescent="0.35">
      <c r="A135" s="20">
        <v>45489</v>
      </c>
      <c r="B135" t="s">
        <v>83</v>
      </c>
      <c r="C135" t="s">
        <v>16</v>
      </c>
      <c r="D135" t="s">
        <v>17</v>
      </c>
      <c r="E135" t="s">
        <v>85</v>
      </c>
      <c r="F135">
        <v>2</v>
      </c>
      <c r="G135" t="s">
        <v>197</v>
      </c>
      <c r="H135">
        <v>35</v>
      </c>
      <c r="I135">
        <v>41523.74</v>
      </c>
      <c r="J135">
        <v>26463.21</v>
      </c>
      <c r="K135">
        <v>83047.48</v>
      </c>
      <c r="L135">
        <v>52926.42</v>
      </c>
    </row>
    <row r="136" spans="1:12" x14ac:dyDescent="0.35">
      <c r="A136" s="20">
        <v>45587</v>
      </c>
      <c r="B136" t="s">
        <v>8</v>
      </c>
      <c r="C136" t="s">
        <v>13</v>
      </c>
      <c r="D136" t="s">
        <v>26</v>
      </c>
      <c r="E136" t="s">
        <v>87</v>
      </c>
      <c r="F136">
        <v>12</v>
      </c>
      <c r="G136" t="s">
        <v>198</v>
      </c>
      <c r="H136">
        <v>51</v>
      </c>
      <c r="I136">
        <v>23865.27</v>
      </c>
      <c r="J136">
        <v>18008.13</v>
      </c>
      <c r="K136">
        <v>286383.24</v>
      </c>
      <c r="L136">
        <v>216097.56</v>
      </c>
    </row>
    <row r="137" spans="1:12" x14ac:dyDescent="0.35">
      <c r="A137" s="20">
        <v>45447</v>
      </c>
      <c r="B137" t="s">
        <v>12</v>
      </c>
      <c r="C137" t="s">
        <v>13</v>
      </c>
      <c r="D137" t="s">
        <v>125</v>
      </c>
      <c r="E137" t="s">
        <v>89</v>
      </c>
      <c r="F137">
        <v>20</v>
      </c>
      <c r="G137" t="s">
        <v>199</v>
      </c>
      <c r="H137">
        <v>40</v>
      </c>
      <c r="I137">
        <v>47346.75</v>
      </c>
      <c r="J137">
        <v>33474.519999999997</v>
      </c>
      <c r="K137">
        <v>946935</v>
      </c>
      <c r="L137">
        <v>669490.39999999991</v>
      </c>
    </row>
    <row r="138" spans="1:12" x14ac:dyDescent="0.35">
      <c r="A138" s="20">
        <v>45712</v>
      </c>
      <c r="B138" t="s">
        <v>12</v>
      </c>
      <c r="C138" t="s">
        <v>13</v>
      </c>
      <c r="D138" t="s">
        <v>135</v>
      </c>
      <c r="E138" t="s">
        <v>87</v>
      </c>
      <c r="F138">
        <v>20</v>
      </c>
      <c r="G138" t="s">
        <v>200</v>
      </c>
      <c r="H138">
        <v>44</v>
      </c>
      <c r="I138">
        <v>30795.279999999999</v>
      </c>
      <c r="J138">
        <v>26455.439999999999</v>
      </c>
      <c r="K138">
        <v>615905.6</v>
      </c>
      <c r="L138">
        <v>529108.79999999993</v>
      </c>
    </row>
    <row r="139" spans="1:12" x14ac:dyDescent="0.35">
      <c r="A139" s="20">
        <v>45556</v>
      </c>
      <c r="B139" t="s">
        <v>83</v>
      </c>
      <c r="C139" t="s">
        <v>21</v>
      </c>
      <c r="D139" t="s">
        <v>22</v>
      </c>
      <c r="E139" t="s">
        <v>95</v>
      </c>
      <c r="F139">
        <v>10</v>
      </c>
      <c r="G139" t="s">
        <v>201</v>
      </c>
      <c r="H139">
        <v>48</v>
      </c>
      <c r="I139">
        <v>35843.86</v>
      </c>
      <c r="J139">
        <v>23125.83</v>
      </c>
      <c r="K139">
        <v>358438.6</v>
      </c>
      <c r="L139">
        <v>231258.30000000002</v>
      </c>
    </row>
    <row r="140" spans="1:12" x14ac:dyDescent="0.35">
      <c r="A140" s="20">
        <v>45802</v>
      </c>
      <c r="B140" t="s">
        <v>83</v>
      </c>
      <c r="C140" t="s">
        <v>16</v>
      </c>
      <c r="D140" t="s">
        <v>17</v>
      </c>
      <c r="E140" t="s">
        <v>85</v>
      </c>
      <c r="F140">
        <v>3</v>
      </c>
      <c r="G140" t="s">
        <v>202</v>
      </c>
      <c r="H140">
        <v>25</v>
      </c>
      <c r="I140">
        <v>24427.33</v>
      </c>
      <c r="J140">
        <v>18643.39</v>
      </c>
      <c r="K140">
        <v>73281.990000000005</v>
      </c>
      <c r="L140">
        <v>55930.17</v>
      </c>
    </row>
    <row r="141" spans="1:12" x14ac:dyDescent="0.35">
      <c r="A141" s="20">
        <v>45503</v>
      </c>
      <c r="B141" t="s">
        <v>83</v>
      </c>
      <c r="C141" t="s">
        <v>28</v>
      </c>
      <c r="D141" t="s">
        <v>32</v>
      </c>
      <c r="E141" t="s">
        <v>85</v>
      </c>
      <c r="F141">
        <v>17</v>
      </c>
      <c r="G141" t="s">
        <v>203</v>
      </c>
      <c r="H141">
        <v>39</v>
      </c>
      <c r="I141">
        <v>10139.77</v>
      </c>
      <c r="J141">
        <v>5872.39</v>
      </c>
      <c r="K141">
        <v>172376.09</v>
      </c>
      <c r="L141">
        <v>99830.63</v>
      </c>
    </row>
    <row r="142" spans="1:12" x14ac:dyDescent="0.35">
      <c r="A142" s="20">
        <v>45263</v>
      </c>
      <c r="B142" t="s">
        <v>20</v>
      </c>
      <c r="C142" t="s">
        <v>9</v>
      </c>
      <c r="D142" t="s">
        <v>10</v>
      </c>
      <c r="E142" t="s">
        <v>89</v>
      </c>
      <c r="F142">
        <v>7</v>
      </c>
      <c r="G142" t="s">
        <v>168</v>
      </c>
      <c r="H142">
        <v>42</v>
      </c>
      <c r="I142">
        <v>24385.02</v>
      </c>
      <c r="J142">
        <v>12503</v>
      </c>
      <c r="K142">
        <v>170695.14</v>
      </c>
      <c r="L142">
        <v>87521</v>
      </c>
    </row>
    <row r="143" spans="1:12" x14ac:dyDescent="0.35">
      <c r="A143" s="20">
        <v>45808</v>
      </c>
      <c r="B143" t="s">
        <v>20</v>
      </c>
      <c r="C143" t="s">
        <v>28</v>
      </c>
      <c r="D143" t="s">
        <v>30</v>
      </c>
      <c r="E143" t="s">
        <v>87</v>
      </c>
      <c r="F143">
        <v>13</v>
      </c>
      <c r="G143" t="s">
        <v>204</v>
      </c>
      <c r="H143">
        <v>24</v>
      </c>
      <c r="I143">
        <v>27644.34</v>
      </c>
      <c r="J143">
        <v>18148.07</v>
      </c>
      <c r="K143">
        <v>359376.42</v>
      </c>
      <c r="L143">
        <v>235924.91</v>
      </c>
    </row>
    <row r="144" spans="1:12" x14ac:dyDescent="0.35">
      <c r="A144" s="20">
        <v>45163</v>
      </c>
      <c r="B144" t="s">
        <v>12</v>
      </c>
      <c r="C144" t="s">
        <v>16</v>
      </c>
      <c r="D144" t="s">
        <v>25</v>
      </c>
      <c r="E144" t="s">
        <v>89</v>
      </c>
      <c r="F144">
        <v>20</v>
      </c>
      <c r="G144" t="s">
        <v>127</v>
      </c>
      <c r="H144">
        <v>43</v>
      </c>
      <c r="I144">
        <v>33036.47</v>
      </c>
      <c r="J144">
        <v>19288.580000000002</v>
      </c>
      <c r="K144">
        <v>660729.4</v>
      </c>
      <c r="L144">
        <v>385771.60000000003</v>
      </c>
    </row>
    <row r="145" spans="1:12" x14ac:dyDescent="0.35">
      <c r="A145" s="20">
        <v>45150</v>
      </c>
      <c r="B145" t="s">
        <v>12</v>
      </c>
      <c r="C145" t="s">
        <v>28</v>
      </c>
      <c r="D145" t="s">
        <v>32</v>
      </c>
      <c r="E145" t="s">
        <v>95</v>
      </c>
      <c r="F145">
        <v>3</v>
      </c>
      <c r="G145" t="s">
        <v>205</v>
      </c>
      <c r="H145">
        <v>41</v>
      </c>
      <c r="I145">
        <v>6716.42</v>
      </c>
      <c r="J145">
        <v>4583.79</v>
      </c>
      <c r="K145">
        <v>20149.259999999998</v>
      </c>
      <c r="L145">
        <v>13751.369999999999</v>
      </c>
    </row>
    <row r="146" spans="1:12" x14ac:dyDescent="0.35">
      <c r="A146" s="20">
        <v>45456</v>
      </c>
      <c r="B146" t="s">
        <v>83</v>
      </c>
      <c r="C146" t="s">
        <v>13</v>
      </c>
      <c r="D146" t="s">
        <v>125</v>
      </c>
      <c r="E146" t="s">
        <v>85</v>
      </c>
      <c r="F146">
        <v>10</v>
      </c>
      <c r="G146" t="s">
        <v>151</v>
      </c>
      <c r="H146">
        <v>26</v>
      </c>
      <c r="I146">
        <v>34263.82</v>
      </c>
      <c r="J146">
        <v>18425.04</v>
      </c>
      <c r="K146">
        <v>342638.2</v>
      </c>
      <c r="L146">
        <v>184250.40000000002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C62F4-9E77-47B5-A1C0-A1256944D6B7}">
  <dimension ref="A1:G13"/>
  <sheetViews>
    <sheetView topLeftCell="B4" workbookViewId="0">
      <selection activeCell="B7" sqref="B7"/>
    </sheetView>
  </sheetViews>
  <sheetFormatPr defaultRowHeight="14.5" x14ac:dyDescent="0.35"/>
  <cols>
    <col min="1" max="1" width="11.7265625" customWidth="1"/>
    <col min="2" max="2" width="11.26953125" customWidth="1"/>
    <col min="3" max="3" width="12.453125" customWidth="1"/>
    <col min="4" max="4" width="12.90625" customWidth="1"/>
    <col min="6" max="6" width="12.36328125" bestFit="1" customWidth="1"/>
    <col min="7" max="7" width="14" bestFit="1" customWidth="1"/>
  </cols>
  <sheetData>
    <row r="1" spans="1:7" x14ac:dyDescent="0.35">
      <c r="A1" t="s">
        <v>208</v>
      </c>
      <c r="B1" t="s">
        <v>209</v>
      </c>
      <c r="C1" t="s">
        <v>211</v>
      </c>
      <c r="D1" t="s">
        <v>212</v>
      </c>
    </row>
    <row r="2" spans="1:7" x14ac:dyDescent="0.35">
      <c r="A2" t="s">
        <v>213</v>
      </c>
      <c r="B2" t="s">
        <v>219</v>
      </c>
      <c r="C2" t="s">
        <v>210</v>
      </c>
      <c r="D2">
        <v>4251</v>
      </c>
    </row>
    <row r="3" spans="1:7" x14ac:dyDescent="0.35">
      <c r="A3" t="s">
        <v>213</v>
      </c>
      <c r="B3" t="s">
        <v>220</v>
      </c>
      <c r="C3" t="s">
        <v>221</v>
      </c>
      <c r="D3">
        <v>3153</v>
      </c>
    </row>
    <row r="4" spans="1:7" x14ac:dyDescent="0.35">
      <c r="A4" t="s">
        <v>214</v>
      </c>
      <c r="B4" t="s">
        <v>219</v>
      </c>
      <c r="C4" t="s">
        <v>210</v>
      </c>
      <c r="D4">
        <v>3936</v>
      </c>
    </row>
    <row r="5" spans="1:7" x14ac:dyDescent="0.35">
      <c r="A5" t="s">
        <v>214</v>
      </c>
      <c r="B5" t="s">
        <v>220</v>
      </c>
      <c r="C5" t="s">
        <v>221</v>
      </c>
      <c r="D5">
        <v>2764</v>
      </c>
    </row>
    <row r="6" spans="1:7" x14ac:dyDescent="0.35">
      <c r="A6" t="s">
        <v>214</v>
      </c>
      <c r="B6" t="s">
        <v>219</v>
      </c>
      <c r="C6" t="s">
        <v>210</v>
      </c>
      <c r="D6">
        <v>4911</v>
      </c>
    </row>
    <row r="7" spans="1:7" x14ac:dyDescent="0.35">
      <c r="A7" t="s">
        <v>214</v>
      </c>
      <c r="B7" t="s">
        <v>220</v>
      </c>
      <c r="C7" t="s">
        <v>221</v>
      </c>
      <c r="D7">
        <v>4799</v>
      </c>
    </row>
    <row r="8" spans="1:7" x14ac:dyDescent="0.35">
      <c r="A8" t="s">
        <v>215</v>
      </c>
      <c r="B8" t="s">
        <v>219</v>
      </c>
      <c r="C8" t="s">
        <v>210</v>
      </c>
      <c r="D8">
        <v>3661</v>
      </c>
    </row>
    <row r="9" spans="1:7" x14ac:dyDescent="0.35">
      <c r="A9" t="s">
        <v>215</v>
      </c>
      <c r="B9" t="s">
        <v>220</v>
      </c>
      <c r="C9" t="s">
        <v>221</v>
      </c>
      <c r="D9">
        <v>2515</v>
      </c>
      <c r="F9" s="2" t="s">
        <v>36</v>
      </c>
      <c r="G9" t="s">
        <v>222</v>
      </c>
    </row>
    <row r="10" spans="1:7" x14ac:dyDescent="0.35">
      <c r="A10" t="s">
        <v>215</v>
      </c>
      <c r="B10" t="s">
        <v>219</v>
      </c>
      <c r="C10" t="s">
        <v>210</v>
      </c>
      <c r="D10">
        <v>5263</v>
      </c>
      <c r="F10" s="4" t="s">
        <v>213</v>
      </c>
      <c r="G10">
        <v>7404</v>
      </c>
    </row>
    <row r="11" spans="1:7" x14ac:dyDescent="0.35">
      <c r="A11" t="s">
        <v>215</v>
      </c>
      <c r="B11" t="s">
        <v>220</v>
      </c>
      <c r="C11" t="s">
        <v>221</v>
      </c>
      <c r="D11">
        <v>4357</v>
      </c>
      <c r="F11" s="4" t="s">
        <v>214</v>
      </c>
      <c r="G11">
        <v>16410</v>
      </c>
    </row>
    <row r="12" spans="1:7" x14ac:dyDescent="0.35">
      <c r="A12" t="s">
        <v>215</v>
      </c>
      <c r="B12" t="s">
        <v>219</v>
      </c>
      <c r="C12" t="s">
        <v>210</v>
      </c>
      <c r="D12">
        <v>3155</v>
      </c>
      <c r="F12" s="4" t="s">
        <v>215</v>
      </c>
      <c r="G12">
        <v>18951</v>
      </c>
    </row>
    <row r="13" spans="1:7" x14ac:dyDescent="0.35">
      <c r="F13" s="4" t="s">
        <v>37</v>
      </c>
      <c r="G13">
        <v>42765</v>
      </c>
    </row>
  </sheetData>
  <phoneticPr fontId="4" type="noConversion"/>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9529-EE36-451D-8A13-AB3A62BEDFD9}">
  <dimension ref="A1:O73"/>
  <sheetViews>
    <sheetView topLeftCell="B1" workbookViewId="0">
      <selection activeCell="O12" sqref="O12"/>
    </sheetView>
  </sheetViews>
  <sheetFormatPr defaultRowHeight="14.5" x14ac:dyDescent="0.35"/>
  <cols>
    <col min="4" max="4" width="20" customWidth="1"/>
    <col min="8" max="8" width="15.453125" bestFit="1" customWidth="1"/>
    <col min="9" max="9" width="15.26953125" bestFit="1" customWidth="1"/>
    <col min="10" max="11" width="11.81640625" bestFit="1" customWidth="1"/>
    <col min="12" max="12" width="9.26953125" bestFit="1" customWidth="1"/>
    <col min="13" max="14" width="11.81640625" bestFit="1" customWidth="1"/>
    <col min="15" max="15" width="10.7265625" bestFit="1" customWidth="1"/>
    <col min="16" max="16" width="6.54296875" bestFit="1" customWidth="1"/>
    <col min="17" max="17" width="8.36328125" bestFit="1" customWidth="1"/>
    <col min="18" max="18" width="9.26953125" bestFit="1" customWidth="1"/>
    <col min="19" max="19" width="10.7265625" bestFit="1" customWidth="1"/>
  </cols>
  <sheetData>
    <row r="1" spans="1:15" ht="15.5" x14ac:dyDescent="0.35">
      <c r="A1" s="22" t="s">
        <v>208</v>
      </c>
      <c r="B1" s="22" t="s">
        <v>223</v>
      </c>
      <c r="C1" s="22" t="s">
        <v>224</v>
      </c>
      <c r="D1" s="22" t="s">
        <v>225</v>
      </c>
      <c r="E1" s="22" t="s">
        <v>212</v>
      </c>
    </row>
    <row r="2" spans="1:15" x14ac:dyDescent="0.35">
      <c r="A2" t="s">
        <v>213</v>
      </c>
      <c r="B2" t="s">
        <v>226</v>
      </c>
      <c r="C2" t="s">
        <v>227</v>
      </c>
      <c r="D2" t="s">
        <v>228</v>
      </c>
      <c r="E2">
        <v>4000</v>
      </c>
    </row>
    <row r="3" spans="1:15" x14ac:dyDescent="0.35">
      <c r="A3" t="s">
        <v>213</v>
      </c>
      <c r="B3" t="s">
        <v>229</v>
      </c>
      <c r="C3" t="s">
        <v>230</v>
      </c>
      <c r="D3" t="s">
        <v>231</v>
      </c>
      <c r="E3">
        <v>1600</v>
      </c>
    </row>
    <row r="4" spans="1:15" x14ac:dyDescent="0.35">
      <c r="A4" t="s">
        <v>213</v>
      </c>
      <c r="B4" t="s">
        <v>232</v>
      </c>
      <c r="C4" t="s">
        <v>227</v>
      </c>
      <c r="D4" t="s">
        <v>233</v>
      </c>
      <c r="E4">
        <v>6400</v>
      </c>
    </row>
    <row r="5" spans="1:15" x14ac:dyDescent="0.35">
      <c r="A5" t="s">
        <v>213</v>
      </c>
      <c r="B5" t="s">
        <v>226</v>
      </c>
      <c r="C5" t="s">
        <v>230</v>
      </c>
      <c r="D5" t="s">
        <v>234</v>
      </c>
      <c r="E5">
        <v>2400</v>
      </c>
    </row>
    <row r="6" spans="1:15" x14ac:dyDescent="0.35">
      <c r="A6" t="s">
        <v>213</v>
      </c>
      <c r="B6" t="s">
        <v>229</v>
      </c>
      <c r="C6" t="s">
        <v>227</v>
      </c>
      <c r="D6" t="s">
        <v>228</v>
      </c>
      <c r="E6">
        <v>3200</v>
      </c>
    </row>
    <row r="7" spans="1:15" x14ac:dyDescent="0.35">
      <c r="A7" t="s">
        <v>213</v>
      </c>
      <c r="B7" t="s">
        <v>232</v>
      </c>
      <c r="C7" t="s">
        <v>227</v>
      </c>
      <c r="D7" t="s">
        <v>231</v>
      </c>
      <c r="E7">
        <v>2000</v>
      </c>
    </row>
    <row r="8" spans="1:15" x14ac:dyDescent="0.35">
      <c r="A8" t="s">
        <v>214</v>
      </c>
      <c r="B8" t="s">
        <v>226</v>
      </c>
      <c r="C8" t="s">
        <v>230</v>
      </c>
      <c r="D8" t="s">
        <v>233</v>
      </c>
      <c r="E8">
        <v>4800</v>
      </c>
      <c r="H8" s="2" t="s">
        <v>240</v>
      </c>
      <c r="I8" s="2" t="s">
        <v>38</v>
      </c>
    </row>
    <row r="9" spans="1:15" x14ac:dyDescent="0.35">
      <c r="A9" t="s">
        <v>214</v>
      </c>
      <c r="B9" t="s">
        <v>229</v>
      </c>
      <c r="C9" t="s">
        <v>227</v>
      </c>
      <c r="D9" t="s">
        <v>234</v>
      </c>
      <c r="E9">
        <v>2800</v>
      </c>
      <c r="H9" s="2" t="s">
        <v>36</v>
      </c>
      <c r="I9" t="s">
        <v>228</v>
      </c>
      <c r="J9" t="s">
        <v>231</v>
      </c>
      <c r="K9" t="s">
        <v>233</v>
      </c>
      <c r="L9" t="s">
        <v>234</v>
      </c>
      <c r="M9" t="s">
        <v>241</v>
      </c>
      <c r="N9" t="s">
        <v>242</v>
      </c>
      <c r="O9" t="s">
        <v>37</v>
      </c>
    </row>
    <row r="10" spans="1:15" x14ac:dyDescent="0.35">
      <c r="A10" t="s">
        <v>214</v>
      </c>
      <c r="B10" t="s">
        <v>232</v>
      </c>
      <c r="C10" t="s">
        <v>227</v>
      </c>
      <c r="D10" t="s">
        <v>228</v>
      </c>
      <c r="E10">
        <v>3600</v>
      </c>
      <c r="H10" s="4" t="s">
        <v>230</v>
      </c>
      <c r="I10">
        <v>3</v>
      </c>
      <c r="J10">
        <v>4</v>
      </c>
      <c r="K10">
        <v>8</v>
      </c>
      <c r="L10">
        <v>9</v>
      </c>
      <c r="M10">
        <v>7</v>
      </c>
      <c r="N10">
        <v>17</v>
      </c>
      <c r="O10">
        <v>48</v>
      </c>
    </row>
    <row r="11" spans="1:15" x14ac:dyDescent="0.35">
      <c r="A11" t="s">
        <v>214</v>
      </c>
      <c r="B11" t="s">
        <v>226</v>
      </c>
      <c r="C11" t="s">
        <v>227</v>
      </c>
      <c r="D11" t="s">
        <v>231</v>
      </c>
      <c r="E11">
        <v>1800</v>
      </c>
      <c r="H11" s="4" t="s">
        <v>227</v>
      </c>
      <c r="I11">
        <v>15</v>
      </c>
      <c r="J11">
        <v>14</v>
      </c>
      <c r="K11">
        <v>10</v>
      </c>
      <c r="L11">
        <v>9</v>
      </c>
      <c r="M11">
        <v>29</v>
      </c>
      <c r="N11">
        <v>19</v>
      </c>
      <c r="O11">
        <v>96</v>
      </c>
    </row>
    <row r="12" spans="1:15" x14ac:dyDescent="0.35">
      <c r="A12" t="s">
        <v>214</v>
      </c>
      <c r="B12" t="s">
        <v>229</v>
      </c>
      <c r="C12" t="s">
        <v>230</v>
      </c>
      <c r="D12" t="s">
        <v>233</v>
      </c>
      <c r="E12">
        <v>4800</v>
      </c>
      <c r="H12" s="4" t="s">
        <v>285</v>
      </c>
      <c r="I12" s="55">
        <v>0.16666666666666663</v>
      </c>
      <c r="J12" s="55">
        <v>0.22222222222222221</v>
      </c>
      <c r="K12" s="55">
        <v>0.44444444444444442</v>
      </c>
      <c r="L12" s="55">
        <v>0.5</v>
      </c>
      <c r="M12" s="55">
        <v>0.19444444444444442</v>
      </c>
      <c r="N12" s="55">
        <v>0.47222222222222221</v>
      </c>
      <c r="O12" s="55">
        <v>2</v>
      </c>
    </row>
    <row r="13" spans="1:15" x14ac:dyDescent="0.35">
      <c r="A13" t="s">
        <v>214</v>
      </c>
      <c r="B13" t="s">
        <v>232</v>
      </c>
      <c r="C13" t="s">
        <v>227</v>
      </c>
      <c r="D13" t="s">
        <v>234</v>
      </c>
      <c r="E13">
        <v>2200</v>
      </c>
      <c r="H13" s="4" t="s">
        <v>37</v>
      </c>
      <c r="I13" s="23">
        <v>18.166666666666668</v>
      </c>
      <c r="J13" s="23">
        <v>18.222222222222221</v>
      </c>
      <c r="K13" s="23">
        <v>18.444444444444443</v>
      </c>
      <c r="L13" s="23">
        <v>18.5</v>
      </c>
      <c r="M13" s="23">
        <v>36.194444444444443</v>
      </c>
      <c r="N13" s="23">
        <v>36.472222222222221</v>
      </c>
      <c r="O13" s="23">
        <v>146</v>
      </c>
    </row>
    <row r="14" spans="1:15" x14ac:dyDescent="0.35">
      <c r="A14" t="s">
        <v>215</v>
      </c>
      <c r="B14" t="s">
        <v>226</v>
      </c>
      <c r="C14" t="s">
        <v>227</v>
      </c>
      <c r="D14" t="s">
        <v>228</v>
      </c>
      <c r="E14">
        <v>4400</v>
      </c>
    </row>
    <row r="15" spans="1:15" x14ac:dyDescent="0.35">
      <c r="A15" t="s">
        <v>215</v>
      </c>
      <c r="B15" t="s">
        <v>229</v>
      </c>
      <c r="C15" t="s">
        <v>227</v>
      </c>
      <c r="D15" t="s">
        <v>231</v>
      </c>
      <c r="E15">
        <v>1440</v>
      </c>
    </row>
    <row r="16" spans="1:15" x14ac:dyDescent="0.35">
      <c r="A16" t="s">
        <v>215</v>
      </c>
      <c r="B16" t="s">
        <v>232</v>
      </c>
      <c r="C16" t="s">
        <v>230</v>
      </c>
      <c r="D16" t="s">
        <v>233</v>
      </c>
      <c r="E16">
        <v>5200</v>
      </c>
    </row>
    <row r="17" spans="1:5" x14ac:dyDescent="0.35">
      <c r="A17" t="s">
        <v>215</v>
      </c>
      <c r="B17" t="s">
        <v>226</v>
      </c>
      <c r="C17" t="s">
        <v>227</v>
      </c>
      <c r="D17" t="s">
        <v>234</v>
      </c>
      <c r="E17">
        <v>2880</v>
      </c>
    </row>
    <row r="18" spans="1:5" x14ac:dyDescent="0.35">
      <c r="A18" t="s">
        <v>215</v>
      </c>
      <c r="B18" t="s">
        <v>229</v>
      </c>
      <c r="C18" t="s">
        <v>227</v>
      </c>
      <c r="D18" t="s">
        <v>228</v>
      </c>
      <c r="E18">
        <v>3840</v>
      </c>
    </row>
    <row r="19" spans="1:5" x14ac:dyDescent="0.35">
      <c r="A19" t="s">
        <v>215</v>
      </c>
      <c r="B19" t="s">
        <v>232</v>
      </c>
      <c r="C19" t="s">
        <v>227</v>
      </c>
      <c r="D19" t="s">
        <v>231</v>
      </c>
      <c r="E19">
        <v>2560</v>
      </c>
    </row>
    <row r="20" spans="1:5" x14ac:dyDescent="0.35">
      <c r="A20" t="s">
        <v>173</v>
      </c>
      <c r="B20" t="s">
        <v>226</v>
      </c>
      <c r="C20" t="s">
        <v>230</v>
      </c>
      <c r="D20" t="s">
        <v>233</v>
      </c>
      <c r="E20">
        <v>4400</v>
      </c>
    </row>
    <row r="21" spans="1:5" x14ac:dyDescent="0.35">
      <c r="A21" t="s">
        <v>173</v>
      </c>
      <c r="B21" t="s">
        <v>229</v>
      </c>
      <c r="C21" t="s">
        <v>230</v>
      </c>
      <c r="D21" t="s">
        <v>234</v>
      </c>
      <c r="E21">
        <v>3200</v>
      </c>
    </row>
    <row r="22" spans="1:5" x14ac:dyDescent="0.35">
      <c r="A22" t="s">
        <v>173</v>
      </c>
      <c r="B22" t="s">
        <v>232</v>
      </c>
      <c r="C22" t="s">
        <v>227</v>
      </c>
      <c r="D22" t="s">
        <v>228</v>
      </c>
      <c r="E22">
        <v>4320</v>
      </c>
    </row>
    <row r="23" spans="1:5" x14ac:dyDescent="0.35">
      <c r="A23" t="s">
        <v>173</v>
      </c>
      <c r="B23" t="s">
        <v>226</v>
      </c>
      <c r="C23" t="s">
        <v>227</v>
      </c>
      <c r="D23" t="s">
        <v>231</v>
      </c>
      <c r="E23">
        <v>2160</v>
      </c>
    </row>
    <row r="24" spans="1:5" x14ac:dyDescent="0.35">
      <c r="A24" t="s">
        <v>173</v>
      </c>
      <c r="B24" t="s">
        <v>229</v>
      </c>
      <c r="C24" t="s">
        <v>227</v>
      </c>
      <c r="D24" t="s">
        <v>233</v>
      </c>
      <c r="E24">
        <v>5600</v>
      </c>
    </row>
    <row r="25" spans="1:5" x14ac:dyDescent="0.35">
      <c r="A25" t="s">
        <v>173</v>
      </c>
      <c r="B25" t="s">
        <v>232</v>
      </c>
      <c r="C25" t="s">
        <v>230</v>
      </c>
      <c r="D25" t="s">
        <v>234</v>
      </c>
      <c r="E25">
        <v>2400</v>
      </c>
    </row>
    <row r="26" spans="1:5" x14ac:dyDescent="0.35">
      <c r="A26" t="s">
        <v>216</v>
      </c>
      <c r="B26" t="s">
        <v>226</v>
      </c>
      <c r="C26" t="s">
        <v>230</v>
      </c>
      <c r="D26" t="s">
        <v>228</v>
      </c>
      <c r="E26">
        <v>4800</v>
      </c>
    </row>
    <row r="27" spans="1:5" x14ac:dyDescent="0.35">
      <c r="A27" t="s">
        <v>216</v>
      </c>
      <c r="B27" t="s">
        <v>229</v>
      </c>
      <c r="C27" t="s">
        <v>227</v>
      </c>
      <c r="D27" t="s">
        <v>231</v>
      </c>
      <c r="E27">
        <v>1200</v>
      </c>
    </row>
    <row r="28" spans="1:5" x14ac:dyDescent="0.35">
      <c r="A28" t="s">
        <v>216</v>
      </c>
      <c r="B28" t="s">
        <v>232</v>
      </c>
      <c r="C28" t="s">
        <v>227</v>
      </c>
      <c r="D28" t="s">
        <v>233</v>
      </c>
      <c r="E28">
        <v>5100</v>
      </c>
    </row>
    <row r="29" spans="1:5" x14ac:dyDescent="0.35">
      <c r="A29" t="s">
        <v>216</v>
      </c>
      <c r="B29" t="s">
        <v>226</v>
      </c>
      <c r="C29" t="s">
        <v>230</v>
      </c>
      <c r="D29" t="s">
        <v>234</v>
      </c>
      <c r="E29">
        <v>2280</v>
      </c>
    </row>
    <row r="30" spans="1:5" x14ac:dyDescent="0.35">
      <c r="A30" t="s">
        <v>216</v>
      </c>
      <c r="B30" t="s">
        <v>229</v>
      </c>
      <c r="C30" t="s">
        <v>227</v>
      </c>
      <c r="D30" t="s">
        <v>228</v>
      </c>
      <c r="E30">
        <v>3840</v>
      </c>
    </row>
    <row r="31" spans="1:5" x14ac:dyDescent="0.35">
      <c r="A31" t="s">
        <v>216</v>
      </c>
      <c r="B31" t="s">
        <v>232</v>
      </c>
      <c r="C31" t="s">
        <v>227</v>
      </c>
      <c r="D31" t="s">
        <v>231</v>
      </c>
      <c r="E31">
        <v>1600</v>
      </c>
    </row>
    <row r="32" spans="1:5" x14ac:dyDescent="0.35">
      <c r="A32" t="s">
        <v>217</v>
      </c>
      <c r="B32" t="s">
        <v>226</v>
      </c>
      <c r="C32" t="s">
        <v>227</v>
      </c>
      <c r="D32" t="s">
        <v>233</v>
      </c>
      <c r="E32">
        <v>4800</v>
      </c>
    </row>
    <row r="33" spans="1:5" x14ac:dyDescent="0.35">
      <c r="A33" t="s">
        <v>217</v>
      </c>
      <c r="B33" t="s">
        <v>229</v>
      </c>
      <c r="C33" t="s">
        <v>230</v>
      </c>
      <c r="D33" t="s">
        <v>234</v>
      </c>
      <c r="E33">
        <v>3360</v>
      </c>
    </row>
    <row r="34" spans="1:5" x14ac:dyDescent="0.35">
      <c r="A34" t="s">
        <v>217</v>
      </c>
      <c r="B34" t="s">
        <v>232</v>
      </c>
      <c r="C34" t="s">
        <v>227</v>
      </c>
      <c r="D34" t="s">
        <v>228</v>
      </c>
      <c r="E34">
        <v>4800</v>
      </c>
    </row>
    <row r="35" spans="1:5" x14ac:dyDescent="0.35">
      <c r="A35" t="s">
        <v>217</v>
      </c>
      <c r="B35" t="s">
        <v>226</v>
      </c>
      <c r="C35" t="s">
        <v>227</v>
      </c>
      <c r="D35" t="s">
        <v>231</v>
      </c>
      <c r="E35">
        <v>2160</v>
      </c>
    </row>
    <row r="36" spans="1:5" x14ac:dyDescent="0.35">
      <c r="A36" t="s">
        <v>217</v>
      </c>
      <c r="B36" t="s">
        <v>229</v>
      </c>
      <c r="C36" t="s">
        <v>227</v>
      </c>
      <c r="D36" t="s">
        <v>233</v>
      </c>
      <c r="E36">
        <v>5440</v>
      </c>
    </row>
    <row r="37" spans="1:5" x14ac:dyDescent="0.35">
      <c r="A37" t="s">
        <v>217</v>
      </c>
      <c r="B37" t="s">
        <v>232</v>
      </c>
      <c r="C37" t="s">
        <v>227</v>
      </c>
      <c r="D37" t="s">
        <v>234</v>
      </c>
      <c r="E37">
        <v>2080</v>
      </c>
    </row>
    <row r="38" spans="1:5" x14ac:dyDescent="0.35">
      <c r="A38" t="s">
        <v>218</v>
      </c>
      <c r="B38" t="s">
        <v>226</v>
      </c>
      <c r="C38" t="s">
        <v>227</v>
      </c>
      <c r="D38" t="s">
        <v>228</v>
      </c>
      <c r="E38">
        <v>4640</v>
      </c>
    </row>
    <row r="39" spans="1:5" x14ac:dyDescent="0.35">
      <c r="A39" t="s">
        <v>218</v>
      </c>
      <c r="B39" t="s">
        <v>229</v>
      </c>
      <c r="C39" t="s">
        <v>230</v>
      </c>
      <c r="D39" t="s">
        <v>231</v>
      </c>
      <c r="E39">
        <v>1360</v>
      </c>
    </row>
    <row r="40" spans="1:5" x14ac:dyDescent="0.35">
      <c r="A40" t="s">
        <v>218</v>
      </c>
      <c r="B40" t="s">
        <v>232</v>
      </c>
      <c r="C40" t="s">
        <v>227</v>
      </c>
      <c r="D40" t="s">
        <v>233</v>
      </c>
      <c r="E40">
        <v>6240</v>
      </c>
    </row>
    <row r="41" spans="1:5" x14ac:dyDescent="0.35">
      <c r="A41" t="s">
        <v>218</v>
      </c>
      <c r="B41" t="s">
        <v>226</v>
      </c>
      <c r="C41" t="s">
        <v>230</v>
      </c>
      <c r="D41" t="s">
        <v>234</v>
      </c>
      <c r="E41">
        <v>2720</v>
      </c>
    </row>
    <row r="42" spans="1:5" x14ac:dyDescent="0.35">
      <c r="A42" t="s">
        <v>218</v>
      </c>
      <c r="B42" t="s">
        <v>229</v>
      </c>
      <c r="C42" t="s">
        <v>227</v>
      </c>
      <c r="D42" t="s">
        <v>228</v>
      </c>
      <c r="E42">
        <v>4480</v>
      </c>
    </row>
    <row r="43" spans="1:5" x14ac:dyDescent="0.35">
      <c r="A43" t="s">
        <v>218</v>
      </c>
      <c r="B43" t="s">
        <v>232</v>
      </c>
      <c r="C43" t="s">
        <v>230</v>
      </c>
      <c r="D43" t="s">
        <v>231</v>
      </c>
      <c r="E43">
        <v>2240</v>
      </c>
    </row>
    <row r="44" spans="1:5" x14ac:dyDescent="0.35">
      <c r="A44" t="s">
        <v>235</v>
      </c>
      <c r="B44" t="s">
        <v>226</v>
      </c>
      <c r="C44" t="s">
        <v>227</v>
      </c>
      <c r="D44" t="s">
        <v>233</v>
      </c>
      <c r="E44">
        <v>5600</v>
      </c>
    </row>
    <row r="45" spans="1:5" x14ac:dyDescent="0.35">
      <c r="A45" t="s">
        <v>235</v>
      </c>
      <c r="B45" t="s">
        <v>229</v>
      </c>
      <c r="C45" t="s">
        <v>230</v>
      </c>
      <c r="D45" t="s">
        <v>234</v>
      </c>
      <c r="E45">
        <v>3600</v>
      </c>
    </row>
    <row r="46" spans="1:5" x14ac:dyDescent="0.35">
      <c r="A46" t="s">
        <v>235</v>
      </c>
      <c r="B46" t="s">
        <v>232</v>
      </c>
      <c r="C46" t="s">
        <v>227</v>
      </c>
      <c r="D46" t="s">
        <v>228</v>
      </c>
      <c r="E46">
        <v>5600</v>
      </c>
    </row>
    <row r="47" spans="1:5" x14ac:dyDescent="0.35">
      <c r="A47" t="s">
        <v>235</v>
      </c>
      <c r="B47" t="s">
        <v>226</v>
      </c>
      <c r="C47" t="s">
        <v>227</v>
      </c>
      <c r="D47" t="s">
        <v>231</v>
      </c>
      <c r="E47">
        <v>2080</v>
      </c>
    </row>
    <row r="48" spans="1:5" x14ac:dyDescent="0.35">
      <c r="A48" t="s">
        <v>235</v>
      </c>
      <c r="B48" t="s">
        <v>229</v>
      </c>
      <c r="C48" t="s">
        <v>227</v>
      </c>
      <c r="D48" t="s">
        <v>233</v>
      </c>
      <c r="E48">
        <v>5440</v>
      </c>
    </row>
    <row r="49" spans="1:5" x14ac:dyDescent="0.35">
      <c r="A49" t="s">
        <v>235</v>
      </c>
      <c r="B49" t="s">
        <v>232</v>
      </c>
      <c r="C49" t="s">
        <v>227</v>
      </c>
      <c r="D49" t="s">
        <v>234</v>
      </c>
      <c r="E49">
        <v>2320</v>
      </c>
    </row>
    <row r="50" spans="1:5" x14ac:dyDescent="0.35">
      <c r="A50" t="s">
        <v>236</v>
      </c>
      <c r="B50" t="s">
        <v>226</v>
      </c>
      <c r="C50" t="s">
        <v>230</v>
      </c>
      <c r="D50" t="s">
        <v>228</v>
      </c>
      <c r="E50">
        <v>5760</v>
      </c>
    </row>
    <row r="51" spans="1:5" x14ac:dyDescent="0.35">
      <c r="A51" t="s">
        <v>236</v>
      </c>
      <c r="B51" t="s">
        <v>229</v>
      </c>
      <c r="C51" t="s">
        <v>227</v>
      </c>
      <c r="D51" t="s">
        <v>231</v>
      </c>
      <c r="E51">
        <v>1720</v>
      </c>
    </row>
    <row r="52" spans="1:5" x14ac:dyDescent="0.35">
      <c r="A52" t="s">
        <v>236</v>
      </c>
      <c r="B52" t="s">
        <v>232</v>
      </c>
      <c r="C52" t="s">
        <v>227</v>
      </c>
      <c r="D52" t="s">
        <v>233</v>
      </c>
      <c r="E52">
        <v>4800</v>
      </c>
    </row>
    <row r="53" spans="1:5" x14ac:dyDescent="0.35">
      <c r="A53" t="s">
        <v>236</v>
      </c>
      <c r="B53" t="s">
        <v>226</v>
      </c>
      <c r="C53" t="s">
        <v>227</v>
      </c>
      <c r="D53" t="s">
        <v>234</v>
      </c>
      <c r="E53">
        <v>2520</v>
      </c>
    </row>
    <row r="54" spans="1:5" x14ac:dyDescent="0.35">
      <c r="A54" t="s">
        <v>236</v>
      </c>
      <c r="B54" t="s">
        <v>229</v>
      </c>
      <c r="C54" t="s">
        <v>230</v>
      </c>
      <c r="D54" t="s">
        <v>228</v>
      </c>
      <c r="E54">
        <v>4160</v>
      </c>
    </row>
    <row r="55" spans="1:5" x14ac:dyDescent="0.35">
      <c r="A55" t="s">
        <v>236</v>
      </c>
      <c r="B55" t="s">
        <v>232</v>
      </c>
      <c r="C55" t="s">
        <v>227</v>
      </c>
      <c r="D55" t="s">
        <v>231</v>
      </c>
      <c r="E55">
        <v>2280</v>
      </c>
    </row>
    <row r="56" spans="1:5" x14ac:dyDescent="0.35">
      <c r="A56" t="s">
        <v>237</v>
      </c>
      <c r="B56" t="s">
        <v>226</v>
      </c>
      <c r="C56" t="s">
        <v>230</v>
      </c>
      <c r="D56" t="s">
        <v>233</v>
      </c>
      <c r="E56">
        <v>4200</v>
      </c>
    </row>
    <row r="57" spans="1:5" x14ac:dyDescent="0.35">
      <c r="A57" t="s">
        <v>237</v>
      </c>
      <c r="B57" t="s">
        <v>229</v>
      </c>
      <c r="C57" t="s">
        <v>227</v>
      </c>
      <c r="D57" t="s">
        <v>234</v>
      </c>
      <c r="E57">
        <v>3120</v>
      </c>
    </row>
    <row r="58" spans="1:5" x14ac:dyDescent="0.35">
      <c r="A58" t="s">
        <v>237</v>
      </c>
      <c r="B58" t="s">
        <v>232</v>
      </c>
      <c r="C58" t="s">
        <v>227</v>
      </c>
      <c r="D58" t="s">
        <v>228</v>
      </c>
      <c r="E58">
        <v>4320</v>
      </c>
    </row>
    <row r="59" spans="1:5" x14ac:dyDescent="0.35">
      <c r="A59" t="s">
        <v>237</v>
      </c>
      <c r="B59" t="s">
        <v>226</v>
      </c>
      <c r="C59" t="s">
        <v>227</v>
      </c>
      <c r="D59" t="s">
        <v>231</v>
      </c>
      <c r="E59">
        <v>2880</v>
      </c>
    </row>
    <row r="60" spans="1:5" x14ac:dyDescent="0.35">
      <c r="A60" t="s">
        <v>237</v>
      </c>
      <c r="B60" t="s">
        <v>229</v>
      </c>
      <c r="C60" t="s">
        <v>230</v>
      </c>
      <c r="D60" t="s">
        <v>233</v>
      </c>
      <c r="E60">
        <v>5040</v>
      </c>
    </row>
    <row r="61" spans="1:5" x14ac:dyDescent="0.35">
      <c r="A61" t="s">
        <v>237</v>
      </c>
      <c r="B61" t="s">
        <v>232</v>
      </c>
      <c r="C61" t="s">
        <v>227</v>
      </c>
      <c r="D61" t="s">
        <v>234</v>
      </c>
      <c r="E61">
        <v>1840</v>
      </c>
    </row>
    <row r="62" spans="1:5" x14ac:dyDescent="0.35">
      <c r="A62" t="s">
        <v>238</v>
      </c>
      <c r="B62" t="s">
        <v>226</v>
      </c>
      <c r="C62" t="s">
        <v>227</v>
      </c>
      <c r="D62" t="s">
        <v>228</v>
      </c>
      <c r="E62">
        <v>5120</v>
      </c>
    </row>
    <row r="63" spans="1:5" x14ac:dyDescent="0.35">
      <c r="A63" t="s">
        <v>238</v>
      </c>
      <c r="B63" t="s">
        <v>229</v>
      </c>
      <c r="C63" t="s">
        <v>230</v>
      </c>
      <c r="D63" t="s">
        <v>231</v>
      </c>
      <c r="E63">
        <v>1520</v>
      </c>
    </row>
    <row r="64" spans="1:5" x14ac:dyDescent="0.35">
      <c r="A64" t="s">
        <v>238</v>
      </c>
      <c r="B64" t="s">
        <v>232</v>
      </c>
      <c r="C64" t="s">
        <v>227</v>
      </c>
      <c r="D64" t="s">
        <v>233</v>
      </c>
      <c r="E64">
        <v>5600</v>
      </c>
    </row>
    <row r="65" spans="1:5" x14ac:dyDescent="0.35">
      <c r="A65" t="s">
        <v>238</v>
      </c>
      <c r="B65" t="s">
        <v>226</v>
      </c>
      <c r="C65" t="s">
        <v>230</v>
      </c>
      <c r="D65" t="s">
        <v>234</v>
      </c>
      <c r="E65">
        <v>2320</v>
      </c>
    </row>
    <row r="66" spans="1:5" x14ac:dyDescent="0.35">
      <c r="A66" t="s">
        <v>238</v>
      </c>
      <c r="B66" t="s">
        <v>229</v>
      </c>
      <c r="C66" t="s">
        <v>227</v>
      </c>
      <c r="D66" t="s">
        <v>228</v>
      </c>
      <c r="E66">
        <v>4000</v>
      </c>
    </row>
    <row r="67" spans="1:5" x14ac:dyDescent="0.35">
      <c r="A67" t="s">
        <v>238</v>
      </c>
      <c r="B67" t="s">
        <v>232</v>
      </c>
      <c r="C67" t="s">
        <v>227</v>
      </c>
      <c r="D67" t="s">
        <v>231</v>
      </c>
      <c r="E67">
        <v>2440</v>
      </c>
    </row>
    <row r="68" spans="1:5" x14ac:dyDescent="0.35">
      <c r="A68" t="s">
        <v>239</v>
      </c>
      <c r="B68" t="s">
        <v>226</v>
      </c>
      <c r="C68" t="s">
        <v>230</v>
      </c>
      <c r="D68" t="s">
        <v>233</v>
      </c>
      <c r="E68">
        <v>4500</v>
      </c>
    </row>
    <row r="69" spans="1:5" x14ac:dyDescent="0.35">
      <c r="A69" t="s">
        <v>239</v>
      </c>
      <c r="B69" t="s">
        <v>229</v>
      </c>
      <c r="C69" t="s">
        <v>227</v>
      </c>
      <c r="D69" t="s">
        <v>234</v>
      </c>
      <c r="E69">
        <v>3200</v>
      </c>
    </row>
    <row r="70" spans="1:5" x14ac:dyDescent="0.35">
      <c r="A70" t="s">
        <v>239</v>
      </c>
      <c r="B70" t="s">
        <v>232</v>
      </c>
      <c r="C70" t="s">
        <v>227</v>
      </c>
      <c r="D70" t="s">
        <v>228</v>
      </c>
      <c r="E70">
        <v>4800</v>
      </c>
    </row>
    <row r="71" spans="1:5" x14ac:dyDescent="0.35">
      <c r="A71" t="s">
        <v>239</v>
      </c>
      <c r="B71" t="s">
        <v>226</v>
      </c>
      <c r="C71" t="s">
        <v>227</v>
      </c>
      <c r="D71" t="s">
        <v>231</v>
      </c>
      <c r="E71">
        <v>1760</v>
      </c>
    </row>
    <row r="72" spans="1:5" x14ac:dyDescent="0.35">
      <c r="A72" t="s">
        <v>239</v>
      </c>
      <c r="B72" t="s">
        <v>229</v>
      </c>
      <c r="C72" t="s">
        <v>230</v>
      </c>
      <c r="D72" t="s">
        <v>233</v>
      </c>
      <c r="E72">
        <v>4800</v>
      </c>
    </row>
    <row r="73" spans="1:5" x14ac:dyDescent="0.35">
      <c r="A73" t="s">
        <v>239</v>
      </c>
      <c r="B73" t="s">
        <v>232</v>
      </c>
      <c r="C73" t="s">
        <v>230</v>
      </c>
      <c r="D73" t="s">
        <v>234</v>
      </c>
      <c r="E73">
        <v>2600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64E8-45C4-4D39-BAFA-A3CF1F58FD65}">
  <dimension ref="C7:I42"/>
  <sheetViews>
    <sheetView topLeftCell="A40" zoomScaleNormal="100" workbookViewId="0">
      <selection activeCell="G44" sqref="G44"/>
    </sheetView>
  </sheetViews>
  <sheetFormatPr defaultRowHeight="14.5" x14ac:dyDescent="0.35"/>
  <cols>
    <col min="1" max="1" width="10.90625" bestFit="1" customWidth="1"/>
    <col min="2" max="2" width="7.7265625" bestFit="1" customWidth="1"/>
    <col min="3" max="3" width="12.7265625" bestFit="1" customWidth="1"/>
    <col min="4" max="8" width="17" bestFit="1" customWidth="1"/>
    <col min="9" max="9" width="30.26953125" customWidth="1"/>
  </cols>
  <sheetData>
    <row r="7" spans="3:9" ht="18" x14ac:dyDescent="0.4">
      <c r="C7" s="29" t="s">
        <v>243</v>
      </c>
      <c r="D7" s="29" t="s">
        <v>244</v>
      </c>
      <c r="E7" s="29" t="s">
        <v>214</v>
      </c>
      <c r="F7" s="29" t="s">
        <v>215</v>
      </c>
      <c r="G7" s="29" t="s">
        <v>173</v>
      </c>
      <c r="H7" s="29" t="s">
        <v>216</v>
      </c>
      <c r="I7" s="29" t="s">
        <v>248</v>
      </c>
    </row>
    <row r="8" spans="3:9" ht="90" customHeight="1" x14ac:dyDescent="0.4">
      <c r="C8" s="27" t="s">
        <v>27</v>
      </c>
      <c r="D8" s="28">
        <v>49205</v>
      </c>
      <c r="E8" s="28">
        <v>23127</v>
      </c>
      <c r="F8" s="28">
        <v>43082</v>
      </c>
      <c r="G8" s="28">
        <v>49597</v>
      </c>
      <c r="H8" s="28">
        <v>32592</v>
      </c>
      <c r="I8" s="27"/>
    </row>
    <row r="9" spans="3:9" ht="90" customHeight="1" x14ac:dyDescent="0.4">
      <c r="C9" s="27" t="s">
        <v>245</v>
      </c>
      <c r="D9" s="28">
        <v>36735</v>
      </c>
      <c r="E9" s="28">
        <v>43936</v>
      </c>
      <c r="F9" s="28">
        <v>25995</v>
      </c>
      <c r="G9" s="28">
        <v>29749</v>
      </c>
      <c r="H9" s="28">
        <v>39303</v>
      </c>
      <c r="I9" s="27"/>
    </row>
    <row r="10" spans="3:9" ht="90" customHeight="1" x14ac:dyDescent="0.4">
      <c r="C10" s="27" t="s">
        <v>246</v>
      </c>
      <c r="D10" s="28">
        <v>52496</v>
      </c>
      <c r="E10" s="28">
        <v>22441</v>
      </c>
      <c r="F10" s="28">
        <v>57948</v>
      </c>
      <c r="G10" s="28">
        <v>28125</v>
      </c>
      <c r="H10" s="28">
        <v>56714</v>
      </c>
      <c r="I10" s="27"/>
    </row>
    <row r="11" spans="3:9" ht="90" customHeight="1" x14ac:dyDescent="0.4">
      <c r="C11" s="27" t="s">
        <v>247</v>
      </c>
      <c r="D11" s="28">
        <v>38714</v>
      </c>
      <c r="E11" s="28">
        <v>50122</v>
      </c>
      <c r="F11" s="28">
        <v>14561</v>
      </c>
      <c r="G11" s="28">
        <v>44658</v>
      </c>
      <c r="H11" s="28">
        <v>29613</v>
      </c>
      <c r="I11" s="27"/>
    </row>
    <row r="24" spans="3:9" ht="18" x14ac:dyDescent="0.4">
      <c r="C24" s="29" t="s">
        <v>243</v>
      </c>
      <c r="D24" s="29" t="s">
        <v>244</v>
      </c>
      <c r="E24" s="29" t="s">
        <v>214</v>
      </c>
      <c r="F24" s="29" t="s">
        <v>215</v>
      </c>
      <c r="G24" s="29" t="s">
        <v>173</v>
      </c>
      <c r="H24" s="29" t="s">
        <v>216</v>
      </c>
      <c r="I24" s="29" t="s">
        <v>248</v>
      </c>
    </row>
    <row r="25" spans="3:9" ht="90" customHeight="1" x14ac:dyDescent="0.4">
      <c r="C25" s="27" t="s">
        <v>27</v>
      </c>
      <c r="D25" s="28">
        <v>49205</v>
      </c>
      <c r="E25" s="28">
        <v>23127</v>
      </c>
      <c r="F25" s="28">
        <v>43082</v>
      </c>
      <c r="G25" s="28">
        <v>49597</v>
      </c>
      <c r="H25" s="28">
        <v>32592</v>
      </c>
      <c r="I25" s="27"/>
    </row>
    <row r="26" spans="3:9" ht="90" customHeight="1" x14ac:dyDescent="0.4">
      <c r="C26" s="27" t="s">
        <v>245</v>
      </c>
      <c r="D26" s="28">
        <v>36735</v>
      </c>
      <c r="E26" s="28">
        <v>43936</v>
      </c>
      <c r="F26" s="28">
        <v>25995</v>
      </c>
      <c r="G26" s="28">
        <v>29749</v>
      </c>
      <c r="H26" s="28">
        <v>39303</v>
      </c>
      <c r="I26" s="27"/>
    </row>
    <row r="27" spans="3:9" ht="90" customHeight="1" x14ac:dyDescent="0.4">
      <c r="C27" s="27" t="s">
        <v>246</v>
      </c>
      <c r="D27" s="28">
        <v>52496</v>
      </c>
      <c r="E27" s="28">
        <v>22441</v>
      </c>
      <c r="F27" s="28">
        <v>57948</v>
      </c>
      <c r="G27" s="28">
        <v>28125</v>
      </c>
      <c r="H27" s="28">
        <v>56714</v>
      </c>
      <c r="I27" s="27"/>
    </row>
    <row r="28" spans="3:9" ht="90" customHeight="1" x14ac:dyDescent="0.4">
      <c r="C28" s="27" t="s">
        <v>247</v>
      </c>
      <c r="D28" s="28">
        <v>38714</v>
      </c>
      <c r="E28" s="28">
        <v>50122</v>
      </c>
      <c r="F28" s="28">
        <v>14561</v>
      </c>
      <c r="G28" s="28">
        <v>44658</v>
      </c>
      <c r="H28" s="28">
        <v>29613</v>
      </c>
      <c r="I28" s="27"/>
    </row>
    <row r="38" spans="3:9" ht="18" x14ac:dyDescent="0.4">
      <c r="C38" s="29" t="s">
        <v>243</v>
      </c>
      <c r="D38" s="29" t="s">
        <v>244</v>
      </c>
      <c r="E38" s="29" t="s">
        <v>214</v>
      </c>
      <c r="F38" s="29" t="s">
        <v>215</v>
      </c>
      <c r="G38" s="29" t="s">
        <v>173</v>
      </c>
      <c r="H38" s="29" t="s">
        <v>216</v>
      </c>
      <c r="I38" s="30" t="s">
        <v>248</v>
      </c>
    </row>
    <row r="39" spans="3:9" ht="90" customHeight="1" x14ac:dyDescent="0.4">
      <c r="C39" s="27" t="s">
        <v>27</v>
      </c>
      <c r="D39" s="28">
        <v>-49205</v>
      </c>
      <c r="E39" s="28">
        <v>23127</v>
      </c>
      <c r="F39" s="28">
        <v>43082</v>
      </c>
      <c r="G39" s="28">
        <v>-49597</v>
      </c>
      <c r="H39" s="28">
        <v>32592</v>
      </c>
    </row>
    <row r="40" spans="3:9" ht="90" customHeight="1" x14ac:dyDescent="0.4">
      <c r="C40" s="27" t="s">
        <v>245</v>
      </c>
      <c r="D40" s="28">
        <v>36735</v>
      </c>
      <c r="E40" s="28">
        <v>43936</v>
      </c>
      <c r="F40" s="28">
        <v>-25995</v>
      </c>
      <c r="G40" s="28">
        <v>29749</v>
      </c>
      <c r="H40" s="28">
        <v>39303</v>
      </c>
    </row>
    <row r="41" spans="3:9" ht="90" customHeight="1" x14ac:dyDescent="0.4">
      <c r="C41" s="27" t="s">
        <v>246</v>
      </c>
      <c r="D41" s="28">
        <v>52496</v>
      </c>
      <c r="E41" s="28">
        <v>-22441</v>
      </c>
      <c r="F41" s="28">
        <v>57948</v>
      </c>
      <c r="G41" s="28">
        <v>-28125</v>
      </c>
      <c r="H41" s="28">
        <v>56714</v>
      </c>
    </row>
    <row r="42" spans="3:9" ht="90" customHeight="1" x14ac:dyDescent="0.4">
      <c r="C42" s="27" t="s">
        <v>247</v>
      </c>
      <c r="D42" s="28">
        <v>38714</v>
      </c>
      <c r="E42" s="28">
        <v>-50122</v>
      </c>
      <c r="F42" s="28">
        <v>14561</v>
      </c>
      <c r="G42" s="28">
        <v>44658</v>
      </c>
      <c r="H42" s="28">
        <v>29613</v>
      </c>
    </row>
  </sheetData>
  <phoneticPr fontId="4" type="noConversion"/>
  <pageMargins left="0.7" right="0.7" top="0.75" bottom="0.75" header="0.3" footer="0.3"/>
  <pageSetup orientation="portrait" r:id="rId1"/>
  <headerFooter>
    <oddHeader>&amp;CVikas Dhakad</oddHeader>
  </headerFooter>
  <extLst>
    <ext xmlns:x14="http://schemas.microsoft.com/office/spreadsheetml/2009/9/main" uri="{05C60535-1F16-4fd2-B633-F4F36F0B64E0}">
      <x14:sparklineGroups xmlns:xm="http://schemas.microsoft.com/office/excel/2006/main">
        <x14:sparklineGroup markers="1" high="1" low="1" first="1" last="1" negative="1" xr2:uid="{88A937CD-CC15-4D1F-955E-9A27F33CA55E}">
          <x14:colorSeries theme="7" tint="0.39997558519241921"/>
          <x14:colorNegative theme="1"/>
          <x14:colorAxis rgb="FF000000"/>
          <x14:colorMarkers theme="1"/>
          <x14:colorFirst theme="1"/>
          <x14:colorLast theme="1"/>
          <x14:colorHigh theme="1"/>
          <x14:colorLow theme="1"/>
          <x14:sparklines>
            <x14:sparkline>
              <xm:f>Sparklines!D8:H8</xm:f>
              <xm:sqref>I8</xm:sqref>
            </x14:sparkline>
            <x14:sparkline>
              <xm:f>Sparklines!D9:H9</xm:f>
              <xm:sqref>I9</xm:sqref>
            </x14:sparkline>
            <x14:sparkline>
              <xm:f>Sparklines!D10:H10</xm:f>
              <xm:sqref>I10</xm:sqref>
            </x14:sparkline>
            <x14:sparkline>
              <xm:f>Sparklines!D11:H11</xm:f>
              <xm:sqref>I11</xm:sqref>
            </x14:sparkline>
          </x14:sparklines>
        </x14:sparklineGroup>
        <x14:sparklineGroup type="column" displayEmptyCellsAs="gap" high="1" low="1" first="1" last="1" negative="1" xr2:uid="{BEB48EC5-F867-4A02-B24B-DC2C1EEE1FD2}">
          <x14:colorSeries rgb="FF92D050"/>
          <x14:colorNegative rgb="FFC00000"/>
          <x14:colorAxis rgb="FF000000"/>
          <x14:colorMarkers rgb="FFD00000"/>
          <x14:colorFirst rgb="FFFF99CC"/>
          <x14:colorLast rgb="FFFFFF00"/>
          <x14:colorHigh theme="9" tint="-0.249977111117893"/>
          <x14:colorLow rgb="FFC00000"/>
          <x14:sparklines>
            <x14:sparkline>
              <xm:f>Sparklines!D25:H25</xm:f>
              <xm:sqref>I25</xm:sqref>
            </x14:sparkline>
            <x14:sparkline>
              <xm:f>Sparklines!D26:H26</xm:f>
              <xm:sqref>I26</xm:sqref>
            </x14:sparkline>
            <x14:sparkline>
              <xm:f>Sparklines!D27:H27</xm:f>
              <xm:sqref>I27</xm:sqref>
            </x14:sparkline>
            <x14:sparkline>
              <xm:f>Sparklines!D28:H28</xm:f>
              <xm:sqref>I28</xm:sqref>
            </x14:sparkline>
          </x14:sparklines>
        </x14:sparklineGroup>
        <x14:sparklineGroup type="stacked" displayEmptyCellsAs="gap" negative="1" xr2:uid="{2EFC487F-40AB-4677-ABAC-726A6B4ACE77}">
          <x14:colorSeries rgb="FF376092"/>
          <x14:colorNegative rgb="FFD00000"/>
          <x14:colorAxis rgb="FF000000"/>
          <x14:colorMarkers rgb="FFD00000"/>
          <x14:colorFirst rgb="FFD00000"/>
          <x14:colorLast rgb="FFD00000"/>
          <x14:colorHigh rgb="FFD00000"/>
          <x14:colorLow rgb="FFD00000"/>
          <x14:sparklines>
            <x14:sparkline>
              <xm:f>Sparklines!D39:H39</xm:f>
              <xm:sqref>I39</xm:sqref>
            </x14:sparkline>
            <x14:sparkline>
              <xm:f>Sparklines!D40:H40</xm:f>
              <xm:sqref>I40</xm:sqref>
            </x14:sparkline>
            <x14:sparkline>
              <xm:f>Sparklines!D41:H41</xm:f>
              <xm:sqref>I41</xm:sqref>
            </x14:sparkline>
            <x14:sparkline>
              <xm:f>Sparklines!D42:H42</xm:f>
              <xm:sqref>I42</xm:sqref>
            </x14:sparkline>
          </x14:sparklines>
        </x14:sparklineGroup>
      </x14:sparklineGroup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C5900-962D-497F-9395-34C9E415F8B8}">
  <dimension ref="A1"/>
  <sheetViews>
    <sheetView workbookViewId="0"/>
  </sheetViews>
  <sheetFormatPr defaultRowHeight="14.5" x14ac:dyDescent="0.3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8535E-4F3E-4F2A-8C4F-A75309A7DE45}">
  <dimension ref="A1:B17"/>
  <sheetViews>
    <sheetView workbookViewId="0">
      <selection sqref="A1:B17"/>
    </sheetView>
  </sheetViews>
  <sheetFormatPr defaultRowHeight="14.5" x14ac:dyDescent="0.35"/>
  <cols>
    <col min="1" max="1" width="11" bestFit="1" customWidth="1"/>
    <col min="2" max="2" width="18.6328125" bestFit="1" customWidth="1"/>
  </cols>
  <sheetData>
    <row r="1" spans="1:2" x14ac:dyDescent="0.35">
      <c r="A1" s="25" t="s">
        <v>3</v>
      </c>
      <c r="B1" s="25" t="s">
        <v>39</v>
      </c>
    </row>
    <row r="2" spans="1:2" x14ac:dyDescent="0.35">
      <c r="A2" t="s">
        <v>29</v>
      </c>
      <c r="B2">
        <v>2104800.63</v>
      </c>
    </row>
    <row r="3" spans="1:2" x14ac:dyDescent="0.35">
      <c r="A3" t="s">
        <v>33</v>
      </c>
      <c r="B3">
        <v>2014542.2099999995</v>
      </c>
    </row>
    <row r="4" spans="1:2" x14ac:dyDescent="0.35">
      <c r="A4" t="s">
        <v>17</v>
      </c>
      <c r="B4">
        <v>1476957.1900000002</v>
      </c>
    </row>
    <row r="5" spans="1:2" x14ac:dyDescent="0.35">
      <c r="A5" t="s">
        <v>25</v>
      </c>
      <c r="B5">
        <v>-2039253.89</v>
      </c>
    </row>
    <row r="6" spans="1:2" x14ac:dyDescent="0.35">
      <c r="A6" t="s">
        <v>35</v>
      </c>
      <c r="B6">
        <v>1330303.4400000004</v>
      </c>
    </row>
    <row r="7" spans="1:2" x14ac:dyDescent="0.35">
      <c r="A7" t="s">
        <v>26</v>
      </c>
      <c r="B7">
        <v>2170276.38</v>
      </c>
    </row>
    <row r="8" spans="1:2" x14ac:dyDescent="0.35">
      <c r="A8" t="s">
        <v>34</v>
      </c>
      <c r="B8">
        <v>-1164799.72</v>
      </c>
    </row>
    <row r="9" spans="1:2" x14ac:dyDescent="0.35">
      <c r="A9" t="s">
        <v>19</v>
      </c>
      <c r="B9">
        <v>1892788.0499999996</v>
      </c>
    </row>
    <row r="10" spans="1:2" x14ac:dyDescent="0.35">
      <c r="A10" t="s">
        <v>10</v>
      </c>
      <c r="B10">
        <v>2350805.23</v>
      </c>
    </row>
    <row r="11" spans="1:2" x14ac:dyDescent="0.35">
      <c r="A11" t="s">
        <v>14</v>
      </c>
      <c r="B11">
        <v>-1817297.62</v>
      </c>
    </row>
    <row r="12" spans="1:2" x14ac:dyDescent="0.35">
      <c r="A12" t="s">
        <v>23</v>
      </c>
      <c r="B12">
        <v>2152961.3499999992</v>
      </c>
    </row>
    <row r="13" spans="1:2" x14ac:dyDescent="0.35">
      <c r="A13" t="s">
        <v>22</v>
      </c>
      <c r="B13">
        <v>2294581.4700000002</v>
      </c>
    </row>
    <row r="14" spans="1:2" x14ac:dyDescent="0.35">
      <c r="A14" t="s">
        <v>31</v>
      </c>
      <c r="B14">
        <v>1645822.7700000003</v>
      </c>
    </row>
    <row r="15" spans="1:2" x14ac:dyDescent="0.35">
      <c r="A15" t="s">
        <v>32</v>
      </c>
      <c r="B15">
        <v>1379882.43</v>
      </c>
    </row>
    <row r="16" spans="1:2" x14ac:dyDescent="0.35">
      <c r="A16" t="s">
        <v>30</v>
      </c>
      <c r="B16">
        <v>1643990.8099999998</v>
      </c>
    </row>
    <row r="17" spans="1:2" x14ac:dyDescent="0.35">
      <c r="A17" s="25" t="s">
        <v>249</v>
      </c>
      <c r="B17" s="25">
        <f>SUM(B2:B16)</f>
        <v>17436360.729999997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0C2D7-6304-4DF9-B1BB-BAAF11E2EE55}">
  <dimension ref="A1:M201"/>
  <sheetViews>
    <sheetView topLeftCell="C22" workbookViewId="0">
      <selection activeCell="M8" sqref="M8"/>
    </sheetView>
  </sheetViews>
  <sheetFormatPr defaultRowHeight="14.5" x14ac:dyDescent="0.35"/>
  <cols>
    <col min="1" max="1" width="7.54296875" bestFit="1" customWidth="1"/>
    <col min="2" max="2" width="10.08984375" bestFit="1" customWidth="1"/>
    <col min="3" max="3" width="14" bestFit="1" customWidth="1"/>
    <col min="4" max="4" width="10.26953125" bestFit="1" customWidth="1"/>
    <col min="5" max="5" width="9.7265625" bestFit="1" customWidth="1"/>
    <col min="6" max="6" width="6.453125" bestFit="1" customWidth="1"/>
    <col min="7" max="7" width="8.1796875" bestFit="1" customWidth="1"/>
    <col min="8" max="8" width="8.453125" bestFit="1" customWidth="1"/>
    <col min="9" max="9" width="5" bestFit="1" customWidth="1"/>
    <col min="10" max="10" width="8.1796875" bestFit="1" customWidth="1"/>
    <col min="11" max="11" width="7.81640625" bestFit="1" customWidth="1"/>
    <col min="13" max="13" width="15.26953125" bestFit="1" customWidth="1"/>
  </cols>
  <sheetData>
    <row r="1" spans="1:13" x14ac:dyDescent="0.35">
      <c r="A1" s="19" t="s">
        <v>398</v>
      </c>
      <c r="B1" s="79" t="s">
        <v>399</v>
      </c>
      <c r="C1" s="19" t="s">
        <v>400</v>
      </c>
      <c r="D1" s="19" t="s">
        <v>4</v>
      </c>
      <c r="E1" s="19" t="s">
        <v>401</v>
      </c>
      <c r="F1" s="19" t="s">
        <v>1</v>
      </c>
      <c r="G1" s="19" t="s">
        <v>5</v>
      </c>
      <c r="H1" s="19" t="s">
        <v>402</v>
      </c>
      <c r="I1" s="19" t="s">
        <v>259</v>
      </c>
      <c r="J1" s="19" t="s">
        <v>403</v>
      </c>
      <c r="K1" s="19" t="s">
        <v>404</v>
      </c>
    </row>
    <row r="2" spans="1:13" x14ac:dyDescent="0.35">
      <c r="A2">
        <v>1001</v>
      </c>
      <c r="B2" s="17">
        <v>44562</v>
      </c>
      <c r="C2" t="s">
        <v>405</v>
      </c>
      <c r="D2" t="s">
        <v>406</v>
      </c>
      <c r="E2" t="s">
        <v>407</v>
      </c>
      <c r="F2" t="s">
        <v>8</v>
      </c>
      <c r="G2">
        <v>3</v>
      </c>
      <c r="H2">
        <v>338</v>
      </c>
      <c r="I2">
        <v>1014</v>
      </c>
      <c r="J2">
        <v>0.22</v>
      </c>
      <c r="K2">
        <v>222.93</v>
      </c>
    </row>
    <row r="3" spans="1:13" x14ac:dyDescent="0.35">
      <c r="A3">
        <v>1002</v>
      </c>
      <c r="B3" s="17">
        <v>44563</v>
      </c>
      <c r="C3" t="s">
        <v>408</v>
      </c>
      <c r="D3" t="s">
        <v>409</v>
      </c>
      <c r="E3" t="s">
        <v>410</v>
      </c>
      <c r="F3" t="s">
        <v>83</v>
      </c>
      <c r="G3">
        <v>5</v>
      </c>
      <c r="H3">
        <v>423</v>
      </c>
      <c r="I3">
        <v>2115</v>
      </c>
      <c r="J3">
        <v>0.02</v>
      </c>
      <c r="K3">
        <v>469.8</v>
      </c>
    </row>
    <row r="4" spans="1:13" x14ac:dyDescent="0.35">
      <c r="A4">
        <v>1003</v>
      </c>
      <c r="B4" s="17">
        <v>44564</v>
      </c>
      <c r="C4" t="s">
        <v>411</v>
      </c>
      <c r="D4" t="s">
        <v>409</v>
      </c>
      <c r="E4" t="s">
        <v>407</v>
      </c>
      <c r="F4" t="s">
        <v>12</v>
      </c>
      <c r="G4">
        <v>6</v>
      </c>
      <c r="H4">
        <v>114</v>
      </c>
      <c r="I4">
        <v>684</v>
      </c>
      <c r="J4">
        <v>0.04</v>
      </c>
      <c r="K4">
        <v>196.83</v>
      </c>
    </row>
    <row r="5" spans="1:13" x14ac:dyDescent="0.35">
      <c r="A5">
        <v>1004</v>
      </c>
      <c r="B5" s="17">
        <v>44565</v>
      </c>
      <c r="C5" t="s">
        <v>412</v>
      </c>
      <c r="D5" t="s">
        <v>413</v>
      </c>
      <c r="E5" t="s">
        <v>24</v>
      </c>
      <c r="F5" t="s">
        <v>12</v>
      </c>
      <c r="G5">
        <v>9</v>
      </c>
      <c r="H5">
        <v>195</v>
      </c>
      <c r="I5">
        <v>1755</v>
      </c>
      <c r="J5">
        <v>0.04</v>
      </c>
      <c r="K5">
        <v>417.8</v>
      </c>
    </row>
    <row r="6" spans="1:13" x14ac:dyDescent="0.35">
      <c r="A6">
        <v>1005</v>
      </c>
      <c r="B6" s="17">
        <v>44566</v>
      </c>
      <c r="C6" t="s">
        <v>414</v>
      </c>
      <c r="D6" t="s">
        <v>415</v>
      </c>
      <c r="E6" t="s">
        <v>24</v>
      </c>
      <c r="F6" t="s">
        <v>8</v>
      </c>
      <c r="G6">
        <v>5</v>
      </c>
      <c r="H6">
        <v>273</v>
      </c>
      <c r="I6">
        <v>1365</v>
      </c>
      <c r="J6">
        <v>0.21</v>
      </c>
      <c r="K6">
        <v>211.48</v>
      </c>
    </row>
    <row r="7" spans="1:13" x14ac:dyDescent="0.35">
      <c r="A7">
        <v>1006</v>
      </c>
      <c r="B7" s="17">
        <v>44567</v>
      </c>
      <c r="C7" t="s">
        <v>405</v>
      </c>
      <c r="D7" t="s">
        <v>413</v>
      </c>
      <c r="E7" t="s">
        <v>407</v>
      </c>
      <c r="F7" t="s">
        <v>12</v>
      </c>
      <c r="G7">
        <v>1</v>
      </c>
      <c r="H7">
        <v>288</v>
      </c>
      <c r="I7">
        <v>288</v>
      </c>
      <c r="J7">
        <v>0.25</v>
      </c>
      <c r="K7">
        <v>82.63</v>
      </c>
      <c r="M7" t="s">
        <v>40</v>
      </c>
    </row>
    <row r="8" spans="1:13" x14ac:dyDescent="0.35">
      <c r="A8">
        <v>1007</v>
      </c>
      <c r="B8" s="17">
        <v>44568</v>
      </c>
      <c r="C8" t="s">
        <v>416</v>
      </c>
      <c r="D8" t="s">
        <v>417</v>
      </c>
      <c r="E8" t="s">
        <v>15</v>
      </c>
      <c r="F8" t="s">
        <v>83</v>
      </c>
      <c r="G8">
        <v>4</v>
      </c>
      <c r="H8">
        <v>226</v>
      </c>
      <c r="I8">
        <v>904</v>
      </c>
      <c r="J8">
        <v>0.22</v>
      </c>
      <c r="K8">
        <v>169.26</v>
      </c>
      <c r="M8">
        <v>200</v>
      </c>
    </row>
    <row r="9" spans="1:13" x14ac:dyDescent="0.35">
      <c r="A9">
        <v>1008</v>
      </c>
      <c r="B9" s="17">
        <v>44569</v>
      </c>
      <c r="C9" t="s">
        <v>412</v>
      </c>
      <c r="D9" t="s">
        <v>418</v>
      </c>
      <c r="E9" t="s">
        <v>24</v>
      </c>
      <c r="F9" t="s">
        <v>8</v>
      </c>
      <c r="G9">
        <v>5</v>
      </c>
      <c r="H9">
        <v>316</v>
      </c>
      <c r="I9">
        <v>1580</v>
      </c>
      <c r="J9">
        <v>0.01</v>
      </c>
      <c r="K9">
        <v>373.9</v>
      </c>
    </row>
    <row r="10" spans="1:13" x14ac:dyDescent="0.35">
      <c r="A10">
        <v>1009</v>
      </c>
      <c r="B10" s="17">
        <v>44570</v>
      </c>
      <c r="C10" t="s">
        <v>412</v>
      </c>
      <c r="D10" t="s">
        <v>419</v>
      </c>
      <c r="E10" t="s">
        <v>27</v>
      </c>
      <c r="F10" t="s">
        <v>12</v>
      </c>
      <c r="G10">
        <v>5</v>
      </c>
      <c r="H10">
        <v>390</v>
      </c>
      <c r="I10">
        <v>1950</v>
      </c>
      <c r="J10">
        <v>0.26</v>
      </c>
      <c r="K10">
        <v>340.91</v>
      </c>
    </row>
    <row r="11" spans="1:13" x14ac:dyDescent="0.35">
      <c r="A11">
        <v>1010</v>
      </c>
      <c r="B11" s="17">
        <v>44571</v>
      </c>
      <c r="C11" t="s">
        <v>420</v>
      </c>
      <c r="D11" t="s">
        <v>415</v>
      </c>
      <c r="E11" t="s">
        <v>410</v>
      </c>
      <c r="F11" t="s">
        <v>8</v>
      </c>
      <c r="G11">
        <v>7</v>
      </c>
      <c r="H11">
        <v>331</v>
      </c>
      <c r="I11">
        <v>2317</v>
      </c>
      <c r="J11">
        <v>0.11</v>
      </c>
      <c r="K11">
        <v>359.32</v>
      </c>
    </row>
    <row r="12" spans="1:13" x14ac:dyDescent="0.35">
      <c r="A12">
        <v>1011</v>
      </c>
      <c r="B12" s="17">
        <v>44572</v>
      </c>
      <c r="C12" t="s">
        <v>414</v>
      </c>
      <c r="D12" t="s">
        <v>421</v>
      </c>
      <c r="E12" t="s">
        <v>407</v>
      </c>
      <c r="F12" t="s">
        <v>83</v>
      </c>
      <c r="G12">
        <v>4</v>
      </c>
      <c r="H12">
        <v>112</v>
      </c>
      <c r="I12">
        <v>448</v>
      </c>
      <c r="J12">
        <v>0.12</v>
      </c>
      <c r="K12">
        <v>88.13</v>
      </c>
    </row>
    <row r="13" spans="1:13" x14ac:dyDescent="0.35">
      <c r="A13">
        <v>1012</v>
      </c>
      <c r="B13" s="17">
        <v>44573</v>
      </c>
      <c r="C13" t="s">
        <v>422</v>
      </c>
      <c r="D13" t="s">
        <v>419</v>
      </c>
      <c r="E13" t="s">
        <v>410</v>
      </c>
      <c r="F13" t="s">
        <v>83</v>
      </c>
      <c r="G13">
        <v>1</v>
      </c>
      <c r="H13">
        <v>266</v>
      </c>
      <c r="I13">
        <v>266</v>
      </c>
      <c r="J13">
        <v>0.03</v>
      </c>
      <c r="K13">
        <v>71.040000000000006</v>
      </c>
    </row>
    <row r="14" spans="1:13" x14ac:dyDescent="0.35">
      <c r="A14">
        <v>1013</v>
      </c>
      <c r="B14" s="17">
        <v>44574</v>
      </c>
      <c r="C14" t="s">
        <v>423</v>
      </c>
      <c r="D14" t="s">
        <v>418</v>
      </c>
      <c r="E14" t="s">
        <v>407</v>
      </c>
      <c r="F14" t="s">
        <v>20</v>
      </c>
      <c r="G14">
        <v>5</v>
      </c>
      <c r="H14">
        <v>391</v>
      </c>
      <c r="I14">
        <v>1955</v>
      </c>
      <c r="J14">
        <v>0.22</v>
      </c>
      <c r="K14">
        <v>374.65</v>
      </c>
    </row>
    <row r="15" spans="1:13" x14ac:dyDescent="0.35">
      <c r="A15">
        <v>1014</v>
      </c>
      <c r="B15" s="17">
        <v>44575</v>
      </c>
      <c r="C15" t="s">
        <v>424</v>
      </c>
      <c r="D15" t="s">
        <v>417</v>
      </c>
      <c r="E15" t="s">
        <v>410</v>
      </c>
      <c r="F15" t="s">
        <v>83</v>
      </c>
      <c r="G15">
        <v>7</v>
      </c>
      <c r="H15">
        <v>364</v>
      </c>
      <c r="I15">
        <v>2548</v>
      </c>
      <c r="J15">
        <v>0.05</v>
      </c>
      <c r="K15">
        <v>466.32</v>
      </c>
    </row>
    <row r="16" spans="1:13" x14ac:dyDescent="0.35">
      <c r="A16">
        <v>1015</v>
      </c>
      <c r="B16" s="17">
        <v>44576</v>
      </c>
      <c r="C16" t="s">
        <v>425</v>
      </c>
      <c r="D16" t="s">
        <v>417</v>
      </c>
      <c r="E16" t="s">
        <v>24</v>
      </c>
      <c r="F16" t="s">
        <v>20</v>
      </c>
      <c r="G16">
        <v>6</v>
      </c>
      <c r="H16">
        <v>332</v>
      </c>
      <c r="I16">
        <v>1992</v>
      </c>
      <c r="J16">
        <v>0.17</v>
      </c>
      <c r="K16">
        <v>362.35</v>
      </c>
    </row>
    <row r="17" spans="1:11" x14ac:dyDescent="0.35">
      <c r="A17">
        <v>1016</v>
      </c>
      <c r="B17" s="17">
        <v>44577</v>
      </c>
      <c r="C17" t="s">
        <v>423</v>
      </c>
      <c r="D17" t="s">
        <v>421</v>
      </c>
      <c r="E17" t="s">
        <v>27</v>
      </c>
      <c r="F17" t="s">
        <v>83</v>
      </c>
      <c r="G17">
        <v>5</v>
      </c>
      <c r="H17">
        <v>226</v>
      </c>
      <c r="I17">
        <v>1130</v>
      </c>
      <c r="J17">
        <v>0.25</v>
      </c>
      <c r="K17">
        <v>256.82</v>
      </c>
    </row>
    <row r="18" spans="1:11" x14ac:dyDescent="0.35">
      <c r="A18">
        <v>1017</v>
      </c>
      <c r="B18" s="17">
        <v>44578</v>
      </c>
      <c r="C18" t="s">
        <v>426</v>
      </c>
      <c r="D18" t="s">
        <v>415</v>
      </c>
      <c r="E18" t="s">
        <v>27</v>
      </c>
      <c r="F18" t="s">
        <v>12</v>
      </c>
      <c r="G18">
        <v>4</v>
      </c>
      <c r="H18">
        <v>466</v>
      </c>
      <c r="I18">
        <v>1864</v>
      </c>
      <c r="J18">
        <v>0.03</v>
      </c>
      <c r="K18">
        <v>552.36</v>
      </c>
    </row>
    <row r="19" spans="1:11" x14ac:dyDescent="0.35">
      <c r="A19">
        <v>1018</v>
      </c>
      <c r="B19" s="17">
        <v>44579</v>
      </c>
      <c r="C19" t="s">
        <v>424</v>
      </c>
      <c r="D19" t="s">
        <v>406</v>
      </c>
      <c r="E19" t="s">
        <v>24</v>
      </c>
      <c r="F19" t="s">
        <v>8</v>
      </c>
      <c r="G19">
        <v>2</v>
      </c>
      <c r="H19">
        <v>147</v>
      </c>
      <c r="I19">
        <v>294</v>
      </c>
      <c r="J19">
        <v>0.16</v>
      </c>
      <c r="K19">
        <v>64.34</v>
      </c>
    </row>
    <row r="20" spans="1:11" x14ac:dyDescent="0.35">
      <c r="A20">
        <v>1019</v>
      </c>
      <c r="B20" s="17">
        <v>44580</v>
      </c>
      <c r="C20" t="s">
        <v>424</v>
      </c>
      <c r="D20" t="s">
        <v>409</v>
      </c>
      <c r="E20" t="s">
        <v>407</v>
      </c>
      <c r="F20" t="s">
        <v>20</v>
      </c>
      <c r="G20">
        <v>4</v>
      </c>
      <c r="H20">
        <v>154</v>
      </c>
      <c r="I20">
        <v>616</v>
      </c>
      <c r="J20">
        <v>7.0000000000000007E-2</v>
      </c>
      <c r="K20">
        <v>143.9</v>
      </c>
    </row>
    <row r="21" spans="1:11" x14ac:dyDescent="0.35">
      <c r="A21">
        <v>1020</v>
      </c>
      <c r="B21" s="17">
        <v>44581</v>
      </c>
      <c r="C21" t="s">
        <v>427</v>
      </c>
      <c r="D21" t="s">
        <v>415</v>
      </c>
      <c r="E21" t="s">
        <v>410</v>
      </c>
      <c r="F21" t="s">
        <v>12</v>
      </c>
      <c r="G21">
        <v>3</v>
      </c>
      <c r="H21">
        <v>148</v>
      </c>
      <c r="I21">
        <v>444</v>
      </c>
      <c r="J21">
        <v>0.1</v>
      </c>
      <c r="K21">
        <v>123.92</v>
      </c>
    </row>
    <row r="22" spans="1:11" x14ac:dyDescent="0.35">
      <c r="A22">
        <v>1021</v>
      </c>
      <c r="B22" s="17">
        <v>44582</v>
      </c>
      <c r="C22" t="s">
        <v>428</v>
      </c>
      <c r="D22" t="s">
        <v>406</v>
      </c>
      <c r="E22" t="s">
        <v>27</v>
      </c>
      <c r="F22" t="s">
        <v>20</v>
      </c>
      <c r="G22">
        <v>1</v>
      </c>
      <c r="H22">
        <v>434</v>
      </c>
      <c r="I22">
        <v>434</v>
      </c>
      <c r="J22">
        <v>0.14000000000000001</v>
      </c>
      <c r="K22">
        <v>99.93</v>
      </c>
    </row>
    <row r="23" spans="1:11" x14ac:dyDescent="0.35">
      <c r="A23">
        <v>1022</v>
      </c>
      <c r="B23" s="17">
        <v>44583</v>
      </c>
      <c r="C23" t="s">
        <v>429</v>
      </c>
      <c r="D23" t="s">
        <v>417</v>
      </c>
      <c r="E23" t="s">
        <v>15</v>
      </c>
      <c r="F23" t="s">
        <v>20</v>
      </c>
      <c r="G23">
        <v>8</v>
      </c>
      <c r="H23">
        <v>454</v>
      </c>
      <c r="I23">
        <v>3632</v>
      </c>
      <c r="J23">
        <v>0.11</v>
      </c>
      <c r="K23">
        <v>645.29999999999995</v>
      </c>
    </row>
    <row r="24" spans="1:11" x14ac:dyDescent="0.35">
      <c r="A24">
        <v>1023</v>
      </c>
      <c r="B24" s="17">
        <v>44584</v>
      </c>
      <c r="C24" t="s">
        <v>411</v>
      </c>
      <c r="D24" t="s">
        <v>413</v>
      </c>
      <c r="E24" t="s">
        <v>24</v>
      </c>
      <c r="F24" t="s">
        <v>83</v>
      </c>
      <c r="G24">
        <v>5</v>
      </c>
      <c r="H24">
        <v>360</v>
      </c>
      <c r="I24">
        <v>1800</v>
      </c>
      <c r="J24">
        <v>0.19</v>
      </c>
      <c r="K24">
        <v>350.89</v>
      </c>
    </row>
    <row r="25" spans="1:11" x14ac:dyDescent="0.35">
      <c r="A25">
        <v>1024</v>
      </c>
      <c r="B25" s="17">
        <v>44585</v>
      </c>
      <c r="C25" t="s">
        <v>411</v>
      </c>
      <c r="D25" t="s">
        <v>418</v>
      </c>
      <c r="E25" t="s">
        <v>407</v>
      </c>
      <c r="F25" t="s">
        <v>20</v>
      </c>
      <c r="G25">
        <v>4</v>
      </c>
      <c r="H25">
        <v>55</v>
      </c>
      <c r="I25">
        <v>220</v>
      </c>
      <c r="J25">
        <v>0.14000000000000001</v>
      </c>
      <c r="K25">
        <v>43.23</v>
      </c>
    </row>
    <row r="26" spans="1:11" x14ac:dyDescent="0.35">
      <c r="A26">
        <v>1025</v>
      </c>
      <c r="B26" s="17">
        <v>44586</v>
      </c>
      <c r="C26" t="s">
        <v>416</v>
      </c>
      <c r="D26" t="s">
        <v>421</v>
      </c>
      <c r="E26" t="s">
        <v>407</v>
      </c>
      <c r="F26" t="s">
        <v>20</v>
      </c>
      <c r="G26">
        <v>8</v>
      </c>
      <c r="H26">
        <v>246</v>
      </c>
      <c r="I26">
        <v>1968</v>
      </c>
      <c r="J26">
        <v>0.18</v>
      </c>
      <c r="K26">
        <v>412.49</v>
      </c>
    </row>
    <row r="27" spans="1:11" x14ac:dyDescent="0.35">
      <c r="A27">
        <v>1026</v>
      </c>
      <c r="B27" s="17">
        <v>44587</v>
      </c>
      <c r="C27" t="s">
        <v>424</v>
      </c>
      <c r="D27" t="s">
        <v>418</v>
      </c>
      <c r="E27" t="s">
        <v>24</v>
      </c>
      <c r="F27" t="s">
        <v>8</v>
      </c>
      <c r="G27">
        <v>7</v>
      </c>
      <c r="H27">
        <v>400</v>
      </c>
      <c r="I27">
        <v>2800</v>
      </c>
      <c r="J27">
        <v>0.22</v>
      </c>
      <c r="K27">
        <v>599.25</v>
      </c>
    </row>
    <row r="28" spans="1:11" x14ac:dyDescent="0.35">
      <c r="A28">
        <v>1027</v>
      </c>
      <c r="B28" s="17">
        <v>44588</v>
      </c>
      <c r="C28" t="s">
        <v>408</v>
      </c>
      <c r="D28" t="s">
        <v>430</v>
      </c>
      <c r="E28" t="s">
        <v>24</v>
      </c>
      <c r="F28" t="s">
        <v>12</v>
      </c>
      <c r="G28">
        <v>2</v>
      </c>
      <c r="H28">
        <v>182</v>
      </c>
      <c r="I28">
        <v>364</v>
      </c>
      <c r="J28">
        <v>0.17</v>
      </c>
      <c r="K28">
        <v>98.27</v>
      </c>
    </row>
    <row r="29" spans="1:11" x14ac:dyDescent="0.35">
      <c r="A29">
        <v>1028</v>
      </c>
      <c r="B29" s="17">
        <v>44589</v>
      </c>
      <c r="C29" t="s">
        <v>422</v>
      </c>
      <c r="D29" t="s">
        <v>430</v>
      </c>
      <c r="E29" t="s">
        <v>15</v>
      </c>
      <c r="F29" t="s">
        <v>20</v>
      </c>
      <c r="G29">
        <v>1</v>
      </c>
      <c r="H29">
        <v>407</v>
      </c>
      <c r="I29">
        <v>407</v>
      </c>
      <c r="J29">
        <v>0.18</v>
      </c>
      <c r="K29">
        <v>82.38</v>
      </c>
    </row>
    <row r="30" spans="1:11" x14ac:dyDescent="0.35">
      <c r="A30">
        <v>1029</v>
      </c>
      <c r="B30" s="17">
        <v>44590</v>
      </c>
      <c r="C30" t="s">
        <v>431</v>
      </c>
      <c r="D30" t="s">
        <v>415</v>
      </c>
      <c r="E30" t="s">
        <v>407</v>
      </c>
      <c r="F30" t="s">
        <v>12</v>
      </c>
      <c r="G30">
        <v>4</v>
      </c>
      <c r="H30">
        <v>308</v>
      </c>
      <c r="I30">
        <v>1232</v>
      </c>
      <c r="J30">
        <v>0.17</v>
      </c>
      <c r="K30">
        <v>271.33</v>
      </c>
    </row>
    <row r="31" spans="1:11" x14ac:dyDescent="0.35">
      <c r="A31">
        <v>1030</v>
      </c>
      <c r="B31" s="17">
        <v>44591</v>
      </c>
      <c r="C31" t="s">
        <v>416</v>
      </c>
      <c r="D31" t="s">
        <v>417</v>
      </c>
      <c r="E31" t="s">
        <v>410</v>
      </c>
      <c r="F31" t="s">
        <v>83</v>
      </c>
      <c r="G31">
        <v>8</v>
      </c>
      <c r="H31">
        <v>486</v>
      </c>
      <c r="I31">
        <v>3888</v>
      </c>
      <c r="J31">
        <v>0.11</v>
      </c>
      <c r="K31">
        <v>947.69</v>
      </c>
    </row>
    <row r="32" spans="1:11" x14ac:dyDescent="0.35">
      <c r="A32">
        <v>1031</v>
      </c>
      <c r="B32" s="17">
        <v>44592</v>
      </c>
      <c r="C32" t="s">
        <v>405</v>
      </c>
      <c r="D32" t="s">
        <v>417</v>
      </c>
      <c r="E32" t="s">
        <v>410</v>
      </c>
      <c r="F32" t="s">
        <v>20</v>
      </c>
      <c r="G32">
        <v>2</v>
      </c>
      <c r="H32">
        <v>72</v>
      </c>
      <c r="I32">
        <v>144</v>
      </c>
      <c r="J32">
        <v>0.1</v>
      </c>
      <c r="K32">
        <v>29.76</v>
      </c>
    </row>
    <row r="33" spans="1:11" x14ac:dyDescent="0.35">
      <c r="A33">
        <v>1032</v>
      </c>
      <c r="B33" s="17">
        <v>44593</v>
      </c>
      <c r="C33" t="s">
        <v>432</v>
      </c>
      <c r="D33" t="s">
        <v>409</v>
      </c>
      <c r="E33" t="s">
        <v>15</v>
      </c>
      <c r="F33" t="s">
        <v>8</v>
      </c>
      <c r="G33">
        <v>3</v>
      </c>
      <c r="H33">
        <v>102</v>
      </c>
      <c r="I33">
        <v>306</v>
      </c>
      <c r="J33">
        <v>0.27</v>
      </c>
      <c r="K33">
        <v>84.3</v>
      </c>
    </row>
    <row r="34" spans="1:11" x14ac:dyDescent="0.35">
      <c r="A34">
        <v>1033</v>
      </c>
      <c r="B34" s="17">
        <v>44594</v>
      </c>
      <c r="C34" t="s">
        <v>405</v>
      </c>
      <c r="D34" t="s">
        <v>409</v>
      </c>
      <c r="E34" t="s">
        <v>27</v>
      </c>
      <c r="F34" t="s">
        <v>83</v>
      </c>
      <c r="G34">
        <v>1</v>
      </c>
      <c r="H34">
        <v>214</v>
      </c>
      <c r="I34">
        <v>214</v>
      </c>
      <c r="J34">
        <v>0.18</v>
      </c>
      <c r="K34">
        <v>50.96</v>
      </c>
    </row>
    <row r="35" spans="1:11" x14ac:dyDescent="0.35">
      <c r="A35">
        <v>1034</v>
      </c>
      <c r="B35" s="17">
        <v>44595</v>
      </c>
      <c r="C35" t="s">
        <v>433</v>
      </c>
      <c r="D35" t="s">
        <v>409</v>
      </c>
      <c r="E35" t="s">
        <v>410</v>
      </c>
      <c r="F35" t="s">
        <v>8</v>
      </c>
      <c r="G35">
        <v>1</v>
      </c>
      <c r="H35">
        <v>251</v>
      </c>
      <c r="I35">
        <v>251</v>
      </c>
      <c r="J35">
        <v>7.0000000000000007E-2</v>
      </c>
      <c r="K35">
        <v>48.72</v>
      </c>
    </row>
    <row r="36" spans="1:11" x14ac:dyDescent="0.35">
      <c r="A36">
        <v>1035</v>
      </c>
      <c r="B36" s="17">
        <v>44596</v>
      </c>
      <c r="C36" t="s">
        <v>420</v>
      </c>
      <c r="D36" t="s">
        <v>413</v>
      </c>
      <c r="E36" t="s">
        <v>410</v>
      </c>
      <c r="F36" t="s">
        <v>12</v>
      </c>
      <c r="G36">
        <v>3</v>
      </c>
      <c r="H36">
        <v>132</v>
      </c>
      <c r="I36">
        <v>396</v>
      </c>
      <c r="J36">
        <v>0.15</v>
      </c>
      <c r="K36">
        <v>101.82</v>
      </c>
    </row>
    <row r="37" spans="1:11" x14ac:dyDescent="0.35">
      <c r="A37">
        <v>1036</v>
      </c>
      <c r="B37" s="17">
        <v>44597</v>
      </c>
      <c r="C37" t="s">
        <v>434</v>
      </c>
      <c r="D37" t="s">
        <v>419</v>
      </c>
      <c r="E37" t="s">
        <v>27</v>
      </c>
      <c r="F37" t="s">
        <v>20</v>
      </c>
      <c r="G37">
        <v>5</v>
      </c>
      <c r="H37">
        <v>194</v>
      </c>
      <c r="I37">
        <v>970</v>
      </c>
      <c r="J37">
        <v>0.1</v>
      </c>
      <c r="K37">
        <v>222.27</v>
      </c>
    </row>
    <row r="38" spans="1:11" x14ac:dyDescent="0.35">
      <c r="A38">
        <v>1037</v>
      </c>
      <c r="B38" s="17">
        <v>44598</v>
      </c>
      <c r="C38" t="s">
        <v>433</v>
      </c>
      <c r="D38" t="s">
        <v>435</v>
      </c>
      <c r="E38" t="s">
        <v>27</v>
      </c>
      <c r="F38" t="s">
        <v>20</v>
      </c>
      <c r="G38">
        <v>3</v>
      </c>
      <c r="H38">
        <v>134</v>
      </c>
      <c r="I38">
        <v>402</v>
      </c>
      <c r="J38">
        <v>0.28000000000000003</v>
      </c>
      <c r="K38">
        <v>92.53</v>
      </c>
    </row>
    <row r="39" spans="1:11" x14ac:dyDescent="0.35">
      <c r="A39">
        <v>1038</v>
      </c>
      <c r="B39" s="17">
        <v>44599</v>
      </c>
      <c r="C39" t="s">
        <v>432</v>
      </c>
      <c r="D39" t="s">
        <v>419</v>
      </c>
      <c r="E39" t="s">
        <v>27</v>
      </c>
      <c r="F39" t="s">
        <v>8</v>
      </c>
      <c r="G39">
        <v>1</v>
      </c>
      <c r="H39">
        <v>127</v>
      </c>
      <c r="I39">
        <v>127</v>
      </c>
      <c r="J39">
        <v>0</v>
      </c>
      <c r="K39">
        <v>28.21</v>
      </c>
    </row>
    <row r="40" spans="1:11" x14ac:dyDescent="0.35">
      <c r="A40">
        <v>1039</v>
      </c>
      <c r="B40" s="17">
        <v>44600</v>
      </c>
      <c r="C40" t="s">
        <v>423</v>
      </c>
      <c r="D40" t="s">
        <v>418</v>
      </c>
      <c r="E40" t="s">
        <v>27</v>
      </c>
      <c r="F40" t="s">
        <v>20</v>
      </c>
      <c r="G40">
        <v>1</v>
      </c>
      <c r="H40">
        <v>415</v>
      </c>
      <c r="I40">
        <v>415</v>
      </c>
      <c r="J40">
        <v>7.0000000000000007E-2</v>
      </c>
      <c r="K40">
        <v>93.19</v>
      </c>
    </row>
    <row r="41" spans="1:11" x14ac:dyDescent="0.35">
      <c r="A41">
        <v>1040</v>
      </c>
      <c r="B41" s="17">
        <v>44601</v>
      </c>
      <c r="C41" t="s">
        <v>408</v>
      </c>
      <c r="D41" t="s">
        <v>419</v>
      </c>
      <c r="E41" t="s">
        <v>15</v>
      </c>
      <c r="F41" t="s">
        <v>8</v>
      </c>
      <c r="G41">
        <v>8</v>
      </c>
      <c r="H41">
        <v>50</v>
      </c>
      <c r="I41">
        <v>400</v>
      </c>
      <c r="J41">
        <v>0.11</v>
      </c>
      <c r="K41">
        <v>105.92</v>
      </c>
    </row>
    <row r="42" spans="1:11" x14ac:dyDescent="0.35">
      <c r="A42">
        <v>1041</v>
      </c>
      <c r="B42" s="17">
        <v>44602</v>
      </c>
      <c r="C42" t="s">
        <v>411</v>
      </c>
      <c r="D42" t="s">
        <v>413</v>
      </c>
      <c r="E42" t="s">
        <v>407</v>
      </c>
      <c r="F42" t="s">
        <v>20</v>
      </c>
      <c r="G42">
        <v>2</v>
      </c>
      <c r="H42">
        <v>100</v>
      </c>
      <c r="I42">
        <v>200</v>
      </c>
      <c r="J42">
        <v>0.15</v>
      </c>
      <c r="K42">
        <v>33.090000000000003</v>
      </c>
    </row>
    <row r="43" spans="1:11" x14ac:dyDescent="0.35">
      <c r="A43">
        <v>1042</v>
      </c>
      <c r="B43" s="17">
        <v>44603</v>
      </c>
      <c r="C43" t="s">
        <v>405</v>
      </c>
      <c r="D43" t="s">
        <v>418</v>
      </c>
      <c r="E43" t="s">
        <v>407</v>
      </c>
      <c r="F43" t="s">
        <v>83</v>
      </c>
      <c r="G43">
        <v>3</v>
      </c>
      <c r="H43">
        <v>222</v>
      </c>
      <c r="I43">
        <v>666</v>
      </c>
      <c r="J43">
        <v>0.26</v>
      </c>
      <c r="K43">
        <v>133.30000000000001</v>
      </c>
    </row>
    <row r="44" spans="1:11" x14ac:dyDescent="0.35">
      <c r="A44">
        <v>1043</v>
      </c>
      <c r="B44" s="17">
        <v>44604</v>
      </c>
      <c r="C44" t="s">
        <v>424</v>
      </c>
      <c r="D44" t="s">
        <v>419</v>
      </c>
      <c r="E44" t="s">
        <v>24</v>
      </c>
      <c r="F44" t="s">
        <v>12</v>
      </c>
      <c r="G44">
        <v>2</v>
      </c>
      <c r="H44">
        <v>254</v>
      </c>
      <c r="I44">
        <v>508</v>
      </c>
      <c r="J44">
        <v>0.03</v>
      </c>
      <c r="K44">
        <v>81.95</v>
      </c>
    </row>
    <row r="45" spans="1:11" x14ac:dyDescent="0.35">
      <c r="A45">
        <v>1044</v>
      </c>
      <c r="B45" s="17">
        <v>44605</v>
      </c>
      <c r="C45" t="s">
        <v>414</v>
      </c>
      <c r="D45" t="s">
        <v>413</v>
      </c>
      <c r="E45" t="s">
        <v>27</v>
      </c>
      <c r="F45" t="s">
        <v>20</v>
      </c>
      <c r="G45">
        <v>3</v>
      </c>
      <c r="H45">
        <v>309</v>
      </c>
      <c r="I45">
        <v>927</v>
      </c>
      <c r="J45">
        <v>0.24</v>
      </c>
      <c r="K45">
        <v>243.79</v>
      </c>
    </row>
    <row r="46" spans="1:11" x14ac:dyDescent="0.35">
      <c r="A46">
        <v>1045</v>
      </c>
      <c r="B46" s="17">
        <v>44606</v>
      </c>
      <c r="C46" t="s">
        <v>411</v>
      </c>
      <c r="D46" t="s">
        <v>435</v>
      </c>
      <c r="E46" t="s">
        <v>27</v>
      </c>
      <c r="F46" t="s">
        <v>8</v>
      </c>
      <c r="G46">
        <v>7</v>
      </c>
      <c r="H46">
        <v>495</v>
      </c>
      <c r="I46">
        <v>3465</v>
      </c>
      <c r="J46">
        <v>0.02</v>
      </c>
      <c r="K46">
        <v>661.28</v>
      </c>
    </row>
    <row r="47" spans="1:11" x14ac:dyDescent="0.35">
      <c r="A47">
        <v>1046</v>
      </c>
      <c r="B47" s="17">
        <v>44607</v>
      </c>
      <c r="C47" t="s">
        <v>422</v>
      </c>
      <c r="D47" t="s">
        <v>419</v>
      </c>
      <c r="E47" t="s">
        <v>15</v>
      </c>
      <c r="F47" t="s">
        <v>8</v>
      </c>
      <c r="G47">
        <v>1</v>
      </c>
      <c r="H47">
        <v>498</v>
      </c>
      <c r="I47">
        <v>498</v>
      </c>
      <c r="J47">
        <v>0.25</v>
      </c>
      <c r="K47">
        <v>141.74</v>
      </c>
    </row>
    <row r="48" spans="1:11" x14ac:dyDescent="0.35">
      <c r="A48">
        <v>1047</v>
      </c>
      <c r="B48" s="17">
        <v>44608</v>
      </c>
      <c r="C48" t="s">
        <v>434</v>
      </c>
      <c r="D48" t="s">
        <v>413</v>
      </c>
      <c r="E48" t="s">
        <v>27</v>
      </c>
      <c r="F48" t="s">
        <v>20</v>
      </c>
      <c r="G48">
        <v>8</v>
      </c>
      <c r="H48">
        <v>418</v>
      </c>
      <c r="I48">
        <v>3344</v>
      </c>
      <c r="J48">
        <v>0.02</v>
      </c>
      <c r="K48">
        <v>765.73</v>
      </c>
    </row>
    <row r="49" spans="1:11" x14ac:dyDescent="0.35">
      <c r="A49">
        <v>1048</v>
      </c>
      <c r="B49" s="17">
        <v>44609</v>
      </c>
      <c r="C49" t="s">
        <v>427</v>
      </c>
      <c r="D49" t="s">
        <v>409</v>
      </c>
      <c r="E49" t="s">
        <v>407</v>
      </c>
      <c r="F49" t="s">
        <v>12</v>
      </c>
      <c r="G49">
        <v>2</v>
      </c>
      <c r="H49">
        <v>337</v>
      </c>
      <c r="I49">
        <v>674</v>
      </c>
      <c r="J49">
        <v>0.01</v>
      </c>
      <c r="K49">
        <v>182.06</v>
      </c>
    </row>
    <row r="50" spans="1:11" x14ac:dyDescent="0.35">
      <c r="A50">
        <v>1049</v>
      </c>
      <c r="B50" s="17">
        <v>44610</v>
      </c>
      <c r="C50" t="s">
        <v>420</v>
      </c>
      <c r="D50" t="s">
        <v>417</v>
      </c>
      <c r="E50" t="s">
        <v>410</v>
      </c>
      <c r="F50" t="s">
        <v>8</v>
      </c>
      <c r="G50">
        <v>3</v>
      </c>
      <c r="H50">
        <v>83</v>
      </c>
      <c r="I50">
        <v>249</v>
      </c>
      <c r="J50">
        <v>0.21</v>
      </c>
      <c r="K50">
        <v>73.91</v>
      </c>
    </row>
    <row r="51" spans="1:11" x14ac:dyDescent="0.35">
      <c r="A51">
        <v>1050</v>
      </c>
      <c r="B51" s="17">
        <v>44611</v>
      </c>
      <c r="C51" t="s">
        <v>433</v>
      </c>
      <c r="D51" t="s">
        <v>409</v>
      </c>
      <c r="E51" t="s">
        <v>410</v>
      </c>
      <c r="F51" t="s">
        <v>20</v>
      </c>
      <c r="G51">
        <v>9</v>
      </c>
      <c r="H51">
        <v>397</v>
      </c>
      <c r="I51">
        <v>3573</v>
      </c>
      <c r="J51">
        <v>0.3</v>
      </c>
      <c r="K51">
        <v>986.03</v>
      </c>
    </row>
    <row r="52" spans="1:11" x14ac:dyDescent="0.35">
      <c r="A52">
        <v>1051</v>
      </c>
      <c r="B52" s="17">
        <v>44612</v>
      </c>
      <c r="C52" t="s">
        <v>414</v>
      </c>
      <c r="D52" t="s">
        <v>417</v>
      </c>
      <c r="E52" t="s">
        <v>15</v>
      </c>
      <c r="F52" t="s">
        <v>12</v>
      </c>
      <c r="G52">
        <v>7</v>
      </c>
      <c r="H52">
        <v>144</v>
      </c>
      <c r="I52">
        <v>1008</v>
      </c>
      <c r="J52">
        <v>0.27</v>
      </c>
      <c r="K52">
        <v>282.29000000000002</v>
      </c>
    </row>
    <row r="53" spans="1:11" x14ac:dyDescent="0.35">
      <c r="A53">
        <v>1052</v>
      </c>
      <c r="B53" s="17">
        <v>44613</v>
      </c>
      <c r="C53" t="s">
        <v>420</v>
      </c>
      <c r="D53" t="s">
        <v>421</v>
      </c>
      <c r="E53" t="s">
        <v>15</v>
      </c>
      <c r="F53" t="s">
        <v>8</v>
      </c>
      <c r="G53">
        <v>4</v>
      </c>
      <c r="H53">
        <v>121</v>
      </c>
      <c r="I53">
        <v>484</v>
      </c>
      <c r="J53">
        <v>0.17</v>
      </c>
      <c r="K53">
        <v>102.22</v>
      </c>
    </row>
    <row r="54" spans="1:11" x14ac:dyDescent="0.35">
      <c r="A54">
        <v>1053</v>
      </c>
      <c r="B54" s="17">
        <v>44614</v>
      </c>
      <c r="C54" t="s">
        <v>423</v>
      </c>
      <c r="D54" t="s">
        <v>421</v>
      </c>
      <c r="E54" t="s">
        <v>27</v>
      </c>
      <c r="F54" t="s">
        <v>8</v>
      </c>
      <c r="G54">
        <v>5</v>
      </c>
      <c r="H54">
        <v>88</v>
      </c>
      <c r="I54">
        <v>440</v>
      </c>
      <c r="J54">
        <v>0.28000000000000003</v>
      </c>
      <c r="K54">
        <v>102.41</v>
      </c>
    </row>
    <row r="55" spans="1:11" x14ac:dyDescent="0.35">
      <c r="A55">
        <v>1054</v>
      </c>
      <c r="B55" s="17">
        <v>44615</v>
      </c>
      <c r="C55" t="s">
        <v>425</v>
      </c>
      <c r="D55" t="s">
        <v>421</v>
      </c>
      <c r="E55" t="s">
        <v>410</v>
      </c>
      <c r="F55" t="s">
        <v>83</v>
      </c>
      <c r="G55">
        <v>2</v>
      </c>
      <c r="H55">
        <v>203</v>
      </c>
      <c r="I55">
        <v>406</v>
      </c>
      <c r="J55">
        <v>0</v>
      </c>
      <c r="K55">
        <v>76.36</v>
      </c>
    </row>
    <row r="56" spans="1:11" x14ac:dyDescent="0.35">
      <c r="A56">
        <v>1055</v>
      </c>
      <c r="B56" s="17">
        <v>44616</v>
      </c>
      <c r="C56" t="s">
        <v>428</v>
      </c>
      <c r="D56" t="s">
        <v>435</v>
      </c>
      <c r="E56" t="s">
        <v>410</v>
      </c>
      <c r="F56" t="s">
        <v>83</v>
      </c>
      <c r="G56">
        <v>8</v>
      </c>
      <c r="H56">
        <v>299</v>
      </c>
      <c r="I56">
        <v>2392</v>
      </c>
      <c r="J56">
        <v>0.28999999999999998</v>
      </c>
      <c r="K56">
        <v>429.17</v>
      </c>
    </row>
    <row r="57" spans="1:11" x14ac:dyDescent="0.35">
      <c r="A57">
        <v>1056</v>
      </c>
      <c r="B57" s="17">
        <v>44617</v>
      </c>
      <c r="C57" t="s">
        <v>420</v>
      </c>
      <c r="D57" t="s">
        <v>409</v>
      </c>
      <c r="E57" t="s">
        <v>15</v>
      </c>
      <c r="F57" t="s">
        <v>12</v>
      </c>
      <c r="G57">
        <v>4</v>
      </c>
      <c r="H57">
        <v>211</v>
      </c>
      <c r="I57">
        <v>844</v>
      </c>
      <c r="J57">
        <v>0.15</v>
      </c>
      <c r="K57">
        <v>190.6</v>
      </c>
    </row>
    <row r="58" spans="1:11" x14ac:dyDescent="0.35">
      <c r="A58">
        <v>1057</v>
      </c>
      <c r="B58" s="17">
        <v>44618</v>
      </c>
      <c r="C58" t="s">
        <v>433</v>
      </c>
      <c r="D58" t="s">
        <v>417</v>
      </c>
      <c r="E58" t="s">
        <v>27</v>
      </c>
      <c r="F58" t="s">
        <v>20</v>
      </c>
      <c r="G58">
        <v>9</v>
      </c>
      <c r="H58">
        <v>487</v>
      </c>
      <c r="I58">
        <v>4383</v>
      </c>
      <c r="J58">
        <v>0.22</v>
      </c>
      <c r="K58">
        <v>1048.6600000000001</v>
      </c>
    </row>
    <row r="59" spans="1:11" x14ac:dyDescent="0.35">
      <c r="A59">
        <v>1058</v>
      </c>
      <c r="B59" s="17">
        <v>44619</v>
      </c>
      <c r="C59" t="s">
        <v>424</v>
      </c>
      <c r="D59" t="s">
        <v>413</v>
      </c>
      <c r="E59" t="s">
        <v>410</v>
      </c>
      <c r="F59" t="s">
        <v>8</v>
      </c>
      <c r="G59">
        <v>5</v>
      </c>
      <c r="H59">
        <v>167</v>
      </c>
      <c r="I59">
        <v>835</v>
      </c>
      <c r="J59">
        <v>0.25</v>
      </c>
      <c r="K59">
        <v>167.74</v>
      </c>
    </row>
    <row r="60" spans="1:11" x14ac:dyDescent="0.35">
      <c r="A60">
        <v>1059</v>
      </c>
      <c r="B60" s="17">
        <v>44620</v>
      </c>
      <c r="C60" t="s">
        <v>423</v>
      </c>
      <c r="D60" t="s">
        <v>418</v>
      </c>
      <c r="E60" t="s">
        <v>15</v>
      </c>
      <c r="F60" t="s">
        <v>20</v>
      </c>
      <c r="G60">
        <v>9</v>
      </c>
      <c r="H60">
        <v>308</v>
      </c>
      <c r="I60">
        <v>2772</v>
      </c>
      <c r="J60">
        <v>0.22</v>
      </c>
      <c r="K60">
        <v>652.57000000000005</v>
      </c>
    </row>
    <row r="61" spans="1:11" x14ac:dyDescent="0.35">
      <c r="A61">
        <v>1060</v>
      </c>
      <c r="B61" s="17">
        <v>44621</v>
      </c>
      <c r="C61" t="s">
        <v>428</v>
      </c>
      <c r="D61" t="s">
        <v>413</v>
      </c>
      <c r="E61" t="s">
        <v>27</v>
      </c>
      <c r="F61" t="s">
        <v>83</v>
      </c>
      <c r="G61">
        <v>4</v>
      </c>
      <c r="H61">
        <v>428</v>
      </c>
      <c r="I61">
        <v>1712</v>
      </c>
      <c r="J61">
        <v>0.16</v>
      </c>
      <c r="K61">
        <v>484.7</v>
      </c>
    </row>
    <row r="62" spans="1:11" x14ac:dyDescent="0.35">
      <c r="A62">
        <v>1061</v>
      </c>
      <c r="B62" s="17">
        <v>44622</v>
      </c>
      <c r="C62" t="s">
        <v>420</v>
      </c>
      <c r="D62" t="s">
        <v>418</v>
      </c>
      <c r="E62" t="s">
        <v>27</v>
      </c>
      <c r="F62" t="s">
        <v>83</v>
      </c>
      <c r="G62">
        <v>5</v>
      </c>
      <c r="H62">
        <v>355</v>
      </c>
      <c r="I62">
        <v>1775</v>
      </c>
      <c r="J62">
        <v>0.14000000000000001</v>
      </c>
      <c r="K62">
        <v>414.48</v>
      </c>
    </row>
    <row r="63" spans="1:11" x14ac:dyDescent="0.35">
      <c r="A63">
        <v>1062</v>
      </c>
      <c r="B63" s="17">
        <v>44623</v>
      </c>
      <c r="C63" t="s">
        <v>434</v>
      </c>
      <c r="D63" t="s">
        <v>430</v>
      </c>
      <c r="E63" t="s">
        <v>27</v>
      </c>
      <c r="F63" t="s">
        <v>20</v>
      </c>
      <c r="G63">
        <v>9</v>
      </c>
      <c r="H63">
        <v>317</v>
      </c>
      <c r="I63">
        <v>2853</v>
      </c>
      <c r="J63">
        <v>0.25</v>
      </c>
      <c r="K63">
        <v>736.42</v>
      </c>
    </row>
    <row r="64" spans="1:11" x14ac:dyDescent="0.35">
      <c r="A64">
        <v>1063</v>
      </c>
      <c r="B64" s="17">
        <v>44624</v>
      </c>
      <c r="C64" t="s">
        <v>429</v>
      </c>
      <c r="D64" t="s">
        <v>413</v>
      </c>
      <c r="E64" t="s">
        <v>407</v>
      </c>
      <c r="F64" t="s">
        <v>83</v>
      </c>
      <c r="G64">
        <v>8</v>
      </c>
      <c r="H64">
        <v>498</v>
      </c>
      <c r="I64">
        <v>3984</v>
      </c>
      <c r="J64">
        <v>0.06</v>
      </c>
      <c r="K64">
        <v>1078.8599999999999</v>
      </c>
    </row>
    <row r="65" spans="1:11" x14ac:dyDescent="0.35">
      <c r="A65">
        <v>1064</v>
      </c>
      <c r="B65" s="17">
        <v>44625</v>
      </c>
      <c r="C65" t="s">
        <v>411</v>
      </c>
      <c r="D65" t="s">
        <v>419</v>
      </c>
      <c r="E65" t="s">
        <v>24</v>
      </c>
      <c r="F65" t="s">
        <v>20</v>
      </c>
      <c r="G65">
        <v>3</v>
      </c>
      <c r="H65">
        <v>103</v>
      </c>
      <c r="I65">
        <v>309</v>
      </c>
      <c r="J65">
        <v>0.28999999999999998</v>
      </c>
      <c r="K65">
        <v>92.18</v>
      </c>
    </row>
    <row r="66" spans="1:11" x14ac:dyDescent="0.35">
      <c r="A66">
        <v>1065</v>
      </c>
      <c r="B66" s="17">
        <v>44626</v>
      </c>
      <c r="C66" t="s">
        <v>414</v>
      </c>
      <c r="D66" t="s">
        <v>419</v>
      </c>
      <c r="E66" t="s">
        <v>24</v>
      </c>
      <c r="F66" t="s">
        <v>12</v>
      </c>
      <c r="G66">
        <v>1</v>
      </c>
      <c r="H66">
        <v>285</v>
      </c>
      <c r="I66">
        <v>285</v>
      </c>
      <c r="J66">
        <v>0.21</v>
      </c>
      <c r="K66">
        <v>68.540000000000006</v>
      </c>
    </row>
    <row r="67" spans="1:11" x14ac:dyDescent="0.35">
      <c r="A67">
        <v>1066</v>
      </c>
      <c r="B67" s="17">
        <v>44627</v>
      </c>
      <c r="C67" t="s">
        <v>434</v>
      </c>
      <c r="D67" t="s">
        <v>415</v>
      </c>
      <c r="E67" t="s">
        <v>24</v>
      </c>
      <c r="F67" t="s">
        <v>20</v>
      </c>
      <c r="G67">
        <v>3</v>
      </c>
      <c r="H67">
        <v>438</v>
      </c>
      <c r="I67">
        <v>1314</v>
      </c>
      <c r="J67">
        <v>0.06</v>
      </c>
      <c r="K67">
        <v>356.13</v>
      </c>
    </row>
    <row r="68" spans="1:11" x14ac:dyDescent="0.35">
      <c r="A68">
        <v>1067</v>
      </c>
      <c r="B68" s="17">
        <v>44628</v>
      </c>
      <c r="C68" t="s">
        <v>414</v>
      </c>
      <c r="D68" t="s">
        <v>409</v>
      </c>
      <c r="E68" t="s">
        <v>15</v>
      </c>
      <c r="F68" t="s">
        <v>8</v>
      </c>
      <c r="G68">
        <v>4</v>
      </c>
      <c r="H68">
        <v>271</v>
      </c>
      <c r="I68">
        <v>1084</v>
      </c>
      <c r="J68">
        <v>0.22</v>
      </c>
      <c r="K68">
        <v>319.13</v>
      </c>
    </row>
    <row r="69" spans="1:11" x14ac:dyDescent="0.35">
      <c r="A69">
        <v>1068</v>
      </c>
      <c r="B69" s="17">
        <v>44629</v>
      </c>
      <c r="C69" t="s">
        <v>429</v>
      </c>
      <c r="D69" t="s">
        <v>418</v>
      </c>
      <c r="E69" t="s">
        <v>407</v>
      </c>
      <c r="F69" t="s">
        <v>83</v>
      </c>
      <c r="G69">
        <v>2</v>
      </c>
      <c r="H69">
        <v>300</v>
      </c>
      <c r="I69">
        <v>600</v>
      </c>
      <c r="J69">
        <v>0.16</v>
      </c>
      <c r="K69">
        <v>175</v>
      </c>
    </row>
    <row r="70" spans="1:11" x14ac:dyDescent="0.35">
      <c r="A70">
        <v>1069</v>
      </c>
      <c r="B70" s="17">
        <v>44630</v>
      </c>
      <c r="C70" t="s">
        <v>436</v>
      </c>
      <c r="D70" t="s">
        <v>418</v>
      </c>
      <c r="E70" t="s">
        <v>24</v>
      </c>
      <c r="F70" t="s">
        <v>83</v>
      </c>
      <c r="G70">
        <v>1</v>
      </c>
      <c r="H70">
        <v>362</v>
      </c>
      <c r="I70">
        <v>362</v>
      </c>
      <c r="J70">
        <v>0.21</v>
      </c>
      <c r="K70">
        <v>61.96</v>
      </c>
    </row>
    <row r="71" spans="1:11" x14ac:dyDescent="0.35">
      <c r="A71">
        <v>1070</v>
      </c>
      <c r="B71" s="17">
        <v>44631</v>
      </c>
      <c r="C71" t="s">
        <v>433</v>
      </c>
      <c r="D71" t="s">
        <v>409</v>
      </c>
      <c r="E71" t="s">
        <v>15</v>
      </c>
      <c r="F71" t="s">
        <v>83</v>
      </c>
      <c r="G71">
        <v>7</v>
      </c>
      <c r="H71">
        <v>450</v>
      </c>
      <c r="I71">
        <v>3150</v>
      </c>
      <c r="J71">
        <v>0.23</v>
      </c>
      <c r="K71">
        <v>664.52</v>
      </c>
    </row>
    <row r="72" spans="1:11" x14ac:dyDescent="0.35">
      <c r="A72">
        <v>1071</v>
      </c>
      <c r="B72" s="17">
        <v>44632</v>
      </c>
      <c r="C72" t="s">
        <v>411</v>
      </c>
      <c r="D72" t="s">
        <v>435</v>
      </c>
      <c r="E72" t="s">
        <v>410</v>
      </c>
      <c r="F72" t="s">
        <v>20</v>
      </c>
      <c r="G72">
        <v>8</v>
      </c>
      <c r="H72">
        <v>161</v>
      </c>
      <c r="I72">
        <v>1288</v>
      </c>
      <c r="J72">
        <v>0.03</v>
      </c>
      <c r="K72">
        <v>255.79</v>
      </c>
    </row>
    <row r="73" spans="1:11" x14ac:dyDescent="0.35">
      <c r="A73">
        <v>1072</v>
      </c>
      <c r="B73" s="17">
        <v>44633</v>
      </c>
      <c r="C73" t="s">
        <v>436</v>
      </c>
      <c r="D73" t="s">
        <v>415</v>
      </c>
      <c r="E73" t="s">
        <v>15</v>
      </c>
      <c r="F73" t="s">
        <v>8</v>
      </c>
      <c r="G73">
        <v>7</v>
      </c>
      <c r="H73">
        <v>304</v>
      </c>
      <c r="I73">
        <v>2128</v>
      </c>
      <c r="J73">
        <v>0.15</v>
      </c>
      <c r="K73">
        <v>346.95</v>
      </c>
    </row>
    <row r="74" spans="1:11" x14ac:dyDescent="0.35">
      <c r="A74">
        <v>1073</v>
      </c>
      <c r="B74" s="17">
        <v>44634</v>
      </c>
      <c r="C74" t="s">
        <v>432</v>
      </c>
      <c r="D74" t="s">
        <v>435</v>
      </c>
      <c r="E74" t="s">
        <v>27</v>
      </c>
      <c r="F74" t="s">
        <v>20</v>
      </c>
      <c r="G74">
        <v>5</v>
      </c>
      <c r="H74">
        <v>352</v>
      </c>
      <c r="I74">
        <v>1760</v>
      </c>
      <c r="J74">
        <v>0.28000000000000003</v>
      </c>
      <c r="K74">
        <v>431.18</v>
      </c>
    </row>
    <row r="75" spans="1:11" x14ac:dyDescent="0.35">
      <c r="A75">
        <v>1074</v>
      </c>
      <c r="B75" s="17">
        <v>44635</v>
      </c>
      <c r="C75" t="s">
        <v>411</v>
      </c>
      <c r="D75" t="s">
        <v>435</v>
      </c>
      <c r="E75" t="s">
        <v>24</v>
      </c>
      <c r="F75" t="s">
        <v>83</v>
      </c>
      <c r="G75">
        <v>1</v>
      </c>
      <c r="H75">
        <v>456</v>
      </c>
      <c r="I75">
        <v>456</v>
      </c>
      <c r="J75">
        <v>0.1</v>
      </c>
      <c r="K75">
        <v>118.74</v>
      </c>
    </row>
    <row r="76" spans="1:11" x14ac:dyDescent="0.35">
      <c r="A76">
        <v>1075</v>
      </c>
      <c r="B76" s="17">
        <v>44636</v>
      </c>
      <c r="C76" t="s">
        <v>436</v>
      </c>
      <c r="D76" t="s">
        <v>435</v>
      </c>
      <c r="E76" t="s">
        <v>27</v>
      </c>
      <c r="F76" t="s">
        <v>12</v>
      </c>
      <c r="G76">
        <v>7</v>
      </c>
      <c r="H76">
        <v>256</v>
      </c>
      <c r="I76">
        <v>1792</v>
      </c>
      <c r="J76">
        <v>0.18</v>
      </c>
      <c r="K76">
        <v>496.78</v>
      </c>
    </row>
    <row r="77" spans="1:11" x14ac:dyDescent="0.35">
      <c r="A77">
        <v>1076</v>
      </c>
      <c r="B77" s="17">
        <v>44637</v>
      </c>
      <c r="C77" t="s">
        <v>426</v>
      </c>
      <c r="D77" t="s">
        <v>409</v>
      </c>
      <c r="E77" t="s">
        <v>410</v>
      </c>
      <c r="F77" t="s">
        <v>12</v>
      </c>
      <c r="G77">
        <v>7</v>
      </c>
      <c r="H77">
        <v>278</v>
      </c>
      <c r="I77">
        <v>1946</v>
      </c>
      <c r="J77">
        <v>0.11</v>
      </c>
      <c r="K77">
        <v>327.74</v>
      </c>
    </row>
    <row r="78" spans="1:11" x14ac:dyDescent="0.35">
      <c r="A78">
        <v>1077</v>
      </c>
      <c r="B78" s="17">
        <v>44638</v>
      </c>
      <c r="C78" t="s">
        <v>405</v>
      </c>
      <c r="D78" t="s">
        <v>435</v>
      </c>
      <c r="E78" t="s">
        <v>24</v>
      </c>
      <c r="F78" t="s">
        <v>12</v>
      </c>
      <c r="G78">
        <v>9</v>
      </c>
      <c r="H78">
        <v>390</v>
      </c>
      <c r="I78">
        <v>3510</v>
      </c>
      <c r="J78">
        <v>0.14000000000000001</v>
      </c>
      <c r="K78">
        <v>987.95</v>
      </c>
    </row>
    <row r="79" spans="1:11" x14ac:dyDescent="0.35">
      <c r="A79">
        <v>1078</v>
      </c>
      <c r="B79" s="17">
        <v>44639</v>
      </c>
      <c r="C79" t="s">
        <v>432</v>
      </c>
      <c r="D79" t="s">
        <v>419</v>
      </c>
      <c r="E79" t="s">
        <v>24</v>
      </c>
      <c r="F79" t="s">
        <v>8</v>
      </c>
      <c r="G79">
        <v>3</v>
      </c>
      <c r="H79">
        <v>447</v>
      </c>
      <c r="I79">
        <v>1341</v>
      </c>
      <c r="J79">
        <v>0.16</v>
      </c>
      <c r="K79">
        <v>330.47</v>
      </c>
    </row>
    <row r="80" spans="1:11" x14ac:dyDescent="0.35">
      <c r="A80">
        <v>1079</v>
      </c>
      <c r="B80" s="17">
        <v>44640</v>
      </c>
      <c r="C80" t="s">
        <v>426</v>
      </c>
      <c r="D80" t="s">
        <v>421</v>
      </c>
      <c r="E80" t="s">
        <v>27</v>
      </c>
      <c r="F80" t="s">
        <v>8</v>
      </c>
      <c r="G80">
        <v>9</v>
      </c>
      <c r="H80">
        <v>115</v>
      </c>
      <c r="I80">
        <v>1035</v>
      </c>
      <c r="J80">
        <v>0.16</v>
      </c>
      <c r="K80">
        <v>264.54000000000002</v>
      </c>
    </row>
    <row r="81" spans="1:11" x14ac:dyDescent="0.35">
      <c r="A81">
        <v>1080</v>
      </c>
      <c r="B81" s="17">
        <v>44641</v>
      </c>
      <c r="C81" t="s">
        <v>424</v>
      </c>
      <c r="D81" t="s">
        <v>430</v>
      </c>
      <c r="E81" t="s">
        <v>410</v>
      </c>
      <c r="F81" t="s">
        <v>8</v>
      </c>
      <c r="G81">
        <v>1</v>
      </c>
      <c r="H81">
        <v>124</v>
      </c>
      <c r="I81">
        <v>124</v>
      </c>
      <c r="J81">
        <v>0.06</v>
      </c>
      <c r="K81">
        <v>35.54</v>
      </c>
    </row>
    <row r="82" spans="1:11" x14ac:dyDescent="0.35">
      <c r="A82">
        <v>1081</v>
      </c>
      <c r="B82" s="17">
        <v>44642</v>
      </c>
      <c r="C82" t="s">
        <v>414</v>
      </c>
      <c r="D82" t="s">
        <v>418</v>
      </c>
      <c r="E82" t="s">
        <v>407</v>
      </c>
      <c r="F82" t="s">
        <v>12</v>
      </c>
      <c r="G82">
        <v>1</v>
      </c>
      <c r="H82">
        <v>484</v>
      </c>
      <c r="I82">
        <v>484</v>
      </c>
      <c r="J82">
        <v>0.21</v>
      </c>
      <c r="K82">
        <v>117.96</v>
      </c>
    </row>
    <row r="83" spans="1:11" x14ac:dyDescent="0.35">
      <c r="A83">
        <v>1082</v>
      </c>
      <c r="B83" s="17">
        <v>44643</v>
      </c>
      <c r="C83" t="s">
        <v>412</v>
      </c>
      <c r="D83" t="s">
        <v>418</v>
      </c>
      <c r="E83" t="s">
        <v>27</v>
      </c>
      <c r="F83" t="s">
        <v>83</v>
      </c>
      <c r="G83">
        <v>4</v>
      </c>
      <c r="H83">
        <v>152</v>
      </c>
      <c r="I83">
        <v>608</v>
      </c>
      <c r="J83">
        <v>0.03</v>
      </c>
      <c r="K83">
        <v>121.83</v>
      </c>
    </row>
    <row r="84" spans="1:11" x14ac:dyDescent="0.35">
      <c r="A84">
        <v>1083</v>
      </c>
      <c r="B84" s="17">
        <v>44644</v>
      </c>
      <c r="C84" t="s">
        <v>416</v>
      </c>
      <c r="D84" t="s">
        <v>430</v>
      </c>
      <c r="E84" t="s">
        <v>410</v>
      </c>
      <c r="F84" t="s">
        <v>8</v>
      </c>
      <c r="G84">
        <v>9</v>
      </c>
      <c r="H84">
        <v>471</v>
      </c>
      <c r="I84">
        <v>4239</v>
      </c>
      <c r="J84">
        <v>0.04</v>
      </c>
      <c r="K84">
        <v>1160.49</v>
      </c>
    </row>
    <row r="85" spans="1:11" x14ac:dyDescent="0.35">
      <c r="A85">
        <v>1084</v>
      </c>
      <c r="B85" s="17">
        <v>44645</v>
      </c>
      <c r="C85" t="s">
        <v>427</v>
      </c>
      <c r="D85" t="s">
        <v>409</v>
      </c>
      <c r="E85" t="s">
        <v>27</v>
      </c>
      <c r="F85" t="s">
        <v>20</v>
      </c>
      <c r="G85">
        <v>6</v>
      </c>
      <c r="H85">
        <v>241</v>
      </c>
      <c r="I85">
        <v>1446</v>
      </c>
      <c r="J85">
        <v>0</v>
      </c>
      <c r="K85">
        <v>295.64999999999998</v>
      </c>
    </row>
    <row r="86" spans="1:11" x14ac:dyDescent="0.35">
      <c r="A86">
        <v>1085</v>
      </c>
      <c r="B86" s="17">
        <v>44646</v>
      </c>
      <c r="C86" t="s">
        <v>414</v>
      </c>
      <c r="D86" t="s">
        <v>413</v>
      </c>
      <c r="E86" t="s">
        <v>24</v>
      </c>
      <c r="F86" t="s">
        <v>20</v>
      </c>
      <c r="G86">
        <v>3</v>
      </c>
      <c r="H86">
        <v>301</v>
      </c>
      <c r="I86">
        <v>903</v>
      </c>
      <c r="J86">
        <v>0.04</v>
      </c>
      <c r="K86">
        <v>140.09</v>
      </c>
    </row>
    <row r="87" spans="1:11" x14ac:dyDescent="0.35">
      <c r="A87">
        <v>1086</v>
      </c>
      <c r="B87" s="17">
        <v>44647</v>
      </c>
      <c r="C87" t="s">
        <v>422</v>
      </c>
      <c r="D87" t="s">
        <v>409</v>
      </c>
      <c r="E87" t="s">
        <v>27</v>
      </c>
      <c r="F87" t="s">
        <v>8</v>
      </c>
      <c r="G87">
        <v>1</v>
      </c>
      <c r="H87">
        <v>275</v>
      </c>
      <c r="I87">
        <v>275</v>
      </c>
      <c r="J87">
        <v>0.14000000000000001</v>
      </c>
      <c r="K87">
        <v>75.510000000000005</v>
      </c>
    </row>
    <row r="88" spans="1:11" x14ac:dyDescent="0.35">
      <c r="A88">
        <v>1087</v>
      </c>
      <c r="B88" s="17">
        <v>44648</v>
      </c>
      <c r="C88" t="s">
        <v>422</v>
      </c>
      <c r="D88" t="s">
        <v>418</v>
      </c>
      <c r="E88" t="s">
        <v>15</v>
      </c>
      <c r="F88" t="s">
        <v>83</v>
      </c>
      <c r="G88">
        <v>4</v>
      </c>
      <c r="H88">
        <v>343</v>
      </c>
      <c r="I88">
        <v>1372</v>
      </c>
      <c r="J88">
        <v>0.18</v>
      </c>
      <c r="K88">
        <v>276.83999999999997</v>
      </c>
    </row>
    <row r="89" spans="1:11" x14ac:dyDescent="0.35">
      <c r="A89">
        <v>1088</v>
      </c>
      <c r="B89" s="17">
        <v>44649</v>
      </c>
      <c r="C89" t="s">
        <v>426</v>
      </c>
      <c r="D89" t="s">
        <v>418</v>
      </c>
      <c r="E89" t="s">
        <v>15</v>
      </c>
      <c r="F89" t="s">
        <v>83</v>
      </c>
      <c r="G89">
        <v>9</v>
      </c>
      <c r="H89">
        <v>355</v>
      </c>
      <c r="I89">
        <v>3195</v>
      </c>
      <c r="J89">
        <v>0.24</v>
      </c>
      <c r="K89">
        <v>850.11</v>
      </c>
    </row>
    <row r="90" spans="1:11" x14ac:dyDescent="0.35">
      <c r="A90">
        <v>1089</v>
      </c>
      <c r="B90" s="17">
        <v>44650</v>
      </c>
      <c r="C90" t="s">
        <v>431</v>
      </c>
      <c r="D90" t="s">
        <v>430</v>
      </c>
      <c r="E90" t="s">
        <v>15</v>
      </c>
      <c r="F90" t="s">
        <v>8</v>
      </c>
      <c r="G90">
        <v>3</v>
      </c>
      <c r="H90">
        <v>147</v>
      </c>
      <c r="I90">
        <v>441</v>
      </c>
      <c r="J90">
        <v>0.03</v>
      </c>
      <c r="K90">
        <v>90.15</v>
      </c>
    </row>
    <row r="91" spans="1:11" x14ac:dyDescent="0.35">
      <c r="A91">
        <v>1090</v>
      </c>
      <c r="B91" s="17">
        <v>44651</v>
      </c>
      <c r="C91" t="s">
        <v>428</v>
      </c>
      <c r="D91" t="s">
        <v>435</v>
      </c>
      <c r="E91" t="s">
        <v>27</v>
      </c>
      <c r="F91" t="s">
        <v>8</v>
      </c>
      <c r="G91">
        <v>9</v>
      </c>
      <c r="H91">
        <v>387</v>
      </c>
      <c r="I91">
        <v>3483</v>
      </c>
      <c r="J91">
        <v>0.26</v>
      </c>
      <c r="K91">
        <v>972.31</v>
      </c>
    </row>
    <row r="92" spans="1:11" x14ac:dyDescent="0.35">
      <c r="A92">
        <v>1091</v>
      </c>
      <c r="B92" s="17">
        <v>44652</v>
      </c>
      <c r="C92" t="s">
        <v>405</v>
      </c>
      <c r="D92" t="s">
        <v>409</v>
      </c>
      <c r="E92" t="s">
        <v>407</v>
      </c>
      <c r="F92" t="s">
        <v>8</v>
      </c>
      <c r="G92">
        <v>7</v>
      </c>
      <c r="H92">
        <v>335</v>
      </c>
      <c r="I92">
        <v>2345</v>
      </c>
      <c r="J92">
        <v>0.22</v>
      </c>
      <c r="K92">
        <v>428.96</v>
      </c>
    </row>
    <row r="93" spans="1:11" x14ac:dyDescent="0.35">
      <c r="A93">
        <v>1092</v>
      </c>
      <c r="B93" s="17">
        <v>44653</v>
      </c>
      <c r="C93" t="s">
        <v>432</v>
      </c>
      <c r="D93" t="s">
        <v>417</v>
      </c>
      <c r="E93" t="s">
        <v>15</v>
      </c>
      <c r="F93" t="s">
        <v>83</v>
      </c>
      <c r="G93">
        <v>4</v>
      </c>
      <c r="H93">
        <v>384</v>
      </c>
      <c r="I93">
        <v>1536</v>
      </c>
      <c r="J93">
        <v>0.12</v>
      </c>
      <c r="K93">
        <v>454.94</v>
      </c>
    </row>
    <row r="94" spans="1:11" x14ac:dyDescent="0.35">
      <c r="A94">
        <v>1093</v>
      </c>
      <c r="B94" s="17">
        <v>44654</v>
      </c>
      <c r="C94" t="s">
        <v>405</v>
      </c>
      <c r="D94" t="s">
        <v>430</v>
      </c>
      <c r="E94" t="s">
        <v>407</v>
      </c>
      <c r="F94" t="s">
        <v>20</v>
      </c>
      <c r="G94">
        <v>3</v>
      </c>
      <c r="H94">
        <v>396</v>
      </c>
      <c r="I94">
        <v>1188</v>
      </c>
      <c r="J94">
        <v>0.28000000000000003</v>
      </c>
      <c r="K94">
        <v>317.14999999999998</v>
      </c>
    </row>
    <row r="95" spans="1:11" x14ac:dyDescent="0.35">
      <c r="A95">
        <v>1094</v>
      </c>
      <c r="B95" s="17">
        <v>44655</v>
      </c>
      <c r="C95" t="s">
        <v>432</v>
      </c>
      <c r="D95" t="s">
        <v>419</v>
      </c>
      <c r="E95" t="s">
        <v>407</v>
      </c>
      <c r="F95" t="s">
        <v>20</v>
      </c>
      <c r="G95">
        <v>5</v>
      </c>
      <c r="H95">
        <v>484</v>
      </c>
      <c r="I95">
        <v>2420</v>
      </c>
      <c r="J95">
        <v>0.3</v>
      </c>
      <c r="K95">
        <v>404.47</v>
      </c>
    </row>
    <row r="96" spans="1:11" x14ac:dyDescent="0.35">
      <c r="A96">
        <v>1095</v>
      </c>
      <c r="B96" s="17">
        <v>44656</v>
      </c>
      <c r="C96" t="s">
        <v>414</v>
      </c>
      <c r="D96" t="s">
        <v>418</v>
      </c>
      <c r="E96" t="s">
        <v>15</v>
      </c>
      <c r="F96" t="s">
        <v>12</v>
      </c>
      <c r="G96">
        <v>5</v>
      </c>
      <c r="H96">
        <v>496</v>
      </c>
      <c r="I96">
        <v>2480</v>
      </c>
      <c r="J96">
        <v>0.06</v>
      </c>
      <c r="K96">
        <v>582.47</v>
      </c>
    </row>
    <row r="97" spans="1:11" x14ac:dyDescent="0.35">
      <c r="A97">
        <v>1096</v>
      </c>
      <c r="B97" s="17">
        <v>44657</v>
      </c>
      <c r="C97" t="s">
        <v>424</v>
      </c>
      <c r="D97" t="s">
        <v>430</v>
      </c>
      <c r="E97" t="s">
        <v>410</v>
      </c>
      <c r="F97" t="s">
        <v>8</v>
      </c>
      <c r="G97">
        <v>3</v>
      </c>
      <c r="H97">
        <v>357</v>
      </c>
      <c r="I97">
        <v>1071</v>
      </c>
      <c r="J97">
        <v>0.11</v>
      </c>
      <c r="K97">
        <v>318.95</v>
      </c>
    </row>
    <row r="98" spans="1:11" x14ac:dyDescent="0.35">
      <c r="A98">
        <v>1097</v>
      </c>
      <c r="B98" s="17">
        <v>44658</v>
      </c>
      <c r="C98" t="s">
        <v>423</v>
      </c>
      <c r="D98" t="s">
        <v>409</v>
      </c>
      <c r="E98" t="s">
        <v>15</v>
      </c>
      <c r="F98" t="s">
        <v>12</v>
      </c>
      <c r="G98">
        <v>9</v>
      </c>
      <c r="H98">
        <v>298</v>
      </c>
      <c r="I98">
        <v>2682</v>
      </c>
      <c r="J98">
        <v>0.28000000000000003</v>
      </c>
      <c r="K98">
        <v>591.80999999999995</v>
      </c>
    </row>
    <row r="99" spans="1:11" x14ac:dyDescent="0.35">
      <c r="A99">
        <v>1098</v>
      </c>
      <c r="B99" s="17">
        <v>44659</v>
      </c>
      <c r="C99" t="s">
        <v>426</v>
      </c>
      <c r="D99" t="s">
        <v>418</v>
      </c>
      <c r="E99" t="s">
        <v>27</v>
      </c>
      <c r="F99" t="s">
        <v>8</v>
      </c>
      <c r="G99">
        <v>4</v>
      </c>
      <c r="H99">
        <v>215</v>
      </c>
      <c r="I99">
        <v>860</v>
      </c>
      <c r="J99">
        <v>0.22</v>
      </c>
      <c r="K99">
        <v>152.49</v>
      </c>
    </row>
    <row r="100" spans="1:11" x14ac:dyDescent="0.35">
      <c r="A100">
        <v>1099</v>
      </c>
      <c r="B100" s="17">
        <v>44660</v>
      </c>
      <c r="C100" t="s">
        <v>429</v>
      </c>
      <c r="D100" t="s">
        <v>413</v>
      </c>
      <c r="E100" t="s">
        <v>410</v>
      </c>
      <c r="F100" t="s">
        <v>12</v>
      </c>
      <c r="G100">
        <v>5</v>
      </c>
      <c r="H100">
        <v>384</v>
      </c>
      <c r="I100">
        <v>1920</v>
      </c>
      <c r="J100">
        <v>0.01</v>
      </c>
      <c r="K100">
        <v>427.62</v>
      </c>
    </row>
    <row r="101" spans="1:11" x14ac:dyDescent="0.35">
      <c r="A101">
        <v>1100</v>
      </c>
      <c r="B101" s="17">
        <v>44661</v>
      </c>
      <c r="C101" t="s">
        <v>431</v>
      </c>
      <c r="D101" t="s">
        <v>430</v>
      </c>
      <c r="E101" t="s">
        <v>24</v>
      </c>
      <c r="F101" t="s">
        <v>8</v>
      </c>
      <c r="G101">
        <v>4</v>
      </c>
      <c r="H101">
        <v>79</v>
      </c>
      <c r="I101">
        <v>316</v>
      </c>
      <c r="J101">
        <v>0.23</v>
      </c>
      <c r="K101">
        <v>71.69</v>
      </c>
    </row>
    <row r="102" spans="1:11" x14ac:dyDescent="0.35">
      <c r="A102">
        <v>1101</v>
      </c>
      <c r="B102" s="17">
        <v>44662</v>
      </c>
      <c r="C102" t="s">
        <v>422</v>
      </c>
      <c r="D102" t="s">
        <v>415</v>
      </c>
      <c r="E102" t="s">
        <v>407</v>
      </c>
      <c r="F102" t="s">
        <v>8</v>
      </c>
      <c r="G102">
        <v>5</v>
      </c>
      <c r="H102">
        <v>296</v>
      </c>
      <c r="I102">
        <v>1480</v>
      </c>
      <c r="J102">
        <v>0.25</v>
      </c>
      <c r="K102">
        <v>386.65</v>
      </c>
    </row>
    <row r="103" spans="1:11" x14ac:dyDescent="0.35">
      <c r="A103">
        <v>1102</v>
      </c>
      <c r="B103" s="17">
        <v>44663</v>
      </c>
      <c r="C103" t="s">
        <v>424</v>
      </c>
      <c r="D103" t="s">
        <v>418</v>
      </c>
      <c r="E103" t="s">
        <v>410</v>
      </c>
      <c r="F103" t="s">
        <v>83</v>
      </c>
      <c r="G103">
        <v>7</v>
      </c>
      <c r="H103">
        <v>155</v>
      </c>
      <c r="I103">
        <v>1085</v>
      </c>
      <c r="J103">
        <v>0.23</v>
      </c>
      <c r="K103">
        <v>276.49</v>
      </c>
    </row>
    <row r="104" spans="1:11" x14ac:dyDescent="0.35">
      <c r="A104">
        <v>1103</v>
      </c>
      <c r="B104" s="17">
        <v>44664</v>
      </c>
      <c r="C104" t="s">
        <v>414</v>
      </c>
      <c r="D104" t="s">
        <v>409</v>
      </c>
      <c r="E104" t="s">
        <v>410</v>
      </c>
      <c r="F104" t="s">
        <v>20</v>
      </c>
      <c r="G104">
        <v>9</v>
      </c>
      <c r="H104">
        <v>100</v>
      </c>
      <c r="I104">
        <v>900</v>
      </c>
      <c r="J104">
        <v>0.24</v>
      </c>
      <c r="K104">
        <v>189.34</v>
      </c>
    </row>
    <row r="105" spans="1:11" x14ac:dyDescent="0.35">
      <c r="A105">
        <v>1104</v>
      </c>
      <c r="B105" s="17">
        <v>44665</v>
      </c>
      <c r="C105" t="s">
        <v>422</v>
      </c>
      <c r="D105" t="s">
        <v>421</v>
      </c>
      <c r="E105" t="s">
        <v>24</v>
      </c>
      <c r="F105" t="s">
        <v>12</v>
      </c>
      <c r="G105">
        <v>7</v>
      </c>
      <c r="H105">
        <v>130</v>
      </c>
      <c r="I105">
        <v>910</v>
      </c>
      <c r="J105">
        <v>0.25</v>
      </c>
      <c r="K105">
        <v>166.26</v>
      </c>
    </row>
    <row r="106" spans="1:11" x14ac:dyDescent="0.35">
      <c r="A106">
        <v>1105</v>
      </c>
      <c r="B106" s="17">
        <v>44666</v>
      </c>
      <c r="C106" t="s">
        <v>426</v>
      </c>
      <c r="D106" t="s">
        <v>417</v>
      </c>
      <c r="E106" t="s">
        <v>24</v>
      </c>
      <c r="F106" t="s">
        <v>8</v>
      </c>
      <c r="G106">
        <v>5</v>
      </c>
      <c r="H106">
        <v>182</v>
      </c>
      <c r="I106">
        <v>910</v>
      </c>
      <c r="J106">
        <v>0.06</v>
      </c>
      <c r="K106">
        <v>224.55</v>
      </c>
    </row>
    <row r="107" spans="1:11" x14ac:dyDescent="0.35">
      <c r="A107">
        <v>1106</v>
      </c>
      <c r="B107" s="17">
        <v>44667</v>
      </c>
      <c r="C107" t="s">
        <v>422</v>
      </c>
      <c r="D107" t="s">
        <v>406</v>
      </c>
      <c r="E107" t="s">
        <v>410</v>
      </c>
      <c r="F107" t="s">
        <v>83</v>
      </c>
      <c r="G107">
        <v>7</v>
      </c>
      <c r="H107">
        <v>334</v>
      </c>
      <c r="I107">
        <v>2338</v>
      </c>
      <c r="J107">
        <v>7.0000000000000007E-2</v>
      </c>
      <c r="K107">
        <v>498.59</v>
      </c>
    </row>
    <row r="108" spans="1:11" x14ac:dyDescent="0.35">
      <c r="A108">
        <v>1107</v>
      </c>
      <c r="B108" s="17">
        <v>44668</v>
      </c>
      <c r="C108" t="s">
        <v>431</v>
      </c>
      <c r="D108" t="s">
        <v>435</v>
      </c>
      <c r="E108" t="s">
        <v>15</v>
      </c>
      <c r="F108" t="s">
        <v>83</v>
      </c>
      <c r="G108">
        <v>5</v>
      </c>
      <c r="H108">
        <v>437</v>
      </c>
      <c r="I108">
        <v>2185</v>
      </c>
      <c r="J108">
        <v>0.19</v>
      </c>
      <c r="K108">
        <v>371.1</v>
      </c>
    </row>
    <row r="109" spans="1:11" x14ac:dyDescent="0.35">
      <c r="A109">
        <v>1108</v>
      </c>
      <c r="B109" s="17">
        <v>44669</v>
      </c>
      <c r="C109" t="s">
        <v>411</v>
      </c>
      <c r="D109" t="s">
        <v>406</v>
      </c>
      <c r="E109" t="s">
        <v>410</v>
      </c>
      <c r="F109" t="s">
        <v>12</v>
      </c>
      <c r="G109">
        <v>3</v>
      </c>
      <c r="H109">
        <v>187</v>
      </c>
      <c r="I109">
        <v>561</v>
      </c>
      <c r="J109">
        <v>0.27</v>
      </c>
      <c r="K109">
        <v>159.93</v>
      </c>
    </row>
    <row r="110" spans="1:11" x14ac:dyDescent="0.35">
      <c r="A110">
        <v>1109</v>
      </c>
      <c r="B110" s="17">
        <v>44670</v>
      </c>
      <c r="C110" t="s">
        <v>434</v>
      </c>
      <c r="D110" t="s">
        <v>409</v>
      </c>
      <c r="E110" t="s">
        <v>15</v>
      </c>
      <c r="F110" t="s">
        <v>20</v>
      </c>
      <c r="G110">
        <v>7</v>
      </c>
      <c r="H110">
        <v>233</v>
      </c>
      <c r="I110">
        <v>1631</v>
      </c>
      <c r="J110">
        <v>0.09</v>
      </c>
      <c r="K110">
        <v>413.76</v>
      </c>
    </row>
    <row r="111" spans="1:11" x14ac:dyDescent="0.35">
      <c r="A111">
        <v>1110</v>
      </c>
      <c r="B111" s="17">
        <v>44671</v>
      </c>
      <c r="C111" t="s">
        <v>422</v>
      </c>
      <c r="D111" t="s">
        <v>419</v>
      </c>
      <c r="E111" t="s">
        <v>24</v>
      </c>
      <c r="F111" t="s">
        <v>12</v>
      </c>
      <c r="G111">
        <v>2</v>
      </c>
      <c r="H111">
        <v>450</v>
      </c>
      <c r="I111">
        <v>900</v>
      </c>
      <c r="J111">
        <v>0.18</v>
      </c>
      <c r="K111">
        <v>227.23</v>
      </c>
    </row>
    <row r="112" spans="1:11" x14ac:dyDescent="0.35">
      <c r="A112">
        <v>1111</v>
      </c>
      <c r="B112" s="17">
        <v>44672</v>
      </c>
      <c r="C112" t="s">
        <v>426</v>
      </c>
      <c r="D112" t="s">
        <v>419</v>
      </c>
      <c r="E112" t="s">
        <v>15</v>
      </c>
      <c r="F112" t="s">
        <v>12</v>
      </c>
      <c r="G112">
        <v>9</v>
      </c>
      <c r="H112">
        <v>379</v>
      </c>
      <c r="I112">
        <v>3411</v>
      </c>
      <c r="J112">
        <v>0.2</v>
      </c>
      <c r="K112">
        <v>932.53</v>
      </c>
    </row>
    <row r="113" spans="1:11" x14ac:dyDescent="0.35">
      <c r="A113">
        <v>1112</v>
      </c>
      <c r="B113" s="17">
        <v>44673</v>
      </c>
      <c r="C113" t="s">
        <v>431</v>
      </c>
      <c r="D113" t="s">
        <v>421</v>
      </c>
      <c r="E113" t="s">
        <v>15</v>
      </c>
      <c r="F113" t="s">
        <v>83</v>
      </c>
      <c r="G113">
        <v>1</v>
      </c>
      <c r="H113">
        <v>322</v>
      </c>
      <c r="I113">
        <v>322</v>
      </c>
      <c r="J113">
        <v>0.14000000000000001</v>
      </c>
      <c r="K113">
        <v>73.88</v>
      </c>
    </row>
    <row r="114" spans="1:11" x14ac:dyDescent="0.35">
      <c r="A114">
        <v>1113</v>
      </c>
      <c r="B114" s="17">
        <v>44674</v>
      </c>
      <c r="C114" t="s">
        <v>434</v>
      </c>
      <c r="D114" t="s">
        <v>435</v>
      </c>
      <c r="E114" t="s">
        <v>24</v>
      </c>
      <c r="F114" t="s">
        <v>20</v>
      </c>
      <c r="G114">
        <v>6</v>
      </c>
      <c r="H114">
        <v>389</v>
      </c>
      <c r="I114">
        <v>2334</v>
      </c>
      <c r="J114">
        <v>0.21</v>
      </c>
      <c r="K114">
        <v>635.45000000000005</v>
      </c>
    </row>
    <row r="115" spans="1:11" x14ac:dyDescent="0.35">
      <c r="A115">
        <v>1114</v>
      </c>
      <c r="B115" s="17">
        <v>44675</v>
      </c>
      <c r="C115" t="s">
        <v>405</v>
      </c>
      <c r="D115" t="s">
        <v>415</v>
      </c>
      <c r="E115" t="s">
        <v>24</v>
      </c>
      <c r="F115" t="s">
        <v>20</v>
      </c>
      <c r="G115">
        <v>7</v>
      </c>
      <c r="H115">
        <v>118</v>
      </c>
      <c r="I115">
        <v>826</v>
      </c>
      <c r="J115">
        <v>0.27</v>
      </c>
      <c r="K115">
        <v>185.61</v>
      </c>
    </row>
    <row r="116" spans="1:11" x14ac:dyDescent="0.35">
      <c r="A116">
        <v>1115</v>
      </c>
      <c r="B116" s="17">
        <v>44676</v>
      </c>
      <c r="C116" t="s">
        <v>432</v>
      </c>
      <c r="D116" t="s">
        <v>421</v>
      </c>
      <c r="E116" t="s">
        <v>27</v>
      </c>
      <c r="F116" t="s">
        <v>12</v>
      </c>
      <c r="G116">
        <v>8</v>
      </c>
      <c r="H116">
        <v>83</v>
      </c>
      <c r="I116">
        <v>664</v>
      </c>
      <c r="J116">
        <v>0.19</v>
      </c>
      <c r="K116">
        <v>106.29</v>
      </c>
    </row>
    <row r="117" spans="1:11" x14ac:dyDescent="0.35">
      <c r="A117">
        <v>1116</v>
      </c>
      <c r="B117" s="17">
        <v>44677</v>
      </c>
      <c r="C117" t="s">
        <v>411</v>
      </c>
      <c r="D117" t="s">
        <v>406</v>
      </c>
      <c r="E117" t="s">
        <v>407</v>
      </c>
      <c r="F117" t="s">
        <v>83</v>
      </c>
      <c r="G117">
        <v>9</v>
      </c>
      <c r="H117">
        <v>311</v>
      </c>
      <c r="I117">
        <v>2799</v>
      </c>
      <c r="J117">
        <v>0.16</v>
      </c>
      <c r="K117">
        <v>589.99</v>
      </c>
    </row>
    <row r="118" spans="1:11" x14ac:dyDescent="0.35">
      <c r="A118">
        <v>1117</v>
      </c>
      <c r="B118" s="17">
        <v>44678</v>
      </c>
      <c r="C118" t="s">
        <v>411</v>
      </c>
      <c r="D118" t="s">
        <v>421</v>
      </c>
      <c r="E118" t="s">
        <v>15</v>
      </c>
      <c r="F118" t="s">
        <v>83</v>
      </c>
      <c r="G118">
        <v>2</v>
      </c>
      <c r="H118">
        <v>102</v>
      </c>
      <c r="I118">
        <v>204</v>
      </c>
      <c r="J118">
        <v>0.13</v>
      </c>
      <c r="K118">
        <v>45.82</v>
      </c>
    </row>
    <row r="119" spans="1:11" x14ac:dyDescent="0.35">
      <c r="A119">
        <v>1118</v>
      </c>
      <c r="B119" s="17">
        <v>44679</v>
      </c>
      <c r="C119" t="s">
        <v>428</v>
      </c>
      <c r="D119" t="s">
        <v>406</v>
      </c>
      <c r="E119" t="s">
        <v>24</v>
      </c>
      <c r="F119" t="s">
        <v>8</v>
      </c>
      <c r="G119">
        <v>2</v>
      </c>
      <c r="H119">
        <v>499</v>
      </c>
      <c r="I119">
        <v>998</v>
      </c>
      <c r="J119">
        <v>0.17</v>
      </c>
      <c r="K119">
        <v>257.51</v>
      </c>
    </row>
    <row r="120" spans="1:11" x14ac:dyDescent="0.35">
      <c r="A120">
        <v>1119</v>
      </c>
      <c r="B120" s="17">
        <v>44680</v>
      </c>
      <c r="C120" t="s">
        <v>436</v>
      </c>
      <c r="D120" t="s">
        <v>418</v>
      </c>
      <c r="E120" t="s">
        <v>27</v>
      </c>
      <c r="F120" t="s">
        <v>8</v>
      </c>
      <c r="G120">
        <v>5</v>
      </c>
      <c r="H120">
        <v>254</v>
      </c>
      <c r="I120">
        <v>1270</v>
      </c>
      <c r="J120">
        <v>0.11</v>
      </c>
      <c r="K120">
        <v>210.8</v>
      </c>
    </row>
    <row r="121" spans="1:11" x14ac:dyDescent="0.35">
      <c r="A121">
        <v>1120</v>
      </c>
      <c r="B121" s="17">
        <v>44681</v>
      </c>
      <c r="C121" t="s">
        <v>416</v>
      </c>
      <c r="D121" t="s">
        <v>419</v>
      </c>
      <c r="E121" t="s">
        <v>407</v>
      </c>
      <c r="F121" t="s">
        <v>83</v>
      </c>
      <c r="G121">
        <v>5</v>
      </c>
      <c r="H121">
        <v>175</v>
      </c>
      <c r="I121">
        <v>875</v>
      </c>
      <c r="J121">
        <v>0.12</v>
      </c>
      <c r="K121">
        <v>149.63</v>
      </c>
    </row>
    <row r="122" spans="1:11" x14ac:dyDescent="0.35">
      <c r="A122">
        <v>1121</v>
      </c>
      <c r="B122" s="17">
        <v>44682</v>
      </c>
      <c r="C122" t="s">
        <v>405</v>
      </c>
      <c r="D122" t="s">
        <v>418</v>
      </c>
      <c r="E122" t="s">
        <v>407</v>
      </c>
      <c r="F122" t="s">
        <v>83</v>
      </c>
      <c r="G122">
        <v>6</v>
      </c>
      <c r="H122">
        <v>284</v>
      </c>
      <c r="I122">
        <v>1704</v>
      </c>
      <c r="J122">
        <v>0.16</v>
      </c>
      <c r="K122">
        <v>323</v>
      </c>
    </row>
    <row r="123" spans="1:11" x14ac:dyDescent="0.35">
      <c r="A123">
        <v>1122</v>
      </c>
      <c r="B123" s="17">
        <v>44683</v>
      </c>
      <c r="C123" t="s">
        <v>427</v>
      </c>
      <c r="D123" t="s">
        <v>417</v>
      </c>
      <c r="E123" t="s">
        <v>15</v>
      </c>
      <c r="F123" t="s">
        <v>12</v>
      </c>
      <c r="G123">
        <v>3</v>
      </c>
      <c r="H123">
        <v>92</v>
      </c>
      <c r="I123">
        <v>276</v>
      </c>
      <c r="J123">
        <v>0.02</v>
      </c>
      <c r="K123">
        <v>52.43</v>
      </c>
    </row>
    <row r="124" spans="1:11" x14ac:dyDescent="0.35">
      <c r="A124">
        <v>1123</v>
      </c>
      <c r="B124" s="17">
        <v>44684</v>
      </c>
      <c r="C124" t="s">
        <v>408</v>
      </c>
      <c r="D124" t="s">
        <v>435</v>
      </c>
      <c r="E124" t="s">
        <v>27</v>
      </c>
      <c r="F124" t="s">
        <v>20</v>
      </c>
      <c r="G124">
        <v>8</v>
      </c>
      <c r="H124">
        <v>289</v>
      </c>
      <c r="I124">
        <v>2312</v>
      </c>
      <c r="J124">
        <v>7.0000000000000007E-2</v>
      </c>
      <c r="K124">
        <v>600.72</v>
      </c>
    </row>
    <row r="125" spans="1:11" x14ac:dyDescent="0.35">
      <c r="A125">
        <v>1124</v>
      </c>
      <c r="B125" s="17">
        <v>44685</v>
      </c>
      <c r="C125" t="s">
        <v>420</v>
      </c>
      <c r="D125" t="s">
        <v>415</v>
      </c>
      <c r="E125" t="s">
        <v>410</v>
      </c>
      <c r="F125" t="s">
        <v>12</v>
      </c>
      <c r="G125">
        <v>1</v>
      </c>
      <c r="H125">
        <v>420</v>
      </c>
      <c r="I125">
        <v>420</v>
      </c>
      <c r="J125">
        <v>0.16</v>
      </c>
      <c r="K125">
        <v>78.8</v>
      </c>
    </row>
    <row r="126" spans="1:11" x14ac:dyDescent="0.35">
      <c r="A126">
        <v>1125</v>
      </c>
      <c r="B126" s="17">
        <v>44686</v>
      </c>
      <c r="C126" t="s">
        <v>431</v>
      </c>
      <c r="D126" t="s">
        <v>406</v>
      </c>
      <c r="E126" t="s">
        <v>15</v>
      </c>
      <c r="F126" t="s">
        <v>12</v>
      </c>
      <c r="G126">
        <v>6</v>
      </c>
      <c r="H126">
        <v>160</v>
      </c>
      <c r="I126">
        <v>960</v>
      </c>
      <c r="J126">
        <v>0.13</v>
      </c>
      <c r="K126">
        <v>235.17</v>
      </c>
    </row>
    <row r="127" spans="1:11" x14ac:dyDescent="0.35">
      <c r="A127">
        <v>1126</v>
      </c>
      <c r="B127" s="17">
        <v>44687</v>
      </c>
      <c r="C127" t="s">
        <v>405</v>
      </c>
      <c r="D127" t="s">
        <v>415</v>
      </c>
      <c r="E127" t="s">
        <v>407</v>
      </c>
      <c r="F127" t="s">
        <v>83</v>
      </c>
      <c r="G127">
        <v>4</v>
      </c>
      <c r="H127">
        <v>298</v>
      </c>
      <c r="I127">
        <v>1192</v>
      </c>
      <c r="J127">
        <v>0.1</v>
      </c>
      <c r="K127">
        <v>267.18</v>
      </c>
    </row>
    <row r="128" spans="1:11" x14ac:dyDescent="0.35">
      <c r="A128">
        <v>1127</v>
      </c>
      <c r="B128" s="17">
        <v>44688</v>
      </c>
      <c r="C128" t="s">
        <v>436</v>
      </c>
      <c r="D128" t="s">
        <v>406</v>
      </c>
      <c r="E128" t="s">
        <v>407</v>
      </c>
      <c r="F128" t="s">
        <v>12</v>
      </c>
      <c r="G128">
        <v>1</v>
      </c>
      <c r="H128">
        <v>200</v>
      </c>
      <c r="I128">
        <v>200</v>
      </c>
      <c r="J128">
        <v>0.22</v>
      </c>
      <c r="K128">
        <v>47.2</v>
      </c>
    </row>
    <row r="129" spans="1:11" x14ac:dyDescent="0.35">
      <c r="A129">
        <v>1128</v>
      </c>
      <c r="B129" s="17">
        <v>44689</v>
      </c>
      <c r="C129" t="s">
        <v>411</v>
      </c>
      <c r="D129" t="s">
        <v>409</v>
      </c>
      <c r="E129" t="s">
        <v>407</v>
      </c>
      <c r="F129" t="s">
        <v>20</v>
      </c>
      <c r="G129">
        <v>7</v>
      </c>
      <c r="H129">
        <v>232</v>
      </c>
      <c r="I129">
        <v>1624</v>
      </c>
      <c r="J129">
        <v>0.21</v>
      </c>
      <c r="K129">
        <v>447.76</v>
      </c>
    </row>
    <row r="130" spans="1:11" x14ac:dyDescent="0.35">
      <c r="A130">
        <v>1129</v>
      </c>
      <c r="B130" s="17">
        <v>44690</v>
      </c>
      <c r="C130" t="s">
        <v>412</v>
      </c>
      <c r="D130" t="s">
        <v>421</v>
      </c>
      <c r="E130" t="s">
        <v>24</v>
      </c>
      <c r="F130" t="s">
        <v>8</v>
      </c>
      <c r="G130">
        <v>9</v>
      </c>
      <c r="H130">
        <v>385</v>
      </c>
      <c r="I130">
        <v>3465</v>
      </c>
      <c r="J130">
        <v>0.05</v>
      </c>
      <c r="K130">
        <v>729.93</v>
      </c>
    </row>
    <row r="131" spans="1:11" x14ac:dyDescent="0.35">
      <c r="A131">
        <v>1130</v>
      </c>
      <c r="B131" s="17">
        <v>44691</v>
      </c>
      <c r="C131" t="s">
        <v>420</v>
      </c>
      <c r="D131" t="s">
        <v>417</v>
      </c>
      <c r="E131" t="s">
        <v>410</v>
      </c>
      <c r="F131" t="s">
        <v>12</v>
      </c>
      <c r="G131">
        <v>4</v>
      </c>
      <c r="H131">
        <v>144</v>
      </c>
      <c r="I131">
        <v>576</v>
      </c>
      <c r="J131">
        <v>0.26</v>
      </c>
      <c r="K131">
        <v>153.01</v>
      </c>
    </row>
    <row r="132" spans="1:11" x14ac:dyDescent="0.35">
      <c r="A132">
        <v>1131</v>
      </c>
      <c r="B132" s="17">
        <v>44692</v>
      </c>
      <c r="C132" t="s">
        <v>436</v>
      </c>
      <c r="D132" t="s">
        <v>419</v>
      </c>
      <c r="E132" t="s">
        <v>27</v>
      </c>
      <c r="F132" t="s">
        <v>12</v>
      </c>
      <c r="G132">
        <v>4</v>
      </c>
      <c r="H132">
        <v>423</v>
      </c>
      <c r="I132">
        <v>1692</v>
      </c>
      <c r="J132">
        <v>0.15</v>
      </c>
      <c r="K132">
        <v>360.91</v>
      </c>
    </row>
    <row r="133" spans="1:11" x14ac:dyDescent="0.35">
      <c r="A133">
        <v>1132</v>
      </c>
      <c r="B133" s="17">
        <v>44693</v>
      </c>
      <c r="C133" t="s">
        <v>405</v>
      </c>
      <c r="D133" t="s">
        <v>406</v>
      </c>
      <c r="E133" t="s">
        <v>410</v>
      </c>
      <c r="F133" t="s">
        <v>12</v>
      </c>
      <c r="G133">
        <v>6</v>
      </c>
      <c r="H133">
        <v>449</v>
      </c>
      <c r="I133">
        <v>2694</v>
      </c>
      <c r="J133">
        <v>0.22</v>
      </c>
      <c r="K133">
        <v>547.1</v>
      </c>
    </row>
    <row r="134" spans="1:11" x14ac:dyDescent="0.35">
      <c r="A134">
        <v>1133</v>
      </c>
      <c r="B134" s="17">
        <v>44694</v>
      </c>
      <c r="C134" t="s">
        <v>416</v>
      </c>
      <c r="D134" t="s">
        <v>415</v>
      </c>
      <c r="E134" t="s">
        <v>407</v>
      </c>
      <c r="F134" t="s">
        <v>83</v>
      </c>
      <c r="G134">
        <v>3</v>
      </c>
      <c r="H134">
        <v>57</v>
      </c>
      <c r="I134">
        <v>171</v>
      </c>
      <c r="J134">
        <v>0.17</v>
      </c>
      <c r="K134">
        <v>50.24</v>
      </c>
    </row>
    <row r="135" spans="1:11" x14ac:dyDescent="0.35">
      <c r="A135">
        <v>1134</v>
      </c>
      <c r="B135" s="17">
        <v>44695</v>
      </c>
      <c r="C135" t="s">
        <v>423</v>
      </c>
      <c r="D135" t="s">
        <v>417</v>
      </c>
      <c r="E135" t="s">
        <v>15</v>
      </c>
      <c r="F135" t="s">
        <v>83</v>
      </c>
      <c r="G135">
        <v>6</v>
      </c>
      <c r="H135">
        <v>437</v>
      </c>
      <c r="I135">
        <v>2622</v>
      </c>
      <c r="J135">
        <v>0.3</v>
      </c>
      <c r="K135">
        <v>465.81</v>
      </c>
    </row>
    <row r="136" spans="1:11" x14ac:dyDescent="0.35">
      <c r="A136">
        <v>1135</v>
      </c>
      <c r="B136" s="17">
        <v>44696</v>
      </c>
      <c r="C136" t="s">
        <v>428</v>
      </c>
      <c r="D136" t="s">
        <v>413</v>
      </c>
      <c r="E136" t="s">
        <v>410</v>
      </c>
      <c r="F136" t="s">
        <v>8</v>
      </c>
      <c r="G136">
        <v>7</v>
      </c>
      <c r="H136">
        <v>409</v>
      </c>
      <c r="I136">
        <v>2863</v>
      </c>
      <c r="J136">
        <v>0.23</v>
      </c>
      <c r="K136">
        <v>468.25</v>
      </c>
    </row>
    <row r="137" spans="1:11" x14ac:dyDescent="0.35">
      <c r="A137">
        <v>1136</v>
      </c>
      <c r="B137" s="17">
        <v>44697</v>
      </c>
      <c r="C137" t="s">
        <v>436</v>
      </c>
      <c r="D137" t="s">
        <v>413</v>
      </c>
      <c r="E137" t="s">
        <v>15</v>
      </c>
      <c r="F137" t="s">
        <v>83</v>
      </c>
      <c r="G137">
        <v>3</v>
      </c>
      <c r="H137">
        <v>437</v>
      </c>
      <c r="I137">
        <v>1311</v>
      </c>
      <c r="J137">
        <v>0.21</v>
      </c>
      <c r="K137">
        <v>348.26</v>
      </c>
    </row>
    <row r="138" spans="1:11" x14ac:dyDescent="0.35">
      <c r="A138">
        <v>1137</v>
      </c>
      <c r="B138" s="17">
        <v>44698</v>
      </c>
      <c r="C138" t="s">
        <v>425</v>
      </c>
      <c r="D138" t="s">
        <v>418</v>
      </c>
      <c r="E138" t="s">
        <v>407</v>
      </c>
      <c r="F138" t="s">
        <v>83</v>
      </c>
      <c r="G138">
        <v>7</v>
      </c>
      <c r="H138">
        <v>233</v>
      </c>
      <c r="I138">
        <v>1631</v>
      </c>
      <c r="J138">
        <v>0.23</v>
      </c>
      <c r="K138">
        <v>261.35000000000002</v>
      </c>
    </row>
    <row r="139" spans="1:11" x14ac:dyDescent="0.35">
      <c r="A139">
        <v>1138</v>
      </c>
      <c r="B139" s="17">
        <v>44699</v>
      </c>
      <c r="C139" t="s">
        <v>424</v>
      </c>
      <c r="D139" t="s">
        <v>419</v>
      </c>
      <c r="E139" t="s">
        <v>27</v>
      </c>
      <c r="F139" t="s">
        <v>20</v>
      </c>
      <c r="G139">
        <v>3</v>
      </c>
      <c r="H139">
        <v>330</v>
      </c>
      <c r="I139">
        <v>990</v>
      </c>
      <c r="J139">
        <v>0.04</v>
      </c>
      <c r="K139">
        <v>272.81</v>
      </c>
    </row>
    <row r="140" spans="1:11" x14ac:dyDescent="0.35">
      <c r="A140">
        <v>1139</v>
      </c>
      <c r="B140" s="17">
        <v>44700</v>
      </c>
      <c r="C140" t="s">
        <v>424</v>
      </c>
      <c r="D140" t="s">
        <v>409</v>
      </c>
      <c r="E140" t="s">
        <v>24</v>
      </c>
      <c r="F140" t="s">
        <v>83</v>
      </c>
      <c r="G140">
        <v>2</v>
      </c>
      <c r="H140">
        <v>244</v>
      </c>
      <c r="I140">
        <v>488</v>
      </c>
      <c r="J140">
        <v>0.06</v>
      </c>
      <c r="K140">
        <v>105.2</v>
      </c>
    </row>
    <row r="141" spans="1:11" x14ac:dyDescent="0.35">
      <c r="A141">
        <v>1140</v>
      </c>
      <c r="B141" s="17">
        <v>44701</v>
      </c>
      <c r="C141" t="s">
        <v>408</v>
      </c>
      <c r="D141" t="s">
        <v>415</v>
      </c>
      <c r="E141" t="s">
        <v>410</v>
      </c>
      <c r="F141" t="s">
        <v>8</v>
      </c>
      <c r="G141">
        <v>4</v>
      </c>
      <c r="H141">
        <v>401</v>
      </c>
      <c r="I141">
        <v>1604</v>
      </c>
      <c r="J141">
        <v>0.21</v>
      </c>
      <c r="K141">
        <v>460.87</v>
      </c>
    </row>
    <row r="142" spans="1:11" x14ac:dyDescent="0.35">
      <c r="A142">
        <v>1141</v>
      </c>
      <c r="B142" s="17">
        <v>44702</v>
      </c>
      <c r="C142" t="s">
        <v>412</v>
      </c>
      <c r="D142" t="s">
        <v>421</v>
      </c>
      <c r="E142" t="s">
        <v>24</v>
      </c>
      <c r="F142" t="s">
        <v>83</v>
      </c>
      <c r="G142">
        <v>8</v>
      </c>
      <c r="H142">
        <v>244</v>
      </c>
      <c r="I142">
        <v>1952</v>
      </c>
      <c r="J142">
        <v>0.15</v>
      </c>
      <c r="K142">
        <v>504.06</v>
      </c>
    </row>
    <row r="143" spans="1:11" x14ac:dyDescent="0.35">
      <c r="A143">
        <v>1142</v>
      </c>
      <c r="B143" s="17">
        <v>44703</v>
      </c>
      <c r="C143" t="s">
        <v>405</v>
      </c>
      <c r="D143" t="s">
        <v>421</v>
      </c>
      <c r="E143" t="s">
        <v>410</v>
      </c>
      <c r="F143" t="s">
        <v>20</v>
      </c>
      <c r="G143">
        <v>9</v>
      </c>
      <c r="H143">
        <v>204</v>
      </c>
      <c r="I143">
        <v>1836</v>
      </c>
      <c r="J143">
        <v>0.23</v>
      </c>
      <c r="K143">
        <v>443.51</v>
      </c>
    </row>
    <row r="144" spans="1:11" x14ac:dyDescent="0.35">
      <c r="A144">
        <v>1143</v>
      </c>
      <c r="B144" s="17">
        <v>44704</v>
      </c>
      <c r="C144" t="s">
        <v>426</v>
      </c>
      <c r="D144" t="s">
        <v>415</v>
      </c>
      <c r="E144" t="s">
        <v>407</v>
      </c>
      <c r="F144" t="s">
        <v>12</v>
      </c>
      <c r="G144">
        <v>7</v>
      </c>
      <c r="H144">
        <v>142</v>
      </c>
      <c r="I144">
        <v>994</v>
      </c>
      <c r="J144">
        <v>0.03</v>
      </c>
      <c r="K144">
        <v>290.64</v>
      </c>
    </row>
    <row r="145" spans="1:11" x14ac:dyDescent="0.35">
      <c r="A145">
        <v>1144</v>
      </c>
      <c r="B145" s="17">
        <v>44705</v>
      </c>
      <c r="C145" t="s">
        <v>426</v>
      </c>
      <c r="D145" t="s">
        <v>435</v>
      </c>
      <c r="E145" t="s">
        <v>407</v>
      </c>
      <c r="F145" t="s">
        <v>8</v>
      </c>
      <c r="G145">
        <v>1</v>
      </c>
      <c r="H145">
        <v>209</v>
      </c>
      <c r="I145">
        <v>209</v>
      </c>
      <c r="J145">
        <v>0.16</v>
      </c>
      <c r="K145">
        <v>43.78</v>
      </c>
    </row>
    <row r="146" spans="1:11" x14ac:dyDescent="0.35">
      <c r="A146">
        <v>1145</v>
      </c>
      <c r="B146" s="17">
        <v>44706</v>
      </c>
      <c r="C146" t="s">
        <v>408</v>
      </c>
      <c r="D146" t="s">
        <v>409</v>
      </c>
      <c r="E146" t="s">
        <v>27</v>
      </c>
      <c r="F146" t="s">
        <v>83</v>
      </c>
      <c r="G146">
        <v>3</v>
      </c>
      <c r="H146">
        <v>483</v>
      </c>
      <c r="I146">
        <v>1449</v>
      </c>
      <c r="J146">
        <v>0.11</v>
      </c>
      <c r="K146">
        <v>424.72</v>
      </c>
    </row>
    <row r="147" spans="1:11" x14ac:dyDescent="0.35">
      <c r="A147">
        <v>1146</v>
      </c>
      <c r="B147" s="17">
        <v>44707</v>
      </c>
      <c r="C147" t="s">
        <v>436</v>
      </c>
      <c r="D147" t="s">
        <v>417</v>
      </c>
      <c r="E147" t="s">
        <v>15</v>
      </c>
      <c r="F147" t="s">
        <v>83</v>
      </c>
      <c r="G147">
        <v>9</v>
      </c>
      <c r="H147">
        <v>110</v>
      </c>
      <c r="I147">
        <v>990</v>
      </c>
      <c r="J147">
        <v>0.14000000000000001</v>
      </c>
      <c r="K147">
        <v>168.55</v>
      </c>
    </row>
    <row r="148" spans="1:11" x14ac:dyDescent="0.35">
      <c r="A148">
        <v>1147</v>
      </c>
      <c r="B148" s="17">
        <v>44708</v>
      </c>
      <c r="C148" t="s">
        <v>432</v>
      </c>
      <c r="D148" t="s">
        <v>406</v>
      </c>
      <c r="E148" t="s">
        <v>27</v>
      </c>
      <c r="F148" t="s">
        <v>12</v>
      </c>
      <c r="G148">
        <v>1</v>
      </c>
      <c r="H148">
        <v>171</v>
      </c>
      <c r="I148">
        <v>171</v>
      </c>
      <c r="J148">
        <v>0.18</v>
      </c>
      <c r="K148">
        <v>38.06</v>
      </c>
    </row>
    <row r="149" spans="1:11" x14ac:dyDescent="0.35">
      <c r="A149">
        <v>1148</v>
      </c>
      <c r="B149" s="17">
        <v>44709</v>
      </c>
      <c r="C149" t="s">
        <v>422</v>
      </c>
      <c r="D149" t="s">
        <v>435</v>
      </c>
      <c r="E149" t="s">
        <v>24</v>
      </c>
      <c r="F149" t="s">
        <v>12</v>
      </c>
      <c r="G149">
        <v>9</v>
      </c>
      <c r="H149">
        <v>100</v>
      </c>
      <c r="I149">
        <v>900</v>
      </c>
      <c r="J149">
        <v>0.15</v>
      </c>
      <c r="K149">
        <v>171.44</v>
      </c>
    </row>
    <row r="150" spans="1:11" x14ac:dyDescent="0.35">
      <c r="A150">
        <v>1149</v>
      </c>
      <c r="B150" s="17">
        <v>44710</v>
      </c>
      <c r="C150" t="s">
        <v>405</v>
      </c>
      <c r="D150" t="s">
        <v>406</v>
      </c>
      <c r="E150" t="s">
        <v>27</v>
      </c>
      <c r="F150" t="s">
        <v>8</v>
      </c>
      <c r="G150">
        <v>8</v>
      </c>
      <c r="H150">
        <v>452</v>
      </c>
      <c r="I150">
        <v>3616</v>
      </c>
      <c r="J150">
        <v>0.16</v>
      </c>
      <c r="K150">
        <v>835.21</v>
      </c>
    </row>
    <row r="151" spans="1:11" x14ac:dyDescent="0.35">
      <c r="A151">
        <v>1150</v>
      </c>
      <c r="B151" s="17">
        <v>44711</v>
      </c>
      <c r="C151" t="s">
        <v>425</v>
      </c>
      <c r="D151" t="s">
        <v>406</v>
      </c>
      <c r="E151" t="s">
        <v>407</v>
      </c>
      <c r="F151" t="s">
        <v>20</v>
      </c>
      <c r="G151">
        <v>1</v>
      </c>
      <c r="H151">
        <v>326</v>
      </c>
      <c r="I151">
        <v>326</v>
      </c>
      <c r="J151">
        <v>0.15</v>
      </c>
      <c r="K151">
        <v>56.82</v>
      </c>
    </row>
    <row r="152" spans="1:11" x14ac:dyDescent="0.35">
      <c r="A152">
        <v>1151</v>
      </c>
      <c r="B152" s="17">
        <v>44712</v>
      </c>
      <c r="C152" t="s">
        <v>414</v>
      </c>
      <c r="D152" t="s">
        <v>435</v>
      </c>
      <c r="E152" t="s">
        <v>15</v>
      </c>
      <c r="F152" t="s">
        <v>12</v>
      </c>
      <c r="G152">
        <v>6</v>
      </c>
      <c r="H152">
        <v>54</v>
      </c>
      <c r="I152">
        <v>324</v>
      </c>
      <c r="J152">
        <v>0.12</v>
      </c>
      <c r="K152">
        <v>89.5</v>
      </c>
    </row>
    <row r="153" spans="1:11" x14ac:dyDescent="0.35">
      <c r="A153">
        <v>1152</v>
      </c>
      <c r="B153" s="17">
        <v>44713</v>
      </c>
      <c r="C153" t="s">
        <v>432</v>
      </c>
      <c r="D153" t="s">
        <v>418</v>
      </c>
      <c r="E153" t="s">
        <v>410</v>
      </c>
      <c r="F153" t="s">
        <v>8</v>
      </c>
      <c r="G153">
        <v>5</v>
      </c>
      <c r="H153">
        <v>141</v>
      </c>
      <c r="I153">
        <v>705</v>
      </c>
      <c r="J153">
        <v>0.23</v>
      </c>
      <c r="K153">
        <v>195.26</v>
      </c>
    </row>
    <row r="154" spans="1:11" x14ac:dyDescent="0.35">
      <c r="A154">
        <v>1153</v>
      </c>
      <c r="B154" s="17">
        <v>44714</v>
      </c>
      <c r="C154" t="s">
        <v>431</v>
      </c>
      <c r="D154" t="s">
        <v>413</v>
      </c>
      <c r="E154" t="s">
        <v>407</v>
      </c>
      <c r="F154" t="s">
        <v>20</v>
      </c>
      <c r="G154">
        <v>6</v>
      </c>
      <c r="H154">
        <v>219</v>
      </c>
      <c r="I154">
        <v>1314</v>
      </c>
      <c r="J154">
        <v>0</v>
      </c>
      <c r="K154">
        <v>385.38</v>
      </c>
    </row>
    <row r="155" spans="1:11" x14ac:dyDescent="0.35">
      <c r="A155">
        <v>1154</v>
      </c>
      <c r="B155" s="17">
        <v>44715</v>
      </c>
      <c r="C155" t="s">
        <v>426</v>
      </c>
      <c r="D155" t="s">
        <v>406</v>
      </c>
      <c r="E155" t="s">
        <v>407</v>
      </c>
      <c r="F155" t="s">
        <v>8</v>
      </c>
      <c r="G155">
        <v>5</v>
      </c>
      <c r="H155">
        <v>366</v>
      </c>
      <c r="I155">
        <v>1830</v>
      </c>
      <c r="J155">
        <v>0.18</v>
      </c>
      <c r="K155">
        <v>316.95999999999998</v>
      </c>
    </row>
    <row r="156" spans="1:11" x14ac:dyDescent="0.35">
      <c r="A156">
        <v>1155</v>
      </c>
      <c r="B156" s="17">
        <v>44716</v>
      </c>
      <c r="C156" t="s">
        <v>416</v>
      </c>
      <c r="D156" t="s">
        <v>435</v>
      </c>
      <c r="E156" t="s">
        <v>410</v>
      </c>
      <c r="F156" t="s">
        <v>20</v>
      </c>
      <c r="G156">
        <v>6</v>
      </c>
      <c r="H156">
        <v>71</v>
      </c>
      <c r="I156">
        <v>426</v>
      </c>
      <c r="J156">
        <v>0.17</v>
      </c>
      <c r="K156">
        <v>103.73</v>
      </c>
    </row>
    <row r="157" spans="1:11" x14ac:dyDescent="0.35">
      <c r="A157">
        <v>1156</v>
      </c>
      <c r="B157" s="17">
        <v>44717</v>
      </c>
      <c r="C157" t="s">
        <v>428</v>
      </c>
      <c r="D157" t="s">
        <v>435</v>
      </c>
      <c r="E157" t="s">
        <v>15</v>
      </c>
      <c r="F157" t="s">
        <v>83</v>
      </c>
      <c r="G157">
        <v>5</v>
      </c>
      <c r="H157">
        <v>454</v>
      </c>
      <c r="I157">
        <v>2270</v>
      </c>
      <c r="J157">
        <v>0.21</v>
      </c>
      <c r="K157">
        <v>501.98</v>
      </c>
    </row>
    <row r="158" spans="1:11" x14ac:dyDescent="0.35">
      <c r="A158">
        <v>1157</v>
      </c>
      <c r="B158" s="17">
        <v>44718</v>
      </c>
      <c r="C158" t="s">
        <v>424</v>
      </c>
      <c r="D158" t="s">
        <v>430</v>
      </c>
      <c r="E158" t="s">
        <v>407</v>
      </c>
      <c r="F158" t="s">
        <v>8</v>
      </c>
      <c r="G158">
        <v>5</v>
      </c>
      <c r="H158">
        <v>375</v>
      </c>
      <c r="I158">
        <v>1875</v>
      </c>
      <c r="J158">
        <v>0.18</v>
      </c>
      <c r="K158">
        <v>378.11</v>
      </c>
    </row>
    <row r="159" spans="1:11" x14ac:dyDescent="0.35">
      <c r="A159">
        <v>1158</v>
      </c>
      <c r="B159" s="17">
        <v>44719</v>
      </c>
      <c r="C159" t="s">
        <v>411</v>
      </c>
      <c r="D159" t="s">
        <v>418</v>
      </c>
      <c r="E159" t="s">
        <v>27</v>
      </c>
      <c r="F159" t="s">
        <v>12</v>
      </c>
      <c r="G159">
        <v>4</v>
      </c>
      <c r="H159">
        <v>50</v>
      </c>
      <c r="I159">
        <v>200</v>
      </c>
      <c r="J159">
        <v>0.25</v>
      </c>
      <c r="K159">
        <v>40.549999999999997</v>
      </c>
    </row>
    <row r="160" spans="1:11" x14ac:dyDescent="0.35">
      <c r="A160">
        <v>1159</v>
      </c>
      <c r="B160" s="17">
        <v>44720</v>
      </c>
      <c r="C160" t="s">
        <v>432</v>
      </c>
      <c r="D160" t="s">
        <v>419</v>
      </c>
      <c r="E160" t="s">
        <v>24</v>
      </c>
      <c r="F160" t="s">
        <v>20</v>
      </c>
      <c r="G160">
        <v>3</v>
      </c>
      <c r="H160">
        <v>182</v>
      </c>
      <c r="I160">
        <v>546</v>
      </c>
      <c r="J160">
        <v>0.28999999999999998</v>
      </c>
      <c r="K160">
        <v>115.71</v>
      </c>
    </row>
    <row r="161" spans="1:11" x14ac:dyDescent="0.35">
      <c r="A161">
        <v>1160</v>
      </c>
      <c r="B161" s="17">
        <v>44721</v>
      </c>
      <c r="C161" t="s">
        <v>408</v>
      </c>
      <c r="D161" t="s">
        <v>430</v>
      </c>
      <c r="E161" t="s">
        <v>27</v>
      </c>
      <c r="F161" t="s">
        <v>12</v>
      </c>
      <c r="G161">
        <v>3</v>
      </c>
      <c r="H161">
        <v>282</v>
      </c>
      <c r="I161">
        <v>846</v>
      </c>
      <c r="J161">
        <v>0.1</v>
      </c>
      <c r="K161">
        <v>216.36</v>
      </c>
    </row>
    <row r="162" spans="1:11" x14ac:dyDescent="0.35">
      <c r="A162">
        <v>1161</v>
      </c>
      <c r="B162" s="17">
        <v>44722</v>
      </c>
      <c r="C162" t="s">
        <v>427</v>
      </c>
      <c r="D162" t="s">
        <v>430</v>
      </c>
      <c r="E162" t="s">
        <v>407</v>
      </c>
      <c r="F162" t="s">
        <v>8</v>
      </c>
      <c r="G162">
        <v>4</v>
      </c>
      <c r="H162">
        <v>61</v>
      </c>
      <c r="I162">
        <v>244</v>
      </c>
      <c r="J162">
        <v>7.0000000000000007E-2</v>
      </c>
      <c r="K162">
        <v>58.5</v>
      </c>
    </row>
    <row r="163" spans="1:11" x14ac:dyDescent="0.35">
      <c r="A163">
        <v>1162</v>
      </c>
      <c r="B163" s="17">
        <v>44723</v>
      </c>
      <c r="C163" t="s">
        <v>427</v>
      </c>
      <c r="D163" t="s">
        <v>415</v>
      </c>
      <c r="E163" t="s">
        <v>24</v>
      </c>
      <c r="F163" t="s">
        <v>20</v>
      </c>
      <c r="G163">
        <v>9</v>
      </c>
      <c r="H163">
        <v>395</v>
      </c>
      <c r="I163">
        <v>3555</v>
      </c>
      <c r="J163">
        <v>0.13</v>
      </c>
      <c r="K163">
        <v>778.38</v>
      </c>
    </row>
    <row r="164" spans="1:11" x14ac:dyDescent="0.35">
      <c r="A164">
        <v>1163</v>
      </c>
      <c r="B164" s="17">
        <v>44724</v>
      </c>
      <c r="C164" t="s">
        <v>408</v>
      </c>
      <c r="D164" t="s">
        <v>413</v>
      </c>
      <c r="E164" t="s">
        <v>27</v>
      </c>
      <c r="F164" t="s">
        <v>12</v>
      </c>
      <c r="G164">
        <v>2</v>
      </c>
      <c r="H164">
        <v>95</v>
      </c>
      <c r="I164">
        <v>190</v>
      </c>
      <c r="J164">
        <v>0.09</v>
      </c>
      <c r="K164">
        <v>30.66</v>
      </c>
    </row>
    <row r="165" spans="1:11" x14ac:dyDescent="0.35">
      <c r="A165">
        <v>1164</v>
      </c>
      <c r="B165" s="17">
        <v>44725</v>
      </c>
      <c r="C165" t="s">
        <v>424</v>
      </c>
      <c r="D165" t="s">
        <v>435</v>
      </c>
      <c r="E165" t="s">
        <v>407</v>
      </c>
      <c r="F165" t="s">
        <v>8</v>
      </c>
      <c r="G165">
        <v>9</v>
      </c>
      <c r="H165">
        <v>83</v>
      </c>
      <c r="I165">
        <v>747</v>
      </c>
      <c r="J165">
        <v>0.18</v>
      </c>
      <c r="K165">
        <v>120.76</v>
      </c>
    </row>
    <row r="166" spans="1:11" x14ac:dyDescent="0.35">
      <c r="A166">
        <v>1165</v>
      </c>
      <c r="B166" s="17">
        <v>44726</v>
      </c>
      <c r="C166" t="s">
        <v>405</v>
      </c>
      <c r="D166" t="s">
        <v>413</v>
      </c>
      <c r="E166" t="s">
        <v>407</v>
      </c>
      <c r="F166" t="s">
        <v>83</v>
      </c>
      <c r="G166">
        <v>1</v>
      </c>
      <c r="H166">
        <v>482</v>
      </c>
      <c r="I166">
        <v>482</v>
      </c>
      <c r="J166">
        <v>0.27</v>
      </c>
      <c r="K166">
        <v>72.47</v>
      </c>
    </row>
    <row r="167" spans="1:11" x14ac:dyDescent="0.35">
      <c r="A167">
        <v>1166</v>
      </c>
      <c r="B167" s="17">
        <v>44727</v>
      </c>
      <c r="C167" t="s">
        <v>423</v>
      </c>
      <c r="D167" t="s">
        <v>409</v>
      </c>
      <c r="E167" t="s">
        <v>27</v>
      </c>
      <c r="F167" t="s">
        <v>20</v>
      </c>
      <c r="G167">
        <v>1</v>
      </c>
      <c r="H167">
        <v>127</v>
      </c>
      <c r="I167">
        <v>127</v>
      </c>
      <c r="J167">
        <v>0.04</v>
      </c>
      <c r="K167">
        <v>37.479999999999997</v>
      </c>
    </row>
    <row r="168" spans="1:11" x14ac:dyDescent="0.35">
      <c r="A168">
        <v>1167</v>
      </c>
      <c r="B168" s="17">
        <v>44728</v>
      </c>
      <c r="C168" t="s">
        <v>422</v>
      </c>
      <c r="D168" t="s">
        <v>415</v>
      </c>
      <c r="E168" t="s">
        <v>27</v>
      </c>
      <c r="F168" t="s">
        <v>12</v>
      </c>
      <c r="G168">
        <v>5</v>
      </c>
      <c r="H168">
        <v>267</v>
      </c>
      <c r="I168">
        <v>1335</v>
      </c>
      <c r="J168">
        <v>0.03</v>
      </c>
      <c r="K168">
        <v>201.3</v>
      </c>
    </row>
    <row r="169" spans="1:11" x14ac:dyDescent="0.35">
      <c r="A169">
        <v>1168</v>
      </c>
      <c r="B169" s="17">
        <v>44729</v>
      </c>
      <c r="C169" t="s">
        <v>427</v>
      </c>
      <c r="D169" t="s">
        <v>419</v>
      </c>
      <c r="E169" t="s">
        <v>15</v>
      </c>
      <c r="F169" t="s">
        <v>83</v>
      </c>
      <c r="G169">
        <v>6</v>
      </c>
      <c r="H169">
        <v>350</v>
      </c>
      <c r="I169">
        <v>2100</v>
      </c>
      <c r="J169">
        <v>0.08</v>
      </c>
      <c r="K169">
        <v>347.47</v>
      </c>
    </row>
    <row r="170" spans="1:11" x14ac:dyDescent="0.35">
      <c r="A170">
        <v>1169</v>
      </c>
      <c r="B170" s="17">
        <v>44730</v>
      </c>
      <c r="C170" t="s">
        <v>431</v>
      </c>
      <c r="D170" t="s">
        <v>413</v>
      </c>
      <c r="E170" t="s">
        <v>15</v>
      </c>
      <c r="F170" t="s">
        <v>20</v>
      </c>
      <c r="G170">
        <v>6</v>
      </c>
      <c r="H170">
        <v>460</v>
      </c>
      <c r="I170">
        <v>2760</v>
      </c>
      <c r="J170">
        <v>0.22</v>
      </c>
      <c r="K170">
        <v>544.24</v>
      </c>
    </row>
    <row r="171" spans="1:11" x14ac:dyDescent="0.35">
      <c r="A171">
        <v>1170</v>
      </c>
      <c r="B171" s="17">
        <v>44731</v>
      </c>
      <c r="C171" t="s">
        <v>427</v>
      </c>
      <c r="D171" t="s">
        <v>421</v>
      </c>
      <c r="E171" t="s">
        <v>407</v>
      </c>
      <c r="F171" t="s">
        <v>12</v>
      </c>
      <c r="G171">
        <v>3</v>
      </c>
      <c r="H171">
        <v>122</v>
      </c>
      <c r="I171">
        <v>366</v>
      </c>
      <c r="J171">
        <v>0.18</v>
      </c>
      <c r="K171">
        <v>99.23</v>
      </c>
    </row>
    <row r="172" spans="1:11" x14ac:dyDescent="0.35">
      <c r="A172">
        <v>1171</v>
      </c>
      <c r="B172" s="17">
        <v>44732</v>
      </c>
      <c r="C172" t="s">
        <v>427</v>
      </c>
      <c r="D172" t="s">
        <v>406</v>
      </c>
      <c r="E172" t="s">
        <v>15</v>
      </c>
      <c r="F172" t="s">
        <v>20</v>
      </c>
      <c r="G172">
        <v>7</v>
      </c>
      <c r="H172">
        <v>331</v>
      </c>
      <c r="I172">
        <v>2317</v>
      </c>
      <c r="J172">
        <v>0.03</v>
      </c>
      <c r="K172">
        <v>681.93</v>
      </c>
    </row>
    <row r="173" spans="1:11" x14ac:dyDescent="0.35">
      <c r="A173">
        <v>1172</v>
      </c>
      <c r="B173" s="17">
        <v>44733</v>
      </c>
      <c r="C173" t="s">
        <v>427</v>
      </c>
      <c r="D173" t="s">
        <v>409</v>
      </c>
      <c r="E173" t="s">
        <v>27</v>
      </c>
      <c r="F173" t="s">
        <v>83</v>
      </c>
      <c r="G173">
        <v>9</v>
      </c>
      <c r="H173">
        <v>298</v>
      </c>
      <c r="I173">
        <v>2682</v>
      </c>
      <c r="J173">
        <v>0.28000000000000003</v>
      </c>
      <c r="K173">
        <v>720.12</v>
      </c>
    </row>
    <row r="174" spans="1:11" x14ac:dyDescent="0.35">
      <c r="A174">
        <v>1173</v>
      </c>
      <c r="B174" s="17">
        <v>44734</v>
      </c>
      <c r="C174" t="s">
        <v>423</v>
      </c>
      <c r="D174" t="s">
        <v>418</v>
      </c>
      <c r="E174" t="s">
        <v>24</v>
      </c>
      <c r="F174" t="s">
        <v>83</v>
      </c>
      <c r="G174">
        <v>8</v>
      </c>
      <c r="H174">
        <v>96</v>
      </c>
      <c r="I174">
        <v>768</v>
      </c>
      <c r="J174">
        <v>0.24</v>
      </c>
      <c r="K174">
        <v>194.75</v>
      </c>
    </row>
    <row r="175" spans="1:11" x14ac:dyDescent="0.35">
      <c r="A175">
        <v>1174</v>
      </c>
      <c r="B175" s="17">
        <v>44735</v>
      </c>
      <c r="C175" t="s">
        <v>423</v>
      </c>
      <c r="D175" t="s">
        <v>419</v>
      </c>
      <c r="E175" t="s">
        <v>27</v>
      </c>
      <c r="F175" t="s">
        <v>8</v>
      </c>
      <c r="G175">
        <v>6</v>
      </c>
      <c r="H175">
        <v>170</v>
      </c>
      <c r="I175">
        <v>1020</v>
      </c>
      <c r="J175">
        <v>0.01</v>
      </c>
      <c r="K175">
        <v>232.76</v>
      </c>
    </row>
    <row r="176" spans="1:11" x14ac:dyDescent="0.35">
      <c r="A176">
        <v>1175</v>
      </c>
      <c r="B176" s="17">
        <v>44736</v>
      </c>
      <c r="C176" t="s">
        <v>431</v>
      </c>
      <c r="D176" t="s">
        <v>409</v>
      </c>
      <c r="E176" t="s">
        <v>15</v>
      </c>
      <c r="F176" t="s">
        <v>83</v>
      </c>
      <c r="G176">
        <v>8</v>
      </c>
      <c r="H176">
        <v>263</v>
      </c>
      <c r="I176">
        <v>2104</v>
      </c>
      <c r="J176">
        <v>0.2</v>
      </c>
      <c r="K176">
        <v>342.96</v>
      </c>
    </row>
    <row r="177" spans="1:11" x14ac:dyDescent="0.35">
      <c r="A177">
        <v>1176</v>
      </c>
      <c r="B177" s="17">
        <v>44737</v>
      </c>
      <c r="C177" t="s">
        <v>426</v>
      </c>
      <c r="D177" t="s">
        <v>406</v>
      </c>
      <c r="E177" t="s">
        <v>27</v>
      </c>
      <c r="F177" t="s">
        <v>12</v>
      </c>
      <c r="G177">
        <v>5</v>
      </c>
      <c r="H177">
        <v>288</v>
      </c>
      <c r="I177">
        <v>1440</v>
      </c>
      <c r="J177">
        <v>0.23</v>
      </c>
      <c r="K177">
        <v>422.96</v>
      </c>
    </row>
    <row r="178" spans="1:11" x14ac:dyDescent="0.35">
      <c r="A178">
        <v>1177</v>
      </c>
      <c r="B178" s="17">
        <v>44738</v>
      </c>
      <c r="C178" t="s">
        <v>426</v>
      </c>
      <c r="D178" t="s">
        <v>415</v>
      </c>
      <c r="E178" t="s">
        <v>407</v>
      </c>
      <c r="F178" t="s">
        <v>12</v>
      </c>
      <c r="G178">
        <v>8</v>
      </c>
      <c r="H178">
        <v>105</v>
      </c>
      <c r="I178">
        <v>840</v>
      </c>
      <c r="J178">
        <v>0.11</v>
      </c>
      <c r="K178">
        <v>221.56</v>
      </c>
    </row>
    <row r="179" spans="1:11" x14ac:dyDescent="0.35">
      <c r="A179">
        <v>1178</v>
      </c>
      <c r="B179" s="17">
        <v>44739</v>
      </c>
      <c r="C179" t="s">
        <v>416</v>
      </c>
      <c r="D179" t="s">
        <v>406</v>
      </c>
      <c r="E179" t="s">
        <v>407</v>
      </c>
      <c r="F179" t="s">
        <v>8</v>
      </c>
      <c r="G179">
        <v>4</v>
      </c>
      <c r="H179">
        <v>399</v>
      </c>
      <c r="I179">
        <v>1596</v>
      </c>
      <c r="J179">
        <v>0.02</v>
      </c>
      <c r="K179">
        <v>392.36</v>
      </c>
    </row>
    <row r="180" spans="1:11" x14ac:dyDescent="0.35">
      <c r="A180">
        <v>1179</v>
      </c>
      <c r="B180" s="17">
        <v>44740</v>
      </c>
      <c r="C180" t="s">
        <v>423</v>
      </c>
      <c r="D180" t="s">
        <v>430</v>
      </c>
      <c r="E180" t="s">
        <v>15</v>
      </c>
      <c r="F180" t="s">
        <v>20</v>
      </c>
      <c r="G180">
        <v>8</v>
      </c>
      <c r="H180">
        <v>156</v>
      </c>
      <c r="I180">
        <v>1248</v>
      </c>
      <c r="J180">
        <v>0.02</v>
      </c>
      <c r="K180">
        <v>329.29</v>
      </c>
    </row>
    <row r="181" spans="1:11" x14ac:dyDescent="0.35">
      <c r="A181">
        <v>1180</v>
      </c>
      <c r="B181" s="17">
        <v>44741</v>
      </c>
      <c r="C181" t="s">
        <v>424</v>
      </c>
      <c r="D181" t="s">
        <v>406</v>
      </c>
      <c r="E181" t="s">
        <v>27</v>
      </c>
      <c r="F181" t="s">
        <v>83</v>
      </c>
      <c r="G181">
        <v>2</v>
      </c>
      <c r="H181">
        <v>368</v>
      </c>
      <c r="I181">
        <v>736</v>
      </c>
      <c r="J181">
        <v>0.03</v>
      </c>
      <c r="K181">
        <v>190.34</v>
      </c>
    </row>
    <row r="182" spans="1:11" x14ac:dyDescent="0.35">
      <c r="A182">
        <v>1181</v>
      </c>
      <c r="B182" s="17">
        <v>44742</v>
      </c>
      <c r="C182" t="s">
        <v>425</v>
      </c>
      <c r="D182" t="s">
        <v>430</v>
      </c>
      <c r="E182" t="s">
        <v>410</v>
      </c>
      <c r="F182" t="s">
        <v>20</v>
      </c>
      <c r="G182">
        <v>5</v>
      </c>
      <c r="H182">
        <v>97</v>
      </c>
      <c r="I182">
        <v>485</v>
      </c>
      <c r="J182">
        <v>0.25</v>
      </c>
      <c r="K182">
        <v>119.11</v>
      </c>
    </row>
    <row r="183" spans="1:11" x14ac:dyDescent="0.35">
      <c r="A183">
        <v>1182</v>
      </c>
      <c r="B183" s="17">
        <v>44743</v>
      </c>
      <c r="C183" t="s">
        <v>420</v>
      </c>
      <c r="D183" t="s">
        <v>415</v>
      </c>
      <c r="E183" t="s">
        <v>407</v>
      </c>
      <c r="F183" t="s">
        <v>8</v>
      </c>
      <c r="G183">
        <v>9</v>
      </c>
      <c r="H183">
        <v>110</v>
      </c>
      <c r="I183">
        <v>990</v>
      </c>
      <c r="J183">
        <v>0.27</v>
      </c>
      <c r="K183">
        <v>294.12</v>
      </c>
    </row>
    <row r="184" spans="1:11" x14ac:dyDescent="0.35">
      <c r="A184">
        <v>1183</v>
      </c>
      <c r="B184" s="17">
        <v>44744</v>
      </c>
      <c r="C184" t="s">
        <v>412</v>
      </c>
      <c r="D184" t="s">
        <v>417</v>
      </c>
      <c r="E184" t="s">
        <v>27</v>
      </c>
      <c r="F184" t="s">
        <v>8</v>
      </c>
      <c r="G184">
        <v>4</v>
      </c>
      <c r="H184">
        <v>386</v>
      </c>
      <c r="I184">
        <v>1544</v>
      </c>
      <c r="J184">
        <v>0.04</v>
      </c>
      <c r="K184">
        <v>440.82</v>
      </c>
    </row>
    <row r="185" spans="1:11" x14ac:dyDescent="0.35">
      <c r="A185">
        <v>1184</v>
      </c>
      <c r="B185" s="17">
        <v>44745</v>
      </c>
      <c r="C185" t="s">
        <v>427</v>
      </c>
      <c r="D185" t="s">
        <v>430</v>
      </c>
      <c r="E185" t="s">
        <v>27</v>
      </c>
      <c r="F185" t="s">
        <v>8</v>
      </c>
      <c r="G185">
        <v>6</v>
      </c>
      <c r="H185">
        <v>75</v>
      </c>
      <c r="I185">
        <v>450</v>
      </c>
      <c r="J185">
        <v>7.0000000000000007E-2</v>
      </c>
      <c r="K185">
        <v>111.15</v>
      </c>
    </row>
    <row r="186" spans="1:11" x14ac:dyDescent="0.35">
      <c r="A186">
        <v>1185</v>
      </c>
      <c r="B186" s="17">
        <v>44746</v>
      </c>
      <c r="C186" t="s">
        <v>425</v>
      </c>
      <c r="D186" t="s">
        <v>418</v>
      </c>
      <c r="E186" t="s">
        <v>410</v>
      </c>
      <c r="F186" t="s">
        <v>20</v>
      </c>
      <c r="G186">
        <v>1</v>
      </c>
      <c r="H186">
        <v>341</v>
      </c>
      <c r="I186">
        <v>341</v>
      </c>
      <c r="J186">
        <v>0.05</v>
      </c>
      <c r="K186">
        <v>86.61</v>
      </c>
    </row>
    <row r="187" spans="1:11" x14ac:dyDescent="0.35">
      <c r="A187">
        <v>1186</v>
      </c>
      <c r="B187" s="17">
        <v>44747</v>
      </c>
      <c r="C187" t="s">
        <v>431</v>
      </c>
      <c r="D187" t="s">
        <v>406</v>
      </c>
      <c r="E187" t="s">
        <v>407</v>
      </c>
      <c r="F187" t="s">
        <v>8</v>
      </c>
      <c r="G187">
        <v>9</v>
      </c>
      <c r="H187">
        <v>306</v>
      </c>
      <c r="I187">
        <v>2754</v>
      </c>
      <c r="J187">
        <v>0.06</v>
      </c>
      <c r="K187">
        <v>434.41</v>
      </c>
    </row>
    <row r="188" spans="1:11" x14ac:dyDescent="0.35">
      <c r="A188">
        <v>1187</v>
      </c>
      <c r="B188" s="17">
        <v>44748</v>
      </c>
      <c r="C188" t="s">
        <v>408</v>
      </c>
      <c r="D188" t="s">
        <v>406</v>
      </c>
      <c r="E188" t="s">
        <v>24</v>
      </c>
      <c r="F188" t="s">
        <v>83</v>
      </c>
      <c r="G188">
        <v>1</v>
      </c>
      <c r="H188">
        <v>57</v>
      </c>
      <c r="I188">
        <v>57</v>
      </c>
      <c r="J188">
        <v>0.25</v>
      </c>
      <c r="K188">
        <v>14.28</v>
      </c>
    </row>
    <row r="189" spans="1:11" x14ac:dyDescent="0.35">
      <c r="A189">
        <v>1188</v>
      </c>
      <c r="B189" s="17">
        <v>44749</v>
      </c>
      <c r="C189" t="s">
        <v>423</v>
      </c>
      <c r="D189" t="s">
        <v>418</v>
      </c>
      <c r="E189" t="s">
        <v>24</v>
      </c>
      <c r="F189" t="s">
        <v>12</v>
      </c>
      <c r="G189">
        <v>5</v>
      </c>
      <c r="H189">
        <v>162</v>
      </c>
      <c r="I189">
        <v>810</v>
      </c>
      <c r="J189">
        <v>0.1</v>
      </c>
      <c r="K189">
        <v>126.87</v>
      </c>
    </row>
    <row r="190" spans="1:11" x14ac:dyDescent="0.35">
      <c r="A190">
        <v>1189</v>
      </c>
      <c r="B190" s="17">
        <v>44750</v>
      </c>
      <c r="C190" t="s">
        <v>425</v>
      </c>
      <c r="D190" t="s">
        <v>421</v>
      </c>
      <c r="E190" t="s">
        <v>27</v>
      </c>
      <c r="F190" t="s">
        <v>8</v>
      </c>
      <c r="G190">
        <v>4</v>
      </c>
      <c r="H190">
        <v>404</v>
      </c>
      <c r="I190">
        <v>1616</v>
      </c>
      <c r="J190">
        <v>0.09</v>
      </c>
      <c r="K190">
        <v>385</v>
      </c>
    </row>
    <row r="191" spans="1:11" x14ac:dyDescent="0.35">
      <c r="A191">
        <v>1190</v>
      </c>
      <c r="B191" s="17">
        <v>44751</v>
      </c>
      <c r="C191" t="s">
        <v>412</v>
      </c>
      <c r="D191" t="s">
        <v>435</v>
      </c>
      <c r="E191" t="s">
        <v>15</v>
      </c>
      <c r="F191" t="s">
        <v>12</v>
      </c>
      <c r="G191">
        <v>3</v>
      </c>
      <c r="H191">
        <v>302</v>
      </c>
      <c r="I191">
        <v>906</v>
      </c>
      <c r="J191">
        <v>7.0000000000000007E-2</v>
      </c>
      <c r="K191">
        <v>271.70999999999998</v>
      </c>
    </row>
    <row r="192" spans="1:11" x14ac:dyDescent="0.35">
      <c r="A192">
        <v>1191</v>
      </c>
      <c r="B192" s="17">
        <v>44752</v>
      </c>
      <c r="C192" t="s">
        <v>429</v>
      </c>
      <c r="D192" t="s">
        <v>417</v>
      </c>
      <c r="E192" t="s">
        <v>27</v>
      </c>
      <c r="F192" t="s">
        <v>12</v>
      </c>
      <c r="G192">
        <v>6</v>
      </c>
      <c r="H192">
        <v>229</v>
      </c>
      <c r="I192">
        <v>1374</v>
      </c>
      <c r="J192">
        <v>0.18</v>
      </c>
      <c r="K192">
        <v>320.64999999999998</v>
      </c>
    </row>
    <row r="193" spans="1:11" x14ac:dyDescent="0.35">
      <c r="A193">
        <v>1192</v>
      </c>
      <c r="B193" s="17">
        <v>44753</v>
      </c>
      <c r="C193" t="s">
        <v>429</v>
      </c>
      <c r="D193" t="s">
        <v>419</v>
      </c>
      <c r="E193" t="s">
        <v>27</v>
      </c>
      <c r="F193" t="s">
        <v>20</v>
      </c>
      <c r="G193">
        <v>2</v>
      </c>
      <c r="H193">
        <v>256</v>
      </c>
      <c r="I193">
        <v>512</v>
      </c>
      <c r="J193">
        <v>0.11</v>
      </c>
      <c r="K193">
        <v>113.14</v>
      </c>
    </row>
    <row r="194" spans="1:11" x14ac:dyDescent="0.35">
      <c r="A194">
        <v>1193</v>
      </c>
      <c r="B194" s="17">
        <v>44754</v>
      </c>
      <c r="C194" t="s">
        <v>426</v>
      </c>
      <c r="D194" t="s">
        <v>430</v>
      </c>
      <c r="E194" t="s">
        <v>410</v>
      </c>
      <c r="F194" t="s">
        <v>20</v>
      </c>
      <c r="G194">
        <v>3</v>
      </c>
      <c r="H194">
        <v>352</v>
      </c>
      <c r="I194">
        <v>1056</v>
      </c>
      <c r="J194">
        <v>0.22</v>
      </c>
      <c r="K194">
        <v>207.96</v>
      </c>
    </row>
    <row r="195" spans="1:11" x14ac:dyDescent="0.35">
      <c r="A195">
        <v>1194</v>
      </c>
      <c r="B195" s="17">
        <v>44755</v>
      </c>
      <c r="C195" t="s">
        <v>432</v>
      </c>
      <c r="D195" t="s">
        <v>418</v>
      </c>
      <c r="E195" t="s">
        <v>407</v>
      </c>
      <c r="F195" t="s">
        <v>20</v>
      </c>
      <c r="G195">
        <v>5</v>
      </c>
      <c r="H195">
        <v>176</v>
      </c>
      <c r="I195">
        <v>880</v>
      </c>
      <c r="J195">
        <v>0.06</v>
      </c>
      <c r="K195">
        <v>147.91</v>
      </c>
    </row>
    <row r="196" spans="1:11" x14ac:dyDescent="0.35">
      <c r="A196">
        <v>1195</v>
      </c>
      <c r="B196" s="17">
        <v>44756</v>
      </c>
      <c r="C196" t="s">
        <v>425</v>
      </c>
      <c r="D196" t="s">
        <v>415</v>
      </c>
      <c r="E196" t="s">
        <v>24</v>
      </c>
      <c r="F196" t="s">
        <v>20</v>
      </c>
      <c r="G196">
        <v>9</v>
      </c>
      <c r="H196">
        <v>105</v>
      </c>
      <c r="I196">
        <v>945</v>
      </c>
      <c r="J196">
        <v>0.24</v>
      </c>
      <c r="K196">
        <v>245.37</v>
      </c>
    </row>
    <row r="197" spans="1:11" x14ac:dyDescent="0.35">
      <c r="A197">
        <v>1196</v>
      </c>
      <c r="B197" s="17">
        <v>44757</v>
      </c>
      <c r="C197" t="s">
        <v>429</v>
      </c>
      <c r="D197" t="s">
        <v>430</v>
      </c>
      <c r="E197" t="s">
        <v>27</v>
      </c>
      <c r="F197" t="s">
        <v>20</v>
      </c>
      <c r="G197">
        <v>2</v>
      </c>
      <c r="H197">
        <v>263</v>
      </c>
      <c r="I197">
        <v>526</v>
      </c>
      <c r="J197">
        <v>0.18</v>
      </c>
      <c r="K197">
        <v>94.1</v>
      </c>
    </row>
    <row r="198" spans="1:11" x14ac:dyDescent="0.35">
      <c r="A198">
        <v>1197</v>
      </c>
      <c r="B198" s="17">
        <v>44758</v>
      </c>
      <c r="C198" t="s">
        <v>422</v>
      </c>
      <c r="D198" t="s">
        <v>435</v>
      </c>
      <c r="E198" t="s">
        <v>407</v>
      </c>
      <c r="F198" t="s">
        <v>8</v>
      </c>
      <c r="G198">
        <v>8</v>
      </c>
      <c r="H198">
        <v>63</v>
      </c>
      <c r="I198">
        <v>504</v>
      </c>
      <c r="J198">
        <v>0.03</v>
      </c>
      <c r="K198">
        <v>84.32</v>
      </c>
    </row>
    <row r="199" spans="1:11" x14ac:dyDescent="0.35">
      <c r="A199">
        <v>1198</v>
      </c>
      <c r="B199" s="17">
        <v>44759</v>
      </c>
      <c r="C199" t="s">
        <v>408</v>
      </c>
      <c r="D199" t="s">
        <v>415</v>
      </c>
      <c r="E199" t="s">
        <v>27</v>
      </c>
      <c r="F199" t="s">
        <v>20</v>
      </c>
      <c r="G199">
        <v>2</v>
      </c>
      <c r="H199">
        <v>77</v>
      </c>
      <c r="I199">
        <v>154</v>
      </c>
      <c r="J199">
        <v>0.12</v>
      </c>
      <c r="K199">
        <v>32.840000000000003</v>
      </c>
    </row>
    <row r="200" spans="1:11" x14ac:dyDescent="0.35">
      <c r="A200">
        <v>1199</v>
      </c>
      <c r="B200" s="17">
        <v>44760</v>
      </c>
      <c r="C200" t="s">
        <v>420</v>
      </c>
      <c r="D200" t="s">
        <v>409</v>
      </c>
      <c r="E200" t="s">
        <v>407</v>
      </c>
      <c r="F200" t="s">
        <v>8</v>
      </c>
      <c r="G200">
        <v>5</v>
      </c>
      <c r="H200">
        <v>127</v>
      </c>
      <c r="I200">
        <v>635</v>
      </c>
      <c r="J200">
        <v>0.26</v>
      </c>
      <c r="K200">
        <v>171.01</v>
      </c>
    </row>
    <row r="201" spans="1:11" x14ac:dyDescent="0.35">
      <c r="A201">
        <v>1200</v>
      </c>
      <c r="B201" s="17">
        <v>44761</v>
      </c>
      <c r="C201" t="s">
        <v>416</v>
      </c>
      <c r="D201" t="s">
        <v>406</v>
      </c>
      <c r="E201" t="s">
        <v>407</v>
      </c>
      <c r="F201" t="s">
        <v>8</v>
      </c>
      <c r="G201">
        <v>7</v>
      </c>
      <c r="H201">
        <v>265</v>
      </c>
      <c r="I201">
        <v>1855</v>
      </c>
      <c r="J201">
        <v>0.28000000000000003</v>
      </c>
      <c r="K201">
        <v>485.56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AD4E8-D4F4-4212-A847-29D595DDC480}">
  <sheetPr filterMode="1"/>
  <dimension ref="A1:K1044"/>
  <sheetViews>
    <sheetView tabSelected="1" topLeftCell="A817" workbookViewId="0">
      <selection activeCell="F2" sqref="F2:F1043"/>
    </sheetView>
  </sheetViews>
  <sheetFormatPr defaultRowHeight="14.5" x14ac:dyDescent="0.35"/>
  <cols>
    <col min="1" max="1" width="12.7265625" bestFit="1" customWidth="1"/>
    <col min="2" max="2" width="9.7265625" bestFit="1" customWidth="1"/>
    <col min="3" max="3" width="11.6328125" bestFit="1" customWidth="1"/>
    <col min="4" max="4" width="11" bestFit="1" customWidth="1"/>
    <col min="5" max="5" width="11.08984375" bestFit="1" customWidth="1"/>
    <col min="6" max="6" width="19.54296875" bestFit="1" customWidth="1"/>
    <col min="7" max="7" width="12.1796875" customWidth="1"/>
    <col min="8" max="8" width="13.6328125" bestFit="1" customWidth="1"/>
    <col min="9" max="9" width="7.1796875" bestFit="1" customWidth="1"/>
    <col min="10" max="10" width="18.81640625" bestFit="1" customWidth="1"/>
    <col min="11" max="11" width="18.453125" bestFit="1" customWidth="1"/>
  </cols>
  <sheetData>
    <row r="1" spans="1:11" ht="20" x14ac:dyDescent="0.35">
      <c r="A1" s="34" t="s">
        <v>0</v>
      </c>
      <c r="B1" s="35" t="s">
        <v>1</v>
      </c>
      <c r="C1" s="35" t="s">
        <v>2</v>
      </c>
      <c r="D1" s="35" t="s">
        <v>3</v>
      </c>
      <c r="E1" s="35" t="s">
        <v>4</v>
      </c>
      <c r="F1" s="35" t="s">
        <v>250</v>
      </c>
      <c r="G1" s="35" t="s">
        <v>5</v>
      </c>
      <c r="H1" s="35" t="s">
        <v>47</v>
      </c>
      <c r="I1" s="35" t="s">
        <v>72</v>
      </c>
      <c r="J1" s="35" t="s">
        <v>6</v>
      </c>
      <c r="K1" s="36" t="s">
        <v>7</v>
      </c>
    </row>
    <row r="2" spans="1:11" ht="15.5" x14ac:dyDescent="0.35">
      <c r="A2" s="31">
        <v>45241</v>
      </c>
      <c r="B2" s="32" t="s">
        <v>8</v>
      </c>
      <c r="C2" s="32" t="s">
        <v>9</v>
      </c>
      <c r="D2" s="32" t="s">
        <v>10</v>
      </c>
      <c r="E2" s="32" t="s">
        <v>11</v>
      </c>
      <c r="F2" s="32">
        <v>5</v>
      </c>
      <c r="G2" s="32">
        <v>3</v>
      </c>
      <c r="H2" s="32" t="s">
        <v>48</v>
      </c>
      <c r="I2" s="32">
        <v>43</v>
      </c>
      <c r="J2" s="32">
        <v>4210.7700000000004</v>
      </c>
      <c r="K2" s="32">
        <v>12632.31</v>
      </c>
    </row>
    <row r="3" spans="1:11" ht="15.5" hidden="1" x14ac:dyDescent="0.35">
      <c r="A3" s="31">
        <v>45101</v>
      </c>
      <c r="B3" s="32" t="s">
        <v>12</v>
      </c>
      <c r="C3" s="32" t="s">
        <v>13</v>
      </c>
      <c r="D3" s="32" t="s">
        <v>14</v>
      </c>
      <c r="E3" s="32" t="s">
        <v>15</v>
      </c>
      <c r="F3" s="32">
        <v>1</v>
      </c>
      <c r="G3" s="32">
        <v>19</v>
      </c>
      <c r="H3" s="32" t="s">
        <v>49</v>
      </c>
      <c r="I3" s="32">
        <v>47</v>
      </c>
      <c r="J3" s="32">
        <v>2873.83</v>
      </c>
      <c r="K3" s="32">
        <v>54602.77</v>
      </c>
    </row>
    <row r="4" spans="1:11" ht="15.5" hidden="1" x14ac:dyDescent="0.35">
      <c r="A4" s="31">
        <v>44949</v>
      </c>
      <c r="B4" s="32" t="s">
        <v>12</v>
      </c>
      <c r="C4" s="32" t="s">
        <v>16</v>
      </c>
      <c r="D4" s="32" t="s">
        <v>17</v>
      </c>
      <c r="E4" s="32" t="s">
        <v>18</v>
      </c>
      <c r="F4" s="32">
        <v>4</v>
      </c>
      <c r="G4" s="32">
        <v>1</v>
      </c>
      <c r="H4" s="32" t="s">
        <v>50</v>
      </c>
      <c r="I4" s="32">
        <v>21</v>
      </c>
      <c r="J4" s="32">
        <v>267.32</v>
      </c>
      <c r="K4" s="32">
        <v>267.32</v>
      </c>
    </row>
    <row r="5" spans="1:11" ht="15.5" x14ac:dyDescent="0.35">
      <c r="A5" s="31">
        <v>45260</v>
      </c>
      <c r="B5" s="32" t="s">
        <v>12</v>
      </c>
      <c r="C5" s="32" t="s">
        <v>16</v>
      </c>
      <c r="D5" s="32" t="s">
        <v>19</v>
      </c>
      <c r="E5" s="32" t="s">
        <v>11</v>
      </c>
      <c r="F5" s="32">
        <v>5</v>
      </c>
      <c r="G5" s="32">
        <v>9</v>
      </c>
      <c r="H5" s="32" t="s">
        <v>51</v>
      </c>
      <c r="I5" s="32">
        <v>41</v>
      </c>
      <c r="J5" s="32">
        <v>1378.65</v>
      </c>
      <c r="K5" s="32">
        <v>12407.85</v>
      </c>
    </row>
    <row r="6" spans="1:11" ht="15.5" x14ac:dyDescent="0.35">
      <c r="A6" s="31">
        <v>45289</v>
      </c>
      <c r="B6" s="32" t="s">
        <v>20</v>
      </c>
      <c r="C6" s="32" t="s">
        <v>21</v>
      </c>
      <c r="D6" s="32" t="s">
        <v>22</v>
      </c>
      <c r="E6" s="32" t="s">
        <v>11</v>
      </c>
      <c r="F6" s="32">
        <v>5</v>
      </c>
      <c r="G6" s="32">
        <v>9</v>
      </c>
      <c r="H6" s="32" t="s">
        <v>52</v>
      </c>
      <c r="I6" s="32">
        <v>31</v>
      </c>
      <c r="J6" s="32">
        <v>1161.02</v>
      </c>
      <c r="K6" s="32">
        <v>10449.18</v>
      </c>
    </row>
    <row r="7" spans="1:11" ht="15.5" hidden="1" x14ac:dyDescent="0.35">
      <c r="A7" s="31">
        <v>44996</v>
      </c>
      <c r="B7" s="32" t="s">
        <v>8</v>
      </c>
      <c r="C7" s="32" t="s">
        <v>9</v>
      </c>
      <c r="D7" s="32" t="s">
        <v>23</v>
      </c>
      <c r="E7" s="32" t="s">
        <v>15</v>
      </c>
      <c r="F7" s="32">
        <v>1</v>
      </c>
      <c r="G7" s="32">
        <v>5</v>
      </c>
      <c r="H7" s="32" t="s">
        <v>53</v>
      </c>
      <c r="I7" s="32">
        <v>40</v>
      </c>
      <c r="J7" s="32">
        <v>3732.82</v>
      </c>
      <c r="K7" s="32">
        <v>18664.099999999999</v>
      </c>
    </row>
    <row r="8" spans="1:11" ht="15.5" hidden="1" x14ac:dyDescent="0.35">
      <c r="A8" s="31">
        <v>45250</v>
      </c>
      <c r="B8" s="32" t="s">
        <v>20</v>
      </c>
      <c r="C8" s="32" t="s">
        <v>21</v>
      </c>
      <c r="D8" s="32" t="s">
        <v>22</v>
      </c>
      <c r="E8" s="32" t="s">
        <v>24</v>
      </c>
      <c r="F8" s="32">
        <v>3</v>
      </c>
      <c r="G8" s="32">
        <v>4</v>
      </c>
      <c r="H8" s="32" t="s">
        <v>54</v>
      </c>
      <c r="I8" s="32">
        <v>28</v>
      </c>
      <c r="J8" s="32">
        <v>961.38</v>
      </c>
      <c r="K8" s="32">
        <v>3845.52</v>
      </c>
    </row>
    <row r="9" spans="1:11" ht="15.5" hidden="1" x14ac:dyDescent="0.35">
      <c r="A9" s="31">
        <v>45213</v>
      </c>
      <c r="B9" s="32" t="s">
        <v>20</v>
      </c>
      <c r="C9" s="32" t="s">
        <v>21</v>
      </c>
      <c r="D9" s="32" t="s">
        <v>22</v>
      </c>
      <c r="E9" s="33" t="s">
        <v>18</v>
      </c>
      <c r="F9" s="32">
        <v>4</v>
      </c>
      <c r="G9" s="32">
        <v>14</v>
      </c>
      <c r="H9" s="32" t="s">
        <v>55</v>
      </c>
      <c r="I9" s="32">
        <v>23</v>
      </c>
      <c r="J9" s="32">
        <v>4457.21</v>
      </c>
      <c r="K9" s="32">
        <v>62400.94</v>
      </c>
    </row>
    <row r="10" spans="1:11" ht="15.5" hidden="1" x14ac:dyDescent="0.35">
      <c r="A10" s="31">
        <v>44962</v>
      </c>
      <c r="B10" s="32" t="s">
        <v>12</v>
      </c>
      <c r="C10" s="32" t="s">
        <v>16</v>
      </c>
      <c r="D10" s="32" t="s">
        <v>25</v>
      </c>
      <c r="E10" s="32" t="s">
        <v>15</v>
      </c>
      <c r="F10" s="32">
        <v>1</v>
      </c>
      <c r="G10" s="32">
        <v>6</v>
      </c>
      <c r="H10" s="32" t="s">
        <v>56</v>
      </c>
      <c r="I10" s="32">
        <v>25</v>
      </c>
      <c r="J10" s="32">
        <v>2463.6799999999998</v>
      </c>
      <c r="K10" s="32">
        <v>14782.08</v>
      </c>
    </row>
    <row r="11" spans="1:11" ht="15.5" hidden="1" x14ac:dyDescent="0.35">
      <c r="A11" s="31">
        <v>45236</v>
      </c>
      <c r="B11" s="32" t="s">
        <v>12</v>
      </c>
      <c r="C11" s="32" t="s">
        <v>13</v>
      </c>
      <c r="D11" s="32" t="s">
        <v>26</v>
      </c>
      <c r="E11" s="32" t="s">
        <v>18</v>
      </c>
      <c r="F11" s="32">
        <v>4</v>
      </c>
      <c r="G11" s="32">
        <v>13</v>
      </c>
      <c r="H11" s="32" t="s">
        <v>57</v>
      </c>
      <c r="I11" s="32">
        <v>31</v>
      </c>
      <c r="J11" s="32">
        <v>4226.47</v>
      </c>
      <c r="K11" s="32">
        <v>54944.11</v>
      </c>
    </row>
    <row r="12" spans="1:11" ht="15.5" hidden="1" x14ac:dyDescent="0.35">
      <c r="A12" s="31">
        <v>45058</v>
      </c>
      <c r="B12" s="32" t="s">
        <v>12</v>
      </c>
      <c r="C12" s="32" t="s">
        <v>16</v>
      </c>
      <c r="D12" s="32" t="s">
        <v>19</v>
      </c>
      <c r="E12" s="32" t="s">
        <v>27</v>
      </c>
      <c r="F12" s="32">
        <v>2</v>
      </c>
      <c r="G12" s="32">
        <v>11</v>
      </c>
      <c r="H12" s="32" t="s">
        <v>58</v>
      </c>
      <c r="I12" s="32">
        <v>16</v>
      </c>
      <c r="J12" s="32">
        <v>2852.22</v>
      </c>
      <c r="K12" s="32">
        <v>31374.42</v>
      </c>
    </row>
    <row r="13" spans="1:11" ht="15.5" hidden="1" x14ac:dyDescent="0.35">
      <c r="A13" s="31">
        <v>44973</v>
      </c>
      <c r="B13" s="32" t="s">
        <v>20</v>
      </c>
      <c r="C13" s="32" t="s">
        <v>21</v>
      </c>
      <c r="D13" s="32" t="s">
        <v>22</v>
      </c>
      <c r="E13" s="32" t="s">
        <v>18</v>
      </c>
      <c r="F13" s="32">
        <v>4</v>
      </c>
      <c r="G13" s="32">
        <v>2</v>
      </c>
      <c r="H13" s="32" t="s">
        <v>59</v>
      </c>
      <c r="I13" s="32">
        <v>44</v>
      </c>
      <c r="J13" s="32">
        <v>4059.61</v>
      </c>
      <c r="K13" s="32">
        <v>8119.22</v>
      </c>
    </row>
    <row r="14" spans="1:11" ht="15.5" x14ac:dyDescent="0.35">
      <c r="A14" s="31">
        <v>45065</v>
      </c>
      <c r="B14" s="32" t="s">
        <v>20</v>
      </c>
      <c r="C14" s="32" t="s">
        <v>21</v>
      </c>
      <c r="D14" s="32" t="s">
        <v>22</v>
      </c>
      <c r="E14" s="32" t="s">
        <v>11</v>
      </c>
      <c r="F14" s="32">
        <v>5</v>
      </c>
      <c r="G14" s="32">
        <v>13</v>
      </c>
      <c r="H14" s="32" t="s">
        <v>48</v>
      </c>
      <c r="I14" s="32">
        <v>22</v>
      </c>
      <c r="J14" s="32">
        <v>1965.63</v>
      </c>
      <c r="K14" s="32">
        <v>25553.19</v>
      </c>
    </row>
    <row r="15" spans="1:11" ht="15.5" hidden="1" x14ac:dyDescent="0.35">
      <c r="A15" s="31">
        <v>45070</v>
      </c>
      <c r="B15" s="32" t="s">
        <v>20</v>
      </c>
      <c r="C15" s="32" t="s">
        <v>21</v>
      </c>
      <c r="D15" s="32" t="s">
        <v>22</v>
      </c>
      <c r="E15" s="32" t="s">
        <v>27</v>
      </c>
      <c r="F15" s="32">
        <v>2</v>
      </c>
      <c r="G15" s="32">
        <v>4</v>
      </c>
      <c r="H15" s="32" t="s">
        <v>49</v>
      </c>
      <c r="I15" s="32">
        <v>42</v>
      </c>
      <c r="J15" s="32">
        <v>1020.23</v>
      </c>
      <c r="K15" s="32">
        <v>4080.92</v>
      </c>
    </row>
    <row r="16" spans="1:11" ht="15.5" hidden="1" x14ac:dyDescent="0.35">
      <c r="A16" s="31">
        <v>45225</v>
      </c>
      <c r="B16" s="32" t="s">
        <v>20</v>
      </c>
      <c r="C16" s="32" t="s">
        <v>21</v>
      </c>
      <c r="D16" s="32" t="s">
        <v>22</v>
      </c>
      <c r="E16" s="32" t="s">
        <v>24</v>
      </c>
      <c r="F16" s="32">
        <v>3</v>
      </c>
      <c r="G16" s="32">
        <v>16</v>
      </c>
      <c r="H16" s="32" t="s">
        <v>50</v>
      </c>
      <c r="I16" s="32">
        <v>30</v>
      </c>
      <c r="J16" s="32">
        <v>2178.7800000000002</v>
      </c>
      <c r="K16" s="32">
        <v>34860.480000000003</v>
      </c>
    </row>
    <row r="17" spans="1:11" ht="15.5" hidden="1" x14ac:dyDescent="0.35">
      <c r="A17" s="31">
        <v>44995</v>
      </c>
      <c r="B17" s="32" t="s">
        <v>20</v>
      </c>
      <c r="C17" s="32" t="s">
        <v>21</v>
      </c>
      <c r="D17" s="32" t="s">
        <v>22</v>
      </c>
      <c r="E17" s="32" t="s">
        <v>27</v>
      </c>
      <c r="F17" s="32">
        <v>2</v>
      </c>
      <c r="G17" s="32">
        <v>3</v>
      </c>
      <c r="H17" s="32" t="s">
        <v>51</v>
      </c>
      <c r="I17" s="32">
        <v>22</v>
      </c>
      <c r="J17" s="32">
        <v>4229.84</v>
      </c>
      <c r="K17" s="32">
        <v>12689.52</v>
      </c>
    </row>
    <row r="18" spans="1:11" ht="15.5" x14ac:dyDescent="0.35">
      <c r="A18" s="31">
        <v>45226</v>
      </c>
      <c r="B18" s="32" t="s">
        <v>8</v>
      </c>
      <c r="C18" s="32" t="s">
        <v>28</v>
      </c>
      <c r="D18" s="32" t="s">
        <v>29</v>
      </c>
      <c r="E18" s="32" t="s">
        <v>11</v>
      </c>
      <c r="F18" s="32">
        <v>5</v>
      </c>
      <c r="G18" s="32">
        <v>11</v>
      </c>
      <c r="H18" s="32" t="s">
        <v>52</v>
      </c>
      <c r="I18" s="32">
        <v>50</v>
      </c>
      <c r="J18" s="32">
        <v>255.3</v>
      </c>
      <c r="K18" s="32">
        <v>2808.3</v>
      </c>
    </row>
    <row r="19" spans="1:11" ht="15.5" hidden="1" x14ac:dyDescent="0.35">
      <c r="A19" s="31">
        <v>45261</v>
      </c>
      <c r="B19" s="32" t="s">
        <v>8</v>
      </c>
      <c r="C19" s="32" t="s">
        <v>28</v>
      </c>
      <c r="D19" s="32" t="s">
        <v>30</v>
      </c>
      <c r="E19" s="32" t="s">
        <v>15</v>
      </c>
      <c r="F19" s="32">
        <v>1</v>
      </c>
      <c r="G19" s="32">
        <v>1</v>
      </c>
      <c r="H19" s="32" t="s">
        <v>53</v>
      </c>
      <c r="I19" s="32">
        <v>39</v>
      </c>
      <c r="J19" s="32">
        <v>4557.0600000000004</v>
      </c>
      <c r="K19" s="32">
        <v>4557.0600000000004</v>
      </c>
    </row>
    <row r="20" spans="1:11" ht="15.5" hidden="1" x14ac:dyDescent="0.35">
      <c r="A20" s="31">
        <v>44972</v>
      </c>
      <c r="B20" s="32" t="s">
        <v>8</v>
      </c>
      <c r="C20" s="32" t="s">
        <v>28</v>
      </c>
      <c r="D20" s="32" t="s">
        <v>29</v>
      </c>
      <c r="E20" s="32" t="s">
        <v>27</v>
      </c>
      <c r="F20" s="32">
        <v>2</v>
      </c>
      <c r="G20" s="32">
        <v>10</v>
      </c>
      <c r="H20" s="32" t="s">
        <v>54</v>
      </c>
      <c r="I20" s="32">
        <v>31</v>
      </c>
      <c r="J20" s="32">
        <v>843.5</v>
      </c>
      <c r="K20" s="32">
        <v>8435</v>
      </c>
    </row>
    <row r="21" spans="1:11" ht="15.5" x14ac:dyDescent="0.35">
      <c r="A21" s="31">
        <v>44998</v>
      </c>
      <c r="B21" s="32" t="s">
        <v>8</v>
      </c>
      <c r="C21" s="32" t="s">
        <v>9</v>
      </c>
      <c r="D21" s="32" t="s">
        <v>10</v>
      </c>
      <c r="E21" s="32" t="s">
        <v>11</v>
      </c>
      <c r="F21" s="32">
        <v>5</v>
      </c>
      <c r="G21" s="32">
        <v>5</v>
      </c>
      <c r="H21" s="32" t="s">
        <v>55</v>
      </c>
      <c r="I21" s="32">
        <v>21</v>
      </c>
      <c r="J21" s="32">
        <v>4987.7</v>
      </c>
      <c r="K21" s="32">
        <v>24938.5</v>
      </c>
    </row>
    <row r="22" spans="1:11" ht="15.5" hidden="1" x14ac:dyDescent="0.35">
      <c r="A22" s="31">
        <v>45095</v>
      </c>
      <c r="B22" s="32" t="s">
        <v>8</v>
      </c>
      <c r="C22" s="32" t="s">
        <v>28</v>
      </c>
      <c r="D22" s="32" t="s">
        <v>30</v>
      </c>
      <c r="E22" s="32" t="s">
        <v>15</v>
      </c>
      <c r="F22" s="32">
        <v>1</v>
      </c>
      <c r="G22" s="32">
        <v>5</v>
      </c>
      <c r="H22" s="32" t="s">
        <v>56</v>
      </c>
      <c r="I22" s="32">
        <v>25</v>
      </c>
      <c r="J22" s="32">
        <v>3860.73</v>
      </c>
      <c r="K22" s="32">
        <v>19303.650000000001</v>
      </c>
    </row>
    <row r="23" spans="1:11" ht="15.5" hidden="1" x14ac:dyDescent="0.35">
      <c r="A23" s="31">
        <v>45125</v>
      </c>
      <c r="B23" s="32" t="s">
        <v>8</v>
      </c>
      <c r="C23" s="32" t="s">
        <v>9</v>
      </c>
      <c r="D23" s="32" t="s">
        <v>10</v>
      </c>
      <c r="E23" s="32" t="s">
        <v>24</v>
      </c>
      <c r="F23" s="32">
        <v>3</v>
      </c>
      <c r="G23" s="32">
        <v>14</v>
      </c>
      <c r="H23" s="32" t="s">
        <v>57</v>
      </c>
      <c r="I23" s="32">
        <v>44</v>
      </c>
      <c r="J23" s="32">
        <v>4649.53</v>
      </c>
      <c r="K23" s="32">
        <v>65093.42</v>
      </c>
    </row>
    <row r="24" spans="1:11" ht="15.5" hidden="1" x14ac:dyDescent="0.35">
      <c r="A24" s="31">
        <v>45267</v>
      </c>
      <c r="B24" s="32" t="s">
        <v>20</v>
      </c>
      <c r="C24" s="32" t="s">
        <v>21</v>
      </c>
      <c r="D24" s="32" t="s">
        <v>22</v>
      </c>
      <c r="E24" s="32" t="s">
        <v>15</v>
      </c>
      <c r="F24" s="32">
        <v>1</v>
      </c>
      <c r="G24" s="32">
        <v>3</v>
      </c>
      <c r="H24" s="32" t="s">
        <v>58</v>
      </c>
      <c r="I24" s="32">
        <v>36</v>
      </c>
      <c r="J24" s="32">
        <v>144.38999999999999</v>
      </c>
      <c r="K24" s="32">
        <v>433.17</v>
      </c>
    </row>
    <row r="25" spans="1:11" ht="15.5" hidden="1" x14ac:dyDescent="0.35">
      <c r="A25" s="31">
        <v>45290</v>
      </c>
      <c r="B25" s="32" t="s">
        <v>12</v>
      </c>
      <c r="C25" s="32" t="s">
        <v>13</v>
      </c>
      <c r="D25" s="32" t="s">
        <v>26</v>
      </c>
      <c r="E25" s="32" t="s">
        <v>24</v>
      </c>
      <c r="F25" s="32">
        <v>3</v>
      </c>
      <c r="G25" s="32">
        <v>15</v>
      </c>
      <c r="H25" s="32" t="s">
        <v>59</v>
      </c>
      <c r="I25" s="32">
        <v>55</v>
      </c>
      <c r="J25" s="32">
        <v>4402.43</v>
      </c>
      <c r="K25" s="32">
        <v>66036.45</v>
      </c>
    </row>
    <row r="26" spans="1:11" ht="15.5" hidden="1" x14ac:dyDescent="0.35">
      <c r="A26" s="31">
        <v>45146</v>
      </c>
      <c r="B26" s="32" t="s">
        <v>8</v>
      </c>
      <c r="C26" s="32" t="s">
        <v>9</v>
      </c>
      <c r="D26" s="32" t="s">
        <v>31</v>
      </c>
      <c r="E26" s="32" t="s">
        <v>15</v>
      </c>
      <c r="F26" s="32">
        <v>1</v>
      </c>
      <c r="G26" s="32">
        <v>8</v>
      </c>
      <c r="H26" s="32" t="s">
        <v>48</v>
      </c>
      <c r="I26" s="32">
        <v>42</v>
      </c>
      <c r="J26" s="32">
        <v>1461.31</v>
      </c>
      <c r="K26" s="32">
        <v>11690.48</v>
      </c>
    </row>
    <row r="27" spans="1:11" ht="15.5" x14ac:dyDescent="0.35">
      <c r="A27" s="31">
        <v>44977</v>
      </c>
      <c r="B27" s="32" t="s">
        <v>8</v>
      </c>
      <c r="C27" s="32" t="s">
        <v>9</v>
      </c>
      <c r="D27" s="32" t="s">
        <v>23</v>
      </c>
      <c r="E27" s="32" t="s">
        <v>11</v>
      </c>
      <c r="F27" s="32">
        <v>5</v>
      </c>
      <c r="G27" s="32">
        <v>9</v>
      </c>
      <c r="H27" s="32" t="s">
        <v>49</v>
      </c>
      <c r="I27" s="32">
        <v>47</v>
      </c>
      <c r="J27" s="32">
        <v>3318.1</v>
      </c>
      <c r="K27" s="32">
        <v>29862.9</v>
      </c>
    </row>
    <row r="28" spans="1:11" ht="15.5" hidden="1" x14ac:dyDescent="0.35">
      <c r="A28" s="31">
        <v>45150</v>
      </c>
      <c r="B28" s="32" t="s">
        <v>8</v>
      </c>
      <c r="C28" s="32" t="s">
        <v>28</v>
      </c>
      <c r="D28" s="32" t="s">
        <v>32</v>
      </c>
      <c r="E28" s="32" t="s">
        <v>15</v>
      </c>
      <c r="F28" s="32">
        <v>1</v>
      </c>
      <c r="G28" s="32">
        <v>13</v>
      </c>
      <c r="H28" s="32" t="s">
        <v>50</v>
      </c>
      <c r="I28" s="32">
        <v>24</v>
      </c>
      <c r="J28" s="32">
        <v>2475.98</v>
      </c>
      <c r="K28" s="32">
        <v>32187.74</v>
      </c>
    </row>
    <row r="29" spans="1:11" ht="15.5" hidden="1" x14ac:dyDescent="0.35">
      <c r="A29" s="31">
        <v>44986</v>
      </c>
      <c r="B29" s="32" t="s">
        <v>12</v>
      </c>
      <c r="C29" s="32" t="s">
        <v>16</v>
      </c>
      <c r="D29" s="32" t="s">
        <v>17</v>
      </c>
      <c r="E29" s="32" t="s">
        <v>27</v>
      </c>
      <c r="F29" s="32">
        <v>2</v>
      </c>
      <c r="G29" s="32">
        <v>3</v>
      </c>
      <c r="H29" s="32" t="s">
        <v>51</v>
      </c>
      <c r="I29" s="32">
        <v>45</v>
      </c>
      <c r="J29" s="32">
        <v>4132.17</v>
      </c>
      <c r="K29" s="32">
        <v>12396.51</v>
      </c>
    </row>
    <row r="30" spans="1:11" ht="15.5" hidden="1" x14ac:dyDescent="0.35">
      <c r="A30" s="31">
        <v>45212</v>
      </c>
      <c r="B30" s="32" t="s">
        <v>12</v>
      </c>
      <c r="C30" s="32" t="s">
        <v>13</v>
      </c>
      <c r="D30" s="32" t="s">
        <v>14</v>
      </c>
      <c r="E30" s="32" t="s">
        <v>15</v>
      </c>
      <c r="F30" s="32">
        <v>1</v>
      </c>
      <c r="G30" s="32">
        <v>12</v>
      </c>
      <c r="H30" s="32" t="s">
        <v>52</v>
      </c>
      <c r="I30" s="32">
        <v>54</v>
      </c>
      <c r="J30" s="32">
        <v>835.83</v>
      </c>
      <c r="K30" s="32">
        <v>10029.959999999999</v>
      </c>
    </row>
    <row r="31" spans="1:11" ht="15.5" hidden="1" x14ac:dyDescent="0.35">
      <c r="A31" s="31">
        <v>45089</v>
      </c>
      <c r="B31" s="32" t="s">
        <v>20</v>
      </c>
      <c r="C31" s="32" t="s">
        <v>21</v>
      </c>
      <c r="D31" s="32" t="s">
        <v>22</v>
      </c>
      <c r="E31" s="32" t="s">
        <v>24</v>
      </c>
      <c r="F31" s="32">
        <v>3</v>
      </c>
      <c r="G31" s="32">
        <v>12</v>
      </c>
      <c r="H31" s="32" t="s">
        <v>53</v>
      </c>
      <c r="I31" s="32">
        <v>16</v>
      </c>
      <c r="J31" s="32">
        <v>1377.41</v>
      </c>
      <c r="K31" s="32">
        <v>16528.919999999998</v>
      </c>
    </row>
    <row r="32" spans="1:11" ht="15.5" hidden="1" x14ac:dyDescent="0.35">
      <c r="A32" s="31">
        <v>45183</v>
      </c>
      <c r="B32" s="32" t="s">
        <v>12</v>
      </c>
      <c r="C32" s="32" t="s">
        <v>16</v>
      </c>
      <c r="D32" s="32" t="s">
        <v>25</v>
      </c>
      <c r="E32" s="32" t="s">
        <v>27</v>
      </c>
      <c r="F32" s="32">
        <v>2</v>
      </c>
      <c r="G32" s="32">
        <v>2</v>
      </c>
      <c r="H32" s="32" t="s">
        <v>54</v>
      </c>
      <c r="I32" s="32">
        <v>16</v>
      </c>
      <c r="J32" s="32">
        <v>1983.93</v>
      </c>
      <c r="K32" s="32">
        <v>3967.86</v>
      </c>
    </row>
    <row r="33" spans="1:11" ht="15.5" hidden="1" x14ac:dyDescent="0.35">
      <c r="A33" s="31">
        <v>45169</v>
      </c>
      <c r="B33" s="32" t="s">
        <v>8</v>
      </c>
      <c r="C33" s="32" t="s">
        <v>9</v>
      </c>
      <c r="D33" s="32" t="s">
        <v>10</v>
      </c>
      <c r="E33" s="32" t="s">
        <v>24</v>
      </c>
      <c r="F33" s="32">
        <v>3</v>
      </c>
      <c r="G33" s="32">
        <v>8</v>
      </c>
      <c r="H33" s="32" t="s">
        <v>55</v>
      </c>
      <c r="I33" s="32">
        <v>26</v>
      </c>
      <c r="J33" s="32">
        <v>4621.75</v>
      </c>
      <c r="K33" s="32">
        <v>36974</v>
      </c>
    </row>
    <row r="34" spans="1:11" ht="15.5" hidden="1" x14ac:dyDescent="0.35">
      <c r="A34" s="31">
        <v>45111</v>
      </c>
      <c r="B34" s="32" t="s">
        <v>12</v>
      </c>
      <c r="C34" s="32" t="s">
        <v>13</v>
      </c>
      <c r="D34" s="32" t="s">
        <v>33</v>
      </c>
      <c r="E34" s="32" t="s">
        <v>18</v>
      </c>
      <c r="F34" s="32">
        <v>4</v>
      </c>
      <c r="G34" s="32">
        <v>8</v>
      </c>
      <c r="H34" s="32" t="s">
        <v>56</v>
      </c>
      <c r="I34" s="32">
        <v>23</v>
      </c>
      <c r="J34" s="32">
        <v>2342.02</v>
      </c>
      <c r="K34" s="32">
        <v>18736.16</v>
      </c>
    </row>
    <row r="35" spans="1:11" ht="15.5" hidden="1" x14ac:dyDescent="0.35">
      <c r="A35" s="31">
        <v>45146</v>
      </c>
      <c r="B35" s="32" t="s">
        <v>8</v>
      </c>
      <c r="C35" s="32" t="s">
        <v>9</v>
      </c>
      <c r="D35" s="32" t="s">
        <v>10</v>
      </c>
      <c r="E35" s="32" t="s">
        <v>24</v>
      </c>
      <c r="F35" s="32">
        <v>3</v>
      </c>
      <c r="G35" s="32">
        <v>9</v>
      </c>
      <c r="H35" s="32" t="s">
        <v>57</v>
      </c>
      <c r="I35" s="32">
        <v>21</v>
      </c>
      <c r="J35" s="32">
        <v>489.27</v>
      </c>
      <c r="K35" s="32">
        <v>4403.43</v>
      </c>
    </row>
    <row r="36" spans="1:11" ht="15.5" hidden="1" x14ac:dyDescent="0.35">
      <c r="A36" s="31">
        <v>45219</v>
      </c>
      <c r="B36" s="32" t="s">
        <v>12</v>
      </c>
      <c r="C36" s="32" t="s">
        <v>16</v>
      </c>
      <c r="D36" s="32" t="s">
        <v>25</v>
      </c>
      <c r="E36" s="32" t="s">
        <v>24</v>
      </c>
      <c r="F36" s="32">
        <v>3</v>
      </c>
      <c r="G36" s="32">
        <v>3</v>
      </c>
      <c r="H36" s="32" t="s">
        <v>58</v>
      </c>
      <c r="I36" s="32">
        <v>17</v>
      </c>
      <c r="J36" s="32">
        <v>2444.6</v>
      </c>
      <c r="K36" s="32">
        <v>7333.8</v>
      </c>
    </row>
    <row r="37" spans="1:11" ht="15.5" x14ac:dyDescent="0.35">
      <c r="A37" s="31">
        <v>45132</v>
      </c>
      <c r="B37" s="32" t="s">
        <v>12</v>
      </c>
      <c r="C37" s="32" t="s">
        <v>16</v>
      </c>
      <c r="D37" s="32" t="s">
        <v>17</v>
      </c>
      <c r="E37" s="32" t="s">
        <v>11</v>
      </c>
      <c r="F37" s="32">
        <v>5</v>
      </c>
      <c r="G37" s="32">
        <v>5</v>
      </c>
      <c r="H37" s="32" t="s">
        <v>59</v>
      </c>
      <c r="I37" s="32">
        <v>55</v>
      </c>
      <c r="J37" s="32">
        <v>1346.45</v>
      </c>
      <c r="K37" s="32">
        <v>6732.25</v>
      </c>
    </row>
    <row r="38" spans="1:11" ht="15.5" hidden="1" x14ac:dyDescent="0.35">
      <c r="A38" s="31">
        <v>45257</v>
      </c>
      <c r="B38" s="32" t="s">
        <v>8</v>
      </c>
      <c r="C38" s="32" t="s">
        <v>9</v>
      </c>
      <c r="D38" s="32" t="s">
        <v>31</v>
      </c>
      <c r="E38" s="32" t="s">
        <v>24</v>
      </c>
      <c r="F38" s="32">
        <v>3</v>
      </c>
      <c r="G38" s="32">
        <v>17</v>
      </c>
      <c r="H38" s="32" t="s">
        <v>48</v>
      </c>
      <c r="I38" s="32">
        <v>47</v>
      </c>
      <c r="J38" s="32">
        <v>1333.71</v>
      </c>
      <c r="K38" s="32">
        <v>22673.07</v>
      </c>
    </row>
    <row r="39" spans="1:11" ht="15.5" hidden="1" x14ac:dyDescent="0.35">
      <c r="A39" s="31">
        <v>45230</v>
      </c>
      <c r="B39" s="32" t="s">
        <v>12</v>
      </c>
      <c r="C39" s="32" t="s">
        <v>13</v>
      </c>
      <c r="D39" s="32" t="s">
        <v>33</v>
      </c>
      <c r="E39" s="32" t="s">
        <v>27</v>
      </c>
      <c r="F39" s="32">
        <v>2</v>
      </c>
      <c r="G39" s="32">
        <v>2</v>
      </c>
      <c r="H39" s="32" t="s">
        <v>49</v>
      </c>
      <c r="I39" s="32">
        <v>33</v>
      </c>
      <c r="J39" s="32">
        <v>2287.09</v>
      </c>
      <c r="K39" s="32">
        <v>4574.18</v>
      </c>
    </row>
    <row r="40" spans="1:11" ht="15.5" hidden="1" x14ac:dyDescent="0.35">
      <c r="A40" s="31">
        <v>45219</v>
      </c>
      <c r="B40" s="32" t="s">
        <v>8</v>
      </c>
      <c r="C40" s="32" t="s">
        <v>28</v>
      </c>
      <c r="D40" s="32" t="s">
        <v>29</v>
      </c>
      <c r="E40" s="32" t="s">
        <v>27</v>
      </c>
      <c r="F40" s="32">
        <v>2</v>
      </c>
      <c r="G40" s="32">
        <v>12</v>
      </c>
      <c r="H40" s="32" t="s">
        <v>50</v>
      </c>
      <c r="I40" s="32">
        <v>24</v>
      </c>
      <c r="J40" s="32">
        <v>2384.1</v>
      </c>
      <c r="K40" s="32">
        <v>28609.200000000001</v>
      </c>
    </row>
    <row r="41" spans="1:11" ht="15.5" x14ac:dyDescent="0.35">
      <c r="A41" s="31">
        <v>45017</v>
      </c>
      <c r="B41" s="32" t="s">
        <v>8</v>
      </c>
      <c r="C41" s="32" t="s">
        <v>28</v>
      </c>
      <c r="D41" s="32" t="s">
        <v>30</v>
      </c>
      <c r="E41" s="32" t="s">
        <v>11</v>
      </c>
      <c r="F41" s="32">
        <v>5</v>
      </c>
      <c r="G41" s="32">
        <v>2</v>
      </c>
      <c r="H41" s="32" t="s">
        <v>51</v>
      </c>
      <c r="I41" s="32">
        <v>55</v>
      </c>
      <c r="J41" s="32">
        <v>3037.55</v>
      </c>
      <c r="K41" s="32">
        <v>6075.1</v>
      </c>
    </row>
    <row r="42" spans="1:11" ht="15.5" x14ac:dyDescent="0.35">
      <c r="A42" s="31">
        <v>44941</v>
      </c>
      <c r="B42" s="32" t="s">
        <v>8</v>
      </c>
      <c r="C42" s="32" t="s">
        <v>9</v>
      </c>
      <c r="D42" s="32" t="s">
        <v>10</v>
      </c>
      <c r="E42" s="32" t="s">
        <v>11</v>
      </c>
      <c r="F42" s="32">
        <v>5</v>
      </c>
      <c r="G42" s="32">
        <v>7</v>
      </c>
      <c r="H42" s="32" t="s">
        <v>52</v>
      </c>
      <c r="I42" s="32">
        <v>33</v>
      </c>
      <c r="J42" s="32">
        <v>3163.37</v>
      </c>
      <c r="K42" s="32">
        <v>22143.59</v>
      </c>
    </row>
    <row r="43" spans="1:11" ht="15.5" x14ac:dyDescent="0.35">
      <c r="A43" s="31">
        <v>45289</v>
      </c>
      <c r="B43" s="32" t="s">
        <v>8</v>
      </c>
      <c r="C43" s="32" t="s">
        <v>9</v>
      </c>
      <c r="D43" s="32" t="s">
        <v>31</v>
      </c>
      <c r="E43" s="32" t="s">
        <v>11</v>
      </c>
      <c r="F43" s="32">
        <v>5</v>
      </c>
      <c r="G43" s="32">
        <v>13</v>
      </c>
      <c r="H43" s="32" t="s">
        <v>53</v>
      </c>
      <c r="I43" s="32">
        <v>41</v>
      </c>
      <c r="J43" s="32">
        <v>4985.82</v>
      </c>
      <c r="K43" s="32">
        <v>64815.66</v>
      </c>
    </row>
    <row r="44" spans="1:11" ht="15.5" hidden="1" x14ac:dyDescent="0.35">
      <c r="A44" s="31">
        <v>45189</v>
      </c>
      <c r="B44" s="32" t="s">
        <v>8</v>
      </c>
      <c r="C44" s="32" t="s">
        <v>28</v>
      </c>
      <c r="D44" s="32" t="s">
        <v>32</v>
      </c>
      <c r="E44" s="32" t="s">
        <v>24</v>
      </c>
      <c r="F44" s="32">
        <v>3</v>
      </c>
      <c r="G44" s="32">
        <v>8</v>
      </c>
      <c r="H44" s="32" t="s">
        <v>54</v>
      </c>
      <c r="I44" s="32">
        <v>17</v>
      </c>
      <c r="J44" s="32">
        <v>285.94</v>
      </c>
      <c r="K44" s="32">
        <v>2287.52</v>
      </c>
    </row>
    <row r="45" spans="1:11" ht="15.5" hidden="1" x14ac:dyDescent="0.35">
      <c r="A45" s="31">
        <v>45264</v>
      </c>
      <c r="B45" s="32" t="s">
        <v>12</v>
      </c>
      <c r="C45" s="32" t="s">
        <v>13</v>
      </c>
      <c r="D45" s="32" t="s">
        <v>14</v>
      </c>
      <c r="E45" s="32" t="s">
        <v>24</v>
      </c>
      <c r="F45" s="32">
        <v>3</v>
      </c>
      <c r="G45" s="32">
        <v>11</v>
      </c>
      <c r="H45" s="32" t="s">
        <v>55</v>
      </c>
      <c r="I45" s="32">
        <v>47</v>
      </c>
      <c r="J45" s="32">
        <v>1905.7</v>
      </c>
      <c r="K45" s="32">
        <v>20962.7</v>
      </c>
    </row>
    <row r="46" spans="1:11" ht="15.5" hidden="1" x14ac:dyDescent="0.35">
      <c r="A46" s="31">
        <v>44970</v>
      </c>
      <c r="B46" s="32" t="s">
        <v>12</v>
      </c>
      <c r="C46" s="32" t="s">
        <v>13</v>
      </c>
      <c r="D46" s="32" t="s">
        <v>26</v>
      </c>
      <c r="E46" s="32" t="s">
        <v>24</v>
      </c>
      <c r="F46" s="32">
        <v>3</v>
      </c>
      <c r="G46" s="32">
        <v>20</v>
      </c>
      <c r="H46" s="32" t="s">
        <v>56</v>
      </c>
      <c r="I46" s="32">
        <v>30</v>
      </c>
      <c r="J46" s="32">
        <v>1310.3699999999999</v>
      </c>
      <c r="K46" s="32">
        <v>26207.4</v>
      </c>
    </row>
    <row r="47" spans="1:11" ht="15.5" hidden="1" x14ac:dyDescent="0.35">
      <c r="A47" s="31">
        <v>45021</v>
      </c>
      <c r="B47" s="32" t="s">
        <v>8</v>
      </c>
      <c r="C47" s="32" t="s">
        <v>28</v>
      </c>
      <c r="D47" s="32" t="s">
        <v>30</v>
      </c>
      <c r="E47" s="32" t="s">
        <v>18</v>
      </c>
      <c r="F47" s="32">
        <v>4</v>
      </c>
      <c r="G47" s="32">
        <v>8</v>
      </c>
      <c r="H47" s="32" t="s">
        <v>57</v>
      </c>
      <c r="I47" s="32">
        <v>30</v>
      </c>
      <c r="J47" s="32">
        <v>1185.17</v>
      </c>
      <c r="K47" s="32">
        <v>9481.36</v>
      </c>
    </row>
    <row r="48" spans="1:11" ht="15.5" hidden="1" x14ac:dyDescent="0.35">
      <c r="A48" s="31">
        <v>45134</v>
      </c>
      <c r="B48" s="32" t="s">
        <v>20</v>
      </c>
      <c r="C48" s="32" t="s">
        <v>21</v>
      </c>
      <c r="D48" s="32" t="s">
        <v>22</v>
      </c>
      <c r="E48" s="32" t="s">
        <v>15</v>
      </c>
      <c r="F48" s="32">
        <v>1</v>
      </c>
      <c r="G48" s="32">
        <v>6</v>
      </c>
      <c r="H48" s="32" t="s">
        <v>58</v>
      </c>
      <c r="I48" s="32">
        <v>26</v>
      </c>
      <c r="J48" s="32">
        <v>4100.9799999999996</v>
      </c>
      <c r="K48" s="32">
        <v>24605.88</v>
      </c>
    </row>
    <row r="49" spans="1:11" ht="15.5" hidden="1" x14ac:dyDescent="0.35">
      <c r="A49" s="31">
        <v>45210</v>
      </c>
      <c r="B49" s="32" t="s">
        <v>12</v>
      </c>
      <c r="C49" s="32" t="s">
        <v>13</v>
      </c>
      <c r="D49" s="32" t="s">
        <v>26</v>
      </c>
      <c r="E49" s="32" t="s">
        <v>18</v>
      </c>
      <c r="F49" s="32">
        <v>4</v>
      </c>
      <c r="G49" s="32">
        <v>16</v>
      </c>
      <c r="H49" s="32" t="s">
        <v>59</v>
      </c>
      <c r="I49" s="32">
        <v>18</v>
      </c>
      <c r="J49" s="32">
        <v>2619.73</v>
      </c>
      <c r="K49" s="32">
        <v>41915.68</v>
      </c>
    </row>
    <row r="50" spans="1:11" ht="15.5" hidden="1" x14ac:dyDescent="0.35">
      <c r="A50" s="31">
        <v>45229</v>
      </c>
      <c r="B50" s="32" t="s">
        <v>12</v>
      </c>
      <c r="C50" s="32" t="s">
        <v>13</v>
      </c>
      <c r="D50" s="32" t="s">
        <v>26</v>
      </c>
      <c r="E50" s="32" t="s">
        <v>24</v>
      </c>
      <c r="F50" s="32">
        <v>3</v>
      </c>
      <c r="G50" s="32">
        <v>5</v>
      </c>
      <c r="H50" s="32" t="s">
        <v>48</v>
      </c>
      <c r="I50" s="32">
        <v>32</v>
      </c>
      <c r="J50" s="32">
        <v>3103.12</v>
      </c>
      <c r="K50" s="32">
        <v>15515.6</v>
      </c>
    </row>
    <row r="51" spans="1:11" ht="15.5" hidden="1" x14ac:dyDescent="0.35">
      <c r="A51" s="31">
        <v>45166</v>
      </c>
      <c r="B51" s="32" t="s">
        <v>12</v>
      </c>
      <c r="C51" s="32" t="s">
        <v>16</v>
      </c>
      <c r="D51" s="32" t="s">
        <v>25</v>
      </c>
      <c r="E51" s="32" t="s">
        <v>24</v>
      </c>
      <c r="F51" s="32">
        <v>3</v>
      </c>
      <c r="G51" s="32">
        <v>19</v>
      </c>
      <c r="H51" s="32" t="s">
        <v>49</v>
      </c>
      <c r="I51" s="32">
        <v>16</v>
      </c>
      <c r="J51" s="32">
        <v>3074.32</v>
      </c>
      <c r="K51" s="32">
        <v>58412.08</v>
      </c>
    </row>
    <row r="52" spans="1:11" ht="15.5" hidden="1" x14ac:dyDescent="0.35">
      <c r="A52" s="31">
        <v>45131</v>
      </c>
      <c r="B52" s="32" t="s">
        <v>12</v>
      </c>
      <c r="C52" s="32" t="s">
        <v>16</v>
      </c>
      <c r="D52" s="32" t="s">
        <v>25</v>
      </c>
      <c r="E52" s="32" t="s">
        <v>15</v>
      </c>
      <c r="F52" s="32">
        <v>1</v>
      </c>
      <c r="G52" s="32">
        <v>20</v>
      </c>
      <c r="H52" s="32" t="s">
        <v>50</v>
      </c>
      <c r="I52" s="32">
        <v>44</v>
      </c>
      <c r="J52" s="32">
        <v>3331.04</v>
      </c>
      <c r="K52" s="32">
        <v>66620.800000000003</v>
      </c>
    </row>
    <row r="53" spans="1:11" ht="15.5" x14ac:dyDescent="0.35">
      <c r="A53" s="31">
        <v>45260</v>
      </c>
      <c r="B53" s="32" t="s">
        <v>20</v>
      </c>
      <c r="C53" s="32" t="s">
        <v>21</v>
      </c>
      <c r="D53" s="32" t="s">
        <v>22</v>
      </c>
      <c r="E53" s="32" t="s">
        <v>11</v>
      </c>
      <c r="F53" s="32">
        <v>5</v>
      </c>
      <c r="G53" s="32">
        <v>7</v>
      </c>
      <c r="H53" s="32" t="s">
        <v>51</v>
      </c>
      <c r="I53" s="32">
        <v>37</v>
      </c>
      <c r="J53" s="32">
        <v>4813.28</v>
      </c>
      <c r="K53" s="32">
        <v>33692.959999999999</v>
      </c>
    </row>
    <row r="54" spans="1:11" ht="15.5" hidden="1" x14ac:dyDescent="0.35">
      <c r="A54" s="31">
        <v>45177</v>
      </c>
      <c r="B54" s="32" t="s">
        <v>8</v>
      </c>
      <c r="C54" s="32" t="s">
        <v>28</v>
      </c>
      <c r="D54" s="32" t="s">
        <v>29</v>
      </c>
      <c r="E54" s="32" t="s">
        <v>24</v>
      </c>
      <c r="F54" s="32">
        <v>3</v>
      </c>
      <c r="G54" s="32">
        <v>18</v>
      </c>
      <c r="H54" s="32" t="s">
        <v>52</v>
      </c>
      <c r="I54" s="32">
        <v>30</v>
      </c>
      <c r="J54" s="32">
        <v>1376.52</v>
      </c>
      <c r="K54" s="32">
        <v>24777.360000000001</v>
      </c>
    </row>
    <row r="55" spans="1:11" ht="15.5" hidden="1" x14ac:dyDescent="0.35">
      <c r="A55" s="31">
        <v>45156</v>
      </c>
      <c r="B55" s="32" t="s">
        <v>8</v>
      </c>
      <c r="C55" s="32" t="s">
        <v>9</v>
      </c>
      <c r="D55" s="32" t="s">
        <v>10</v>
      </c>
      <c r="E55" s="32" t="s">
        <v>15</v>
      </c>
      <c r="F55" s="32">
        <v>1</v>
      </c>
      <c r="G55" s="32">
        <v>12</v>
      </c>
      <c r="H55" s="32" t="s">
        <v>53</v>
      </c>
      <c r="I55" s="32">
        <v>32</v>
      </c>
      <c r="J55" s="32">
        <v>3400.71</v>
      </c>
      <c r="K55" s="32">
        <v>40808.519999999997</v>
      </c>
    </row>
    <row r="56" spans="1:11" ht="15.5" x14ac:dyDescent="0.35">
      <c r="A56" s="31">
        <v>45069</v>
      </c>
      <c r="B56" s="32" t="s">
        <v>12</v>
      </c>
      <c r="C56" s="32" t="s">
        <v>13</v>
      </c>
      <c r="D56" s="32" t="s">
        <v>26</v>
      </c>
      <c r="E56" s="32" t="s">
        <v>11</v>
      </c>
      <c r="F56" s="32">
        <v>5</v>
      </c>
      <c r="G56" s="32">
        <v>2</v>
      </c>
      <c r="H56" s="32" t="s">
        <v>54</v>
      </c>
      <c r="I56" s="32">
        <v>19</v>
      </c>
      <c r="J56" s="32">
        <v>4762.71</v>
      </c>
      <c r="K56" s="32">
        <v>9525.42</v>
      </c>
    </row>
    <row r="57" spans="1:11" ht="15.5" hidden="1" x14ac:dyDescent="0.35">
      <c r="A57" s="31">
        <v>45249</v>
      </c>
      <c r="B57" s="32" t="s">
        <v>20</v>
      </c>
      <c r="C57" s="32" t="s">
        <v>21</v>
      </c>
      <c r="D57" s="32" t="s">
        <v>34</v>
      </c>
      <c r="E57" s="32" t="s">
        <v>15</v>
      </c>
      <c r="F57" s="32">
        <v>1</v>
      </c>
      <c r="G57" s="32">
        <v>18</v>
      </c>
      <c r="H57" s="32" t="s">
        <v>55</v>
      </c>
      <c r="I57" s="32">
        <v>52</v>
      </c>
      <c r="J57" s="32">
        <v>2149.9899999999998</v>
      </c>
      <c r="K57" s="32">
        <v>38699.82</v>
      </c>
    </row>
    <row r="58" spans="1:11" ht="15.5" x14ac:dyDescent="0.35">
      <c r="A58" s="31">
        <v>44978</v>
      </c>
      <c r="B58" s="32" t="s">
        <v>8</v>
      </c>
      <c r="C58" s="32" t="s">
        <v>28</v>
      </c>
      <c r="D58" s="32" t="s">
        <v>29</v>
      </c>
      <c r="E58" s="32" t="s">
        <v>11</v>
      </c>
      <c r="F58" s="32">
        <v>5</v>
      </c>
      <c r="G58" s="32">
        <v>13</v>
      </c>
      <c r="H58" s="32" t="s">
        <v>56</v>
      </c>
      <c r="I58" s="32">
        <v>20</v>
      </c>
      <c r="J58" s="32">
        <v>2665.15</v>
      </c>
      <c r="K58" s="32">
        <v>34646.949999999997</v>
      </c>
    </row>
    <row r="59" spans="1:11" ht="15.5" hidden="1" x14ac:dyDescent="0.35">
      <c r="A59" s="31">
        <v>45238</v>
      </c>
      <c r="B59" s="32" t="s">
        <v>20</v>
      </c>
      <c r="C59" s="32" t="s">
        <v>21</v>
      </c>
      <c r="D59" s="32" t="s">
        <v>22</v>
      </c>
      <c r="E59" s="32" t="s">
        <v>27</v>
      </c>
      <c r="F59" s="32">
        <v>2</v>
      </c>
      <c r="G59" s="32">
        <v>15</v>
      </c>
      <c r="H59" s="32" t="s">
        <v>57</v>
      </c>
      <c r="I59" s="32">
        <v>39</v>
      </c>
      <c r="J59" s="32">
        <v>1543.85</v>
      </c>
      <c r="K59" s="32">
        <v>23157.75</v>
      </c>
    </row>
    <row r="60" spans="1:11" ht="15.5" hidden="1" x14ac:dyDescent="0.35">
      <c r="A60" s="31">
        <v>45143</v>
      </c>
      <c r="B60" s="32" t="s">
        <v>20</v>
      </c>
      <c r="C60" s="32" t="s">
        <v>21</v>
      </c>
      <c r="D60" s="32" t="s">
        <v>22</v>
      </c>
      <c r="E60" s="32" t="s">
        <v>15</v>
      </c>
      <c r="F60" s="32">
        <v>1</v>
      </c>
      <c r="G60" s="32">
        <v>3</v>
      </c>
      <c r="H60" s="32" t="s">
        <v>58</v>
      </c>
      <c r="I60" s="32">
        <v>23</v>
      </c>
      <c r="J60" s="32">
        <v>3366.66</v>
      </c>
      <c r="K60" s="32">
        <v>10099.98</v>
      </c>
    </row>
    <row r="61" spans="1:11" ht="15.5" hidden="1" x14ac:dyDescent="0.35">
      <c r="A61" s="31">
        <v>45247</v>
      </c>
      <c r="B61" s="32" t="s">
        <v>8</v>
      </c>
      <c r="C61" s="32" t="s">
        <v>28</v>
      </c>
      <c r="D61" s="32" t="s">
        <v>32</v>
      </c>
      <c r="E61" s="32" t="s">
        <v>27</v>
      </c>
      <c r="F61" s="32">
        <v>2</v>
      </c>
      <c r="G61" s="32">
        <v>19</v>
      </c>
      <c r="H61" s="32" t="s">
        <v>59</v>
      </c>
      <c r="I61" s="32">
        <v>25</v>
      </c>
      <c r="J61" s="32">
        <v>1809.9</v>
      </c>
      <c r="K61" s="32">
        <v>34388.1</v>
      </c>
    </row>
    <row r="62" spans="1:11" ht="15.5" x14ac:dyDescent="0.35">
      <c r="A62" s="31">
        <v>45002</v>
      </c>
      <c r="B62" s="32" t="s">
        <v>12</v>
      </c>
      <c r="C62" s="32" t="s">
        <v>13</v>
      </c>
      <c r="D62" s="32" t="s">
        <v>33</v>
      </c>
      <c r="E62" s="32" t="s">
        <v>11</v>
      </c>
      <c r="F62" s="32">
        <v>5</v>
      </c>
      <c r="G62" s="32">
        <v>7</v>
      </c>
      <c r="H62" s="32" t="s">
        <v>48</v>
      </c>
      <c r="I62" s="32">
        <v>36</v>
      </c>
      <c r="J62" s="32">
        <v>1774.74</v>
      </c>
      <c r="K62" s="32">
        <v>12423.18</v>
      </c>
    </row>
    <row r="63" spans="1:11" ht="15.5" hidden="1" x14ac:dyDescent="0.35">
      <c r="A63" s="31">
        <v>45257</v>
      </c>
      <c r="B63" s="32" t="s">
        <v>8</v>
      </c>
      <c r="C63" s="32" t="s">
        <v>9</v>
      </c>
      <c r="D63" s="32" t="s">
        <v>31</v>
      </c>
      <c r="E63" s="32" t="s">
        <v>18</v>
      </c>
      <c r="F63" s="32">
        <v>4</v>
      </c>
      <c r="G63" s="32">
        <v>1</v>
      </c>
      <c r="H63" s="32" t="s">
        <v>49</v>
      </c>
      <c r="I63" s="32">
        <v>50</v>
      </c>
      <c r="J63" s="32">
        <v>3459.33</v>
      </c>
      <c r="K63" s="32">
        <v>3459.33</v>
      </c>
    </row>
    <row r="64" spans="1:11" ht="15.5" hidden="1" x14ac:dyDescent="0.35">
      <c r="A64" s="31">
        <v>45247</v>
      </c>
      <c r="B64" s="32" t="s">
        <v>20</v>
      </c>
      <c r="C64" s="32" t="s">
        <v>21</v>
      </c>
      <c r="D64" s="32" t="s">
        <v>22</v>
      </c>
      <c r="E64" s="32" t="s">
        <v>27</v>
      </c>
      <c r="F64" s="32">
        <v>2</v>
      </c>
      <c r="G64" s="32">
        <v>13</v>
      </c>
      <c r="H64" s="32" t="s">
        <v>50</v>
      </c>
      <c r="I64" s="32">
        <v>42</v>
      </c>
      <c r="J64" s="32">
        <v>4339.46</v>
      </c>
      <c r="K64" s="32">
        <v>56412.98</v>
      </c>
    </row>
    <row r="65" spans="1:11" ht="15.5" hidden="1" x14ac:dyDescent="0.35">
      <c r="A65" s="31">
        <v>44965</v>
      </c>
      <c r="B65" s="32" t="s">
        <v>12</v>
      </c>
      <c r="C65" s="32" t="s">
        <v>13</v>
      </c>
      <c r="D65" s="32" t="s">
        <v>14</v>
      </c>
      <c r="E65" s="32" t="s">
        <v>18</v>
      </c>
      <c r="F65" s="32">
        <v>4</v>
      </c>
      <c r="G65" s="32">
        <v>17</v>
      </c>
      <c r="H65" s="32" t="s">
        <v>51</v>
      </c>
      <c r="I65" s="32">
        <v>22</v>
      </c>
      <c r="J65" s="32">
        <v>269.7</v>
      </c>
      <c r="K65" s="32">
        <v>4584.8999999999996</v>
      </c>
    </row>
    <row r="66" spans="1:11" ht="15.5" x14ac:dyDescent="0.35">
      <c r="A66" s="31">
        <v>45086</v>
      </c>
      <c r="B66" s="32" t="s">
        <v>12</v>
      </c>
      <c r="C66" s="32" t="s">
        <v>16</v>
      </c>
      <c r="D66" s="32" t="s">
        <v>17</v>
      </c>
      <c r="E66" s="32" t="s">
        <v>11</v>
      </c>
      <c r="F66" s="32">
        <v>5</v>
      </c>
      <c r="G66" s="32">
        <v>18</v>
      </c>
      <c r="H66" s="32" t="s">
        <v>52</v>
      </c>
      <c r="I66" s="32">
        <v>54</v>
      </c>
      <c r="J66" s="32">
        <v>4103.6099999999997</v>
      </c>
      <c r="K66" s="32">
        <v>73864.98</v>
      </c>
    </row>
    <row r="67" spans="1:11" ht="15.5" hidden="1" x14ac:dyDescent="0.35">
      <c r="A67" s="31">
        <v>45069</v>
      </c>
      <c r="B67" s="32" t="s">
        <v>8</v>
      </c>
      <c r="C67" s="32" t="s">
        <v>9</v>
      </c>
      <c r="D67" s="32" t="s">
        <v>23</v>
      </c>
      <c r="E67" s="32" t="s">
        <v>15</v>
      </c>
      <c r="F67" s="32">
        <v>1</v>
      </c>
      <c r="G67" s="32">
        <v>14</v>
      </c>
      <c r="H67" s="32" t="s">
        <v>53</v>
      </c>
      <c r="I67" s="32">
        <v>35</v>
      </c>
      <c r="J67" s="32">
        <v>2785.95</v>
      </c>
      <c r="K67" s="32">
        <v>39003.300000000003</v>
      </c>
    </row>
    <row r="68" spans="1:11" ht="15.5" x14ac:dyDescent="0.35">
      <c r="A68" s="31">
        <v>45062</v>
      </c>
      <c r="B68" s="32" t="s">
        <v>8</v>
      </c>
      <c r="C68" s="32" t="s">
        <v>9</v>
      </c>
      <c r="D68" s="32" t="s">
        <v>10</v>
      </c>
      <c r="E68" s="32" t="s">
        <v>11</v>
      </c>
      <c r="F68" s="32">
        <v>5</v>
      </c>
      <c r="G68" s="32">
        <v>15</v>
      </c>
      <c r="H68" s="32" t="s">
        <v>54</v>
      </c>
      <c r="I68" s="32">
        <v>46</v>
      </c>
      <c r="J68" s="32">
        <v>2330.62</v>
      </c>
      <c r="K68" s="32">
        <v>34959.300000000003</v>
      </c>
    </row>
    <row r="69" spans="1:11" ht="15.5" hidden="1" x14ac:dyDescent="0.35">
      <c r="A69" s="31">
        <v>45107</v>
      </c>
      <c r="B69" s="32" t="s">
        <v>8</v>
      </c>
      <c r="C69" s="32" t="s">
        <v>9</v>
      </c>
      <c r="D69" s="32" t="s">
        <v>31</v>
      </c>
      <c r="E69" s="32" t="s">
        <v>18</v>
      </c>
      <c r="F69" s="32">
        <v>4</v>
      </c>
      <c r="G69" s="32">
        <v>1</v>
      </c>
      <c r="H69" s="32" t="s">
        <v>55</v>
      </c>
      <c r="I69" s="32">
        <v>45</v>
      </c>
      <c r="J69" s="32">
        <v>3698.2</v>
      </c>
      <c r="K69" s="32">
        <v>3698.2</v>
      </c>
    </row>
    <row r="70" spans="1:11" ht="15.5" hidden="1" x14ac:dyDescent="0.35">
      <c r="A70" s="31">
        <v>45048</v>
      </c>
      <c r="B70" s="32" t="s">
        <v>12</v>
      </c>
      <c r="C70" s="32" t="s">
        <v>16</v>
      </c>
      <c r="D70" s="32" t="s">
        <v>25</v>
      </c>
      <c r="E70" s="32" t="s">
        <v>15</v>
      </c>
      <c r="F70" s="32">
        <v>1</v>
      </c>
      <c r="G70" s="32">
        <v>16</v>
      </c>
      <c r="H70" s="32" t="s">
        <v>56</v>
      </c>
      <c r="I70" s="32">
        <v>46</v>
      </c>
      <c r="J70" s="32">
        <v>3586.87</v>
      </c>
      <c r="K70" s="32">
        <v>57389.919999999998</v>
      </c>
    </row>
    <row r="71" spans="1:11" ht="15.5" hidden="1" x14ac:dyDescent="0.35">
      <c r="A71" s="31">
        <v>45011</v>
      </c>
      <c r="B71" s="32" t="s">
        <v>12</v>
      </c>
      <c r="C71" s="32" t="s">
        <v>13</v>
      </c>
      <c r="D71" s="32" t="s">
        <v>26</v>
      </c>
      <c r="E71" s="32" t="s">
        <v>15</v>
      </c>
      <c r="F71" s="32">
        <v>1</v>
      </c>
      <c r="G71" s="32">
        <v>4</v>
      </c>
      <c r="H71" s="32" t="s">
        <v>57</v>
      </c>
      <c r="I71" s="32">
        <v>28</v>
      </c>
      <c r="J71" s="32">
        <v>1434.97</v>
      </c>
      <c r="K71" s="32">
        <v>5739.88</v>
      </c>
    </row>
    <row r="72" spans="1:11" ht="15.5" hidden="1" x14ac:dyDescent="0.35">
      <c r="A72" s="31">
        <v>44935</v>
      </c>
      <c r="B72" s="32" t="s">
        <v>12</v>
      </c>
      <c r="C72" s="32" t="s">
        <v>16</v>
      </c>
      <c r="D72" s="32" t="s">
        <v>19</v>
      </c>
      <c r="E72" s="32" t="s">
        <v>15</v>
      </c>
      <c r="F72" s="32">
        <v>1</v>
      </c>
      <c r="G72" s="32">
        <v>18</v>
      </c>
      <c r="H72" s="32" t="s">
        <v>58</v>
      </c>
      <c r="I72" s="32">
        <v>32</v>
      </c>
      <c r="J72" s="32">
        <v>4168.59</v>
      </c>
      <c r="K72" s="32">
        <v>75034.62</v>
      </c>
    </row>
    <row r="73" spans="1:11" ht="15.5" hidden="1" x14ac:dyDescent="0.35">
      <c r="A73" s="31">
        <v>45187</v>
      </c>
      <c r="B73" s="32" t="s">
        <v>12</v>
      </c>
      <c r="C73" s="32" t="s">
        <v>16</v>
      </c>
      <c r="D73" s="32" t="s">
        <v>19</v>
      </c>
      <c r="E73" s="32" t="s">
        <v>24</v>
      </c>
      <c r="F73" s="32">
        <v>3</v>
      </c>
      <c r="G73" s="32">
        <v>7</v>
      </c>
      <c r="H73" s="32" t="s">
        <v>59</v>
      </c>
      <c r="I73" s="32">
        <v>50</v>
      </c>
      <c r="J73" s="32">
        <v>2706.33</v>
      </c>
      <c r="K73" s="32">
        <v>18944.310000000001</v>
      </c>
    </row>
    <row r="74" spans="1:11" ht="15.5" hidden="1" x14ac:dyDescent="0.35">
      <c r="A74" s="31">
        <v>45027</v>
      </c>
      <c r="B74" s="32" t="s">
        <v>8</v>
      </c>
      <c r="C74" s="32" t="s">
        <v>28</v>
      </c>
      <c r="D74" s="32" t="s">
        <v>30</v>
      </c>
      <c r="E74" s="32" t="s">
        <v>18</v>
      </c>
      <c r="F74" s="32">
        <v>4</v>
      </c>
      <c r="G74" s="32">
        <v>6</v>
      </c>
      <c r="H74" s="32" t="s">
        <v>48</v>
      </c>
      <c r="I74" s="32">
        <v>52</v>
      </c>
      <c r="J74" s="32">
        <v>4042.16</v>
      </c>
      <c r="K74" s="32">
        <v>24252.959999999999</v>
      </c>
    </row>
    <row r="75" spans="1:11" ht="15.5" hidden="1" x14ac:dyDescent="0.35">
      <c r="A75" s="31">
        <v>45199</v>
      </c>
      <c r="B75" s="32" t="s">
        <v>12</v>
      </c>
      <c r="C75" s="32" t="s">
        <v>16</v>
      </c>
      <c r="D75" s="32" t="s">
        <v>25</v>
      </c>
      <c r="E75" s="32" t="s">
        <v>24</v>
      </c>
      <c r="F75" s="32">
        <v>3</v>
      </c>
      <c r="G75" s="32">
        <v>10</v>
      </c>
      <c r="H75" s="32" t="s">
        <v>49</v>
      </c>
      <c r="I75" s="32">
        <v>53</v>
      </c>
      <c r="J75" s="32">
        <v>4496.3900000000003</v>
      </c>
      <c r="K75" s="32">
        <v>44963.9</v>
      </c>
    </row>
    <row r="76" spans="1:11" ht="15.5" hidden="1" x14ac:dyDescent="0.35">
      <c r="A76" s="31">
        <v>45278</v>
      </c>
      <c r="B76" s="32" t="s">
        <v>12</v>
      </c>
      <c r="C76" s="32" t="s">
        <v>16</v>
      </c>
      <c r="D76" s="32" t="s">
        <v>17</v>
      </c>
      <c r="E76" s="32" t="s">
        <v>18</v>
      </c>
      <c r="F76" s="32">
        <v>4</v>
      </c>
      <c r="G76" s="32">
        <v>9</v>
      </c>
      <c r="H76" s="32" t="s">
        <v>50</v>
      </c>
      <c r="I76" s="32">
        <v>23</v>
      </c>
      <c r="J76" s="32">
        <v>4638.57</v>
      </c>
      <c r="K76" s="32">
        <v>41747.129999999997</v>
      </c>
    </row>
    <row r="77" spans="1:11" ht="15.5" x14ac:dyDescent="0.35">
      <c r="A77" s="31">
        <v>45107</v>
      </c>
      <c r="B77" s="32" t="s">
        <v>8</v>
      </c>
      <c r="C77" s="32" t="s">
        <v>9</v>
      </c>
      <c r="D77" s="32" t="s">
        <v>23</v>
      </c>
      <c r="E77" s="32" t="s">
        <v>11</v>
      </c>
      <c r="F77" s="32">
        <v>5</v>
      </c>
      <c r="G77" s="32">
        <v>16</v>
      </c>
      <c r="H77" s="32" t="s">
        <v>51</v>
      </c>
      <c r="I77" s="32">
        <v>51</v>
      </c>
      <c r="J77" s="32">
        <v>494.05</v>
      </c>
      <c r="K77" s="32">
        <v>7904.8</v>
      </c>
    </row>
    <row r="78" spans="1:11" ht="15.5" hidden="1" x14ac:dyDescent="0.35">
      <c r="A78" s="31">
        <v>44932</v>
      </c>
      <c r="B78" s="32" t="s">
        <v>12</v>
      </c>
      <c r="C78" s="32" t="s">
        <v>13</v>
      </c>
      <c r="D78" s="32" t="s">
        <v>26</v>
      </c>
      <c r="E78" s="32" t="s">
        <v>27</v>
      </c>
      <c r="F78" s="32">
        <v>2</v>
      </c>
      <c r="G78" s="32">
        <v>12</v>
      </c>
      <c r="H78" s="32" t="s">
        <v>52</v>
      </c>
      <c r="I78" s="32">
        <v>17</v>
      </c>
      <c r="J78" s="32">
        <v>1061.49</v>
      </c>
      <c r="K78" s="32">
        <v>12737.88</v>
      </c>
    </row>
    <row r="79" spans="1:11" ht="15.5" hidden="1" x14ac:dyDescent="0.35">
      <c r="A79" s="31">
        <v>45257</v>
      </c>
      <c r="B79" s="32" t="s">
        <v>12</v>
      </c>
      <c r="C79" s="32" t="s">
        <v>13</v>
      </c>
      <c r="D79" s="32" t="s">
        <v>33</v>
      </c>
      <c r="E79" s="32" t="s">
        <v>18</v>
      </c>
      <c r="F79" s="32">
        <v>4</v>
      </c>
      <c r="G79" s="32">
        <v>16</v>
      </c>
      <c r="H79" s="32" t="s">
        <v>53</v>
      </c>
      <c r="I79" s="32">
        <v>25</v>
      </c>
      <c r="J79" s="32">
        <v>795.17</v>
      </c>
      <c r="K79" s="32">
        <v>12722.72</v>
      </c>
    </row>
    <row r="80" spans="1:11" ht="15.5" x14ac:dyDescent="0.35">
      <c r="A80" s="31">
        <v>45104</v>
      </c>
      <c r="B80" s="32" t="s">
        <v>12</v>
      </c>
      <c r="C80" s="32" t="s">
        <v>16</v>
      </c>
      <c r="D80" s="32" t="s">
        <v>17</v>
      </c>
      <c r="E80" s="32" t="s">
        <v>11</v>
      </c>
      <c r="F80" s="32">
        <v>5</v>
      </c>
      <c r="G80" s="32">
        <v>14</v>
      </c>
      <c r="H80" s="32" t="s">
        <v>54</v>
      </c>
      <c r="I80" s="32">
        <v>19</v>
      </c>
      <c r="J80" s="32">
        <v>771.61</v>
      </c>
      <c r="K80" s="32">
        <v>10802.54</v>
      </c>
    </row>
    <row r="81" spans="1:11" ht="15.5" x14ac:dyDescent="0.35">
      <c r="A81" s="31">
        <v>44934</v>
      </c>
      <c r="B81" s="32" t="s">
        <v>8</v>
      </c>
      <c r="C81" s="32" t="s">
        <v>9</v>
      </c>
      <c r="D81" s="32" t="s">
        <v>31</v>
      </c>
      <c r="E81" s="32" t="s">
        <v>11</v>
      </c>
      <c r="F81" s="32">
        <v>5</v>
      </c>
      <c r="G81" s="32">
        <v>16</v>
      </c>
      <c r="H81" s="32" t="s">
        <v>55</v>
      </c>
      <c r="I81" s="32">
        <v>45</v>
      </c>
      <c r="J81" s="32">
        <v>3702.43</v>
      </c>
      <c r="K81" s="32">
        <v>59238.879999999997</v>
      </c>
    </row>
    <row r="82" spans="1:11" ht="15.5" x14ac:dyDescent="0.35">
      <c r="A82" s="31">
        <v>45021</v>
      </c>
      <c r="B82" s="32" t="s">
        <v>12</v>
      </c>
      <c r="C82" s="32" t="s">
        <v>13</v>
      </c>
      <c r="D82" s="32" t="s">
        <v>14</v>
      </c>
      <c r="E82" s="32" t="s">
        <v>11</v>
      </c>
      <c r="F82" s="32">
        <v>5</v>
      </c>
      <c r="G82" s="32">
        <v>4</v>
      </c>
      <c r="H82" s="32" t="s">
        <v>56</v>
      </c>
      <c r="I82" s="32">
        <v>51</v>
      </c>
      <c r="J82" s="32">
        <v>1456.19</v>
      </c>
      <c r="K82" s="32">
        <v>5824.76</v>
      </c>
    </row>
    <row r="83" spans="1:11" ht="15.5" hidden="1" x14ac:dyDescent="0.35">
      <c r="A83" s="31">
        <v>45112</v>
      </c>
      <c r="B83" s="32" t="s">
        <v>12</v>
      </c>
      <c r="C83" s="32" t="s">
        <v>16</v>
      </c>
      <c r="D83" s="32" t="s">
        <v>25</v>
      </c>
      <c r="E83" s="32" t="s">
        <v>18</v>
      </c>
      <c r="F83" s="32">
        <v>4</v>
      </c>
      <c r="G83" s="32">
        <v>14</v>
      </c>
      <c r="H83" s="32" t="s">
        <v>57</v>
      </c>
      <c r="I83" s="32">
        <v>54</v>
      </c>
      <c r="J83" s="32">
        <v>2808.58</v>
      </c>
      <c r="K83" s="32">
        <v>39320.120000000003</v>
      </c>
    </row>
    <row r="84" spans="1:11" ht="15.5" x14ac:dyDescent="0.35">
      <c r="A84" s="31">
        <v>45208</v>
      </c>
      <c r="B84" s="32" t="s">
        <v>8</v>
      </c>
      <c r="C84" s="32" t="s">
        <v>9</v>
      </c>
      <c r="D84" s="32" t="s">
        <v>10</v>
      </c>
      <c r="E84" s="32" t="s">
        <v>11</v>
      </c>
      <c r="F84" s="32">
        <v>5</v>
      </c>
      <c r="G84" s="32">
        <v>4</v>
      </c>
      <c r="H84" s="32" t="s">
        <v>58</v>
      </c>
      <c r="I84" s="32">
        <v>46</v>
      </c>
      <c r="J84" s="32">
        <v>1640.54</v>
      </c>
      <c r="K84" s="32">
        <v>6562.16</v>
      </c>
    </row>
    <row r="85" spans="1:11" ht="15.5" x14ac:dyDescent="0.35">
      <c r="A85" s="31">
        <v>45239</v>
      </c>
      <c r="B85" s="32" t="s">
        <v>12</v>
      </c>
      <c r="C85" s="32" t="s">
        <v>16</v>
      </c>
      <c r="D85" s="32" t="s">
        <v>17</v>
      </c>
      <c r="E85" s="32" t="s">
        <v>11</v>
      </c>
      <c r="F85" s="32">
        <v>5</v>
      </c>
      <c r="G85" s="32">
        <v>15</v>
      </c>
      <c r="H85" s="32" t="s">
        <v>59</v>
      </c>
      <c r="I85" s="32">
        <v>21</v>
      </c>
      <c r="J85" s="32">
        <v>3909.42</v>
      </c>
      <c r="K85" s="32">
        <v>58641.3</v>
      </c>
    </row>
    <row r="86" spans="1:11" ht="15.5" hidden="1" x14ac:dyDescent="0.35">
      <c r="A86" s="31">
        <v>45155</v>
      </c>
      <c r="B86" s="32" t="s">
        <v>12</v>
      </c>
      <c r="C86" s="32" t="s">
        <v>13</v>
      </c>
      <c r="D86" s="32" t="s">
        <v>26</v>
      </c>
      <c r="E86" s="32" t="s">
        <v>15</v>
      </c>
      <c r="F86" s="32">
        <v>1</v>
      </c>
      <c r="G86" s="32">
        <v>17</v>
      </c>
      <c r="H86" s="32" t="s">
        <v>48</v>
      </c>
      <c r="I86" s="32">
        <v>39</v>
      </c>
      <c r="J86" s="32">
        <v>4517.78</v>
      </c>
      <c r="K86" s="32">
        <v>76802.259999999995</v>
      </c>
    </row>
    <row r="87" spans="1:11" ht="15.5" hidden="1" x14ac:dyDescent="0.35">
      <c r="A87" s="31">
        <v>45150</v>
      </c>
      <c r="B87" s="32" t="s">
        <v>8</v>
      </c>
      <c r="C87" s="32" t="s">
        <v>9</v>
      </c>
      <c r="D87" s="32" t="s">
        <v>31</v>
      </c>
      <c r="E87" s="32" t="s">
        <v>24</v>
      </c>
      <c r="F87" s="32">
        <v>3</v>
      </c>
      <c r="G87" s="32">
        <v>5</v>
      </c>
      <c r="H87" s="32" t="s">
        <v>49</v>
      </c>
      <c r="I87" s="32">
        <v>29</v>
      </c>
      <c r="J87" s="32">
        <v>4198.97</v>
      </c>
      <c r="K87" s="32">
        <v>20994.85</v>
      </c>
    </row>
    <row r="88" spans="1:11" ht="15.5" hidden="1" x14ac:dyDescent="0.35">
      <c r="A88" s="31">
        <v>45266</v>
      </c>
      <c r="B88" s="32" t="s">
        <v>8</v>
      </c>
      <c r="C88" s="32" t="s">
        <v>28</v>
      </c>
      <c r="D88" s="32" t="s">
        <v>30</v>
      </c>
      <c r="E88" s="32" t="s">
        <v>24</v>
      </c>
      <c r="F88" s="32">
        <v>3</v>
      </c>
      <c r="G88" s="32">
        <v>14</v>
      </c>
      <c r="H88" s="32" t="s">
        <v>50</v>
      </c>
      <c r="I88" s="32">
        <v>46</v>
      </c>
      <c r="J88" s="32">
        <v>4839.1099999999997</v>
      </c>
      <c r="K88" s="32">
        <v>67747.539999999994</v>
      </c>
    </row>
    <row r="89" spans="1:11" ht="15.5" x14ac:dyDescent="0.35">
      <c r="A89" s="31">
        <v>45042</v>
      </c>
      <c r="B89" s="32" t="s">
        <v>8</v>
      </c>
      <c r="C89" s="32" t="s">
        <v>9</v>
      </c>
      <c r="D89" s="32" t="s">
        <v>23</v>
      </c>
      <c r="E89" s="32" t="s">
        <v>11</v>
      </c>
      <c r="F89" s="32">
        <v>5</v>
      </c>
      <c r="G89" s="32">
        <v>18</v>
      </c>
      <c r="H89" s="32" t="s">
        <v>51</v>
      </c>
      <c r="I89" s="32">
        <v>28</v>
      </c>
      <c r="J89" s="32">
        <v>4022.66</v>
      </c>
      <c r="K89" s="32">
        <v>72407.88</v>
      </c>
    </row>
    <row r="90" spans="1:11" ht="15.5" hidden="1" x14ac:dyDescent="0.35">
      <c r="A90" s="31">
        <v>45137</v>
      </c>
      <c r="B90" s="32" t="s">
        <v>8</v>
      </c>
      <c r="C90" s="32" t="s">
        <v>28</v>
      </c>
      <c r="D90" s="32" t="s">
        <v>32</v>
      </c>
      <c r="E90" s="32" t="s">
        <v>27</v>
      </c>
      <c r="F90" s="32">
        <v>2</v>
      </c>
      <c r="G90" s="32">
        <v>11</v>
      </c>
      <c r="H90" s="32" t="s">
        <v>52</v>
      </c>
      <c r="I90" s="32">
        <v>19</v>
      </c>
      <c r="J90" s="32">
        <v>1798.54</v>
      </c>
      <c r="K90" s="32">
        <v>19783.939999999999</v>
      </c>
    </row>
    <row r="91" spans="1:11" ht="15.5" hidden="1" x14ac:dyDescent="0.35">
      <c r="A91" s="31">
        <v>45175</v>
      </c>
      <c r="B91" s="32" t="s">
        <v>8</v>
      </c>
      <c r="C91" s="32" t="s">
        <v>28</v>
      </c>
      <c r="D91" s="32" t="s">
        <v>30</v>
      </c>
      <c r="E91" s="32" t="s">
        <v>15</v>
      </c>
      <c r="F91" s="32">
        <v>1</v>
      </c>
      <c r="G91" s="32">
        <v>10</v>
      </c>
      <c r="H91" s="32" t="s">
        <v>53</v>
      </c>
      <c r="I91" s="32">
        <v>18</v>
      </c>
      <c r="J91" s="32">
        <v>3205.57</v>
      </c>
      <c r="K91" s="32">
        <v>32055.7</v>
      </c>
    </row>
    <row r="92" spans="1:11" ht="15.5" x14ac:dyDescent="0.35">
      <c r="A92" s="31">
        <v>45266</v>
      </c>
      <c r="B92" s="32" t="s">
        <v>12</v>
      </c>
      <c r="C92" s="32" t="s">
        <v>16</v>
      </c>
      <c r="D92" s="32" t="s">
        <v>25</v>
      </c>
      <c r="E92" s="32" t="s">
        <v>11</v>
      </c>
      <c r="F92" s="32">
        <v>5</v>
      </c>
      <c r="G92" s="32">
        <v>5</v>
      </c>
      <c r="H92" s="32" t="s">
        <v>54</v>
      </c>
      <c r="I92" s="32">
        <v>51</v>
      </c>
      <c r="J92" s="32">
        <v>4987.84</v>
      </c>
      <c r="K92" s="32">
        <v>24939.200000000001</v>
      </c>
    </row>
    <row r="93" spans="1:11" ht="15.5" hidden="1" x14ac:dyDescent="0.35">
      <c r="A93" s="31">
        <v>44946</v>
      </c>
      <c r="B93" s="32" t="s">
        <v>12</v>
      </c>
      <c r="C93" s="32" t="s">
        <v>16</v>
      </c>
      <c r="D93" s="32" t="s">
        <v>25</v>
      </c>
      <c r="E93" s="32" t="s">
        <v>24</v>
      </c>
      <c r="F93" s="32">
        <v>3</v>
      </c>
      <c r="G93" s="32">
        <v>14</v>
      </c>
      <c r="H93" s="32" t="s">
        <v>55</v>
      </c>
      <c r="I93" s="32">
        <v>38</v>
      </c>
      <c r="J93" s="32">
        <v>1507.19</v>
      </c>
      <c r="K93" s="32">
        <v>21100.66</v>
      </c>
    </row>
    <row r="94" spans="1:11" ht="15.5" x14ac:dyDescent="0.35">
      <c r="A94" s="31">
        <v>45219</v>
      </c>
      <c r="B94" s="32" t="s">
        <v>8</v>
      </c>
      <c r="C94" s="32" t="s">
        <v>9</v>
      </c>
      <c r="D94" s="32" t="s">
        <v>10</v>
      </c>
      <c r="E94" s="32" t="s">
        <v>11</v>
      </c>
      <c r="F94" s="32">
        <v>5</v>
      </c>
      <c r="G94" s="32">
        <v>17</v>
      </c>
      <c r="H94" s="32" t="s">
        <v>56</v>
      </c>
      <c r="I94" s="32">
        <v>52</v>
      </c>
      <c r="J94" s="32">
        <v>3490.72</v>
      </c>
      <c r="K94" s="32">
        <v>59342.239999999998</v>
      </c>
    </row>
    <row r="95" spans="1:11" ht="15.5" hidden="1" x14ac:dyDescent="0.35">
      <c r="A95" s="31">
        <v>45026</v>
      </c>
      <c r="B95" s="32" t="s">
        <v>12</v>
      </c>
      <c r="C95" s="32" t="s">
        <v>16</v>
      </c>
      <c r="D95" s="32" t="s">
        <v>25</v>
      </c>
      <c r="E95" s="32" t="s">
        <v>15</v>
      </c>
      <c r="F95" s="32">
        <v>1</v>
      </c>
      <c r="G95" s="32">
        <v>5</v>
      </c>
      <c r="H95" s="32" t="s">
        <v>57</v>
      </c>
      <c r="I95" s="32">
        <v>28</v>
      </c>
      <c r="J95" s="32">
        <v>3786.28</v>
      </c>
      <c r="K95" s="32">
        <v>18931.400000000001</v>
      </c>
    </row>
    <row r="96" spans="1:11" ht="15.5" hidden="1" x14ac:dyDescent="0.35">
      <c r="A96" s="31">
        <v>44974</v>
      </c>
      <c r="B96" s="32" t="s">
        <v>12</v>
      </c>
      <c r="C96" s="32" t="s">
        <v>13</v>
      </c>
      <c r="D96" s="32" t="s">
        <v>26</v>
      </c>
      <c r="E96" s="32" t="s">
        <v>18</v>
      </c>
      <c r="F96" s="32">
        <v>4</v>
      </c>
      <c r="G96" s="32">
        <v>10</v>
      </c>
      <c r="H96" s="32" t="s">
        <v>58</v>
      </c>
      <c r="I96" s="32">
        <v>22</v>
      </c>
      <c r="J96" s="32">
        <v>4196.24</v>
      </c>
      <c r="K96" s="32">
        <v>41962.400000000001</v>
      </c>
    </row>
    <row r="97" spans="1:11" ht="15.5" hidden="1" x14ac:dyDescent="0.35">
      <c r="A97" s="31">
        <v>44974</v>
      </c>
      <c r="B97" s="32" t="s">
        <v>12</v>
      </c>
      <c r="C97" s="32" t="s">
        <v>13</v>
      </c>
      <c r="D97" s="32" t="s">
        <v>33</v>
      </c>
      <c r="E97" s="32" t="s">
        <v>18</v>
      </c>
      <c r="F97" s="32">
        <v>4</v>
      </c>
      <c r="G97" s="32">
        <v>4</v>
      </c>
      <c r="H97" s="32" t="s">
        <v>59</v>
      </c>
      <c r="I97" s="32">
        <v>45</v>
      </c>
      <c r="J97" s="32">
        <v>1493.04</v>
      </c>
      <c r="K97" s="32">
        <v>5972.16</v>
      </c>
    </row>
    <row r="98" spans="1:11" ht="15.5" hidden="1" x14ac:dyDescent="0.35">
      <c r="A98" s="31">
        <v>45224</v>
      </c>
      <c r="B98" s="32" t="s">
        <v>20</v>
      </c>
      <c r="C98" s="32" t="s">
        <v>21</v>
      </c>
      <c r="D98" s="32" t="s">
        <v>35</v>
      </c>
      <c r="E98" s="32" t="s">
        <v>24</v>
      </c>
      <c r="F98" s="32">
        <v>3</v>
      </c>
      <c r="G98" s="32">
        <v>16</v>
      </c>
      <c r="H98" s="32" t="s">
        <v>48</v>
      </c>
      <c r="I98" s="32">
        <v>42</v>
      </c>
      <c r="J98" s="32">
        <v>2502.5700000000002</v>
      </c>
      <c r="K98" s="32">
        <v>40041.120000000003</v>
      </c>
    </row>
    <row r="99" spans="1:11" ht="15.5" hidden="1" x14ac:dyDescent="0.35">
      <c r="A99" s="31">
        <v>45052</v>
      </c>
      <c r="B99" s="32" t="s">
        <v>12</v>
      </c>
      <c r="C99" s="32" t="s">
        <v>16</v>
      </c>
      <c r="D99" s="32" t="s">
        <v>25</v>
      </c>
      <c r="E99" s="32" t="s">
        <v>18</v>
      </c>
      <c r="F99" s="32">
        <v>4</v>
      </c>
      <c r="G99" s="32">
        <v>19</v>
      </c>
      <c r="H99" s="32" t="s">
        <v>49</v>
      </c>
      <c r="I99" s="32">
        <v>27</v>
      </c>
      <c r="J99" s="32">
        <v>548.70000000000005</v>
      </c>
      <c r="K99" s="32">
        <v>10425.299999999999</v>
      </c>
    </row>
    <row r="100" spans="1:11" ht="15.5" hidden="1" x14ac:dyDescent="0.35">
      <c r="A100" s="31">
        <v>45149</v>
      </c>
      <c r="B100" s="32" t="s">
        <v>12</v>
      </c>
      <c r="C100" s="32" t="s">
        <v>16</v>
      </c>
      <c r="D100" s="32" t="s">
        <v>19</v>
      </c>
      <c r="E100" s="32" t="s">
        <v>15</v>
      </c>
      <c r="F100" s="32">
        <v>1</v>
      </c>
      <c r="G100" s="32">
        <v>19</v>
      </c>
      <c r="H100" s="32" t="s">
        <v>50</v>
      </c>
      <c r="I100" s="32">
        <v>31</v>
      </c>
      <c r="J100" s="32">
        <v>1309.6500000000001</v>
      </c>
      <c r="K100" s="32">
        <v>24883.35</v>
      </c>
    </row>
    <row r="101" spans="1:11" ht="15.5" x14ac:dyDescent="0.35">
      <c r="A101" s="31">
        <v>45130</v>
      </c>
      <c r="B101" s="32" t="s">
        <v>8</v>
      </c>
      <c r="C101" s="32" t="s">
        <v>9</v>
      </c>
      <c r="D101" s="32" t="s">
        <v>23</v>
      </c>
      <c r="E101" s="32" t="s">
        <v>11</v>
      </c>
      <c r="F101" s="32">
        <v>5</v>
      </c>
      <c r="G101" s="32">
        <v>2</v>
      </c>
      <c r="H101" s="32" t="s">
        <v>51</v>
      </c>
      <c r="I101" s="32">
        <v>46</v>
      </c>
      <c r="J101" s="32">
        <v>741.33</v>
      </c>
      <c r="K101" s="32">
        <v>1482.66</v>
      </c>
    </row>
    <row r="102" spans="1:11" ht="15.5" hidden="1" x14ac:dyDescent="0.35">
      <c r="A102" s="31">
        <v>45150</v>
      </c>
      <c r="B102" s="32" t="s">
        <v>8</v>
      </c>
      <c r="C102" s="32" t="s">
        <v>9</v>
      </c>
      <c r="D102" s="32" t="s">
        <v>10</v>
      </c>
      <c r="E102" s="32" t="s">
        <v>24</v>
      </c>
      <c r="F102" s="32">
        <v>3</v>
      </c>
      <c r="G102" s="32">
        <v>3</v>
      </c>
      <c r="H102" s="32" t="s">
        <v>52</v>
      </c>
      <c r="I102" s="32">
        <v>25</v>
      </c>
      <c r="J102" s="32">
        <v>3957.38</v>
      </c>
      <c r="K102" s="32">
        <v>11872.14</v>
      </c>
    </row>
    <row r="103" spans="1:11" ht="15.5" hidden="1" x14ac:dyDescent="0.35">
      <c r="A103" s="31">
        <v>44939</v>
      </c>
      <c r="B103" s="32" t="s">
        <v>8</v>
      </c>
      <c r="C103" s="32" t="s">
        <v>9</v>
      </c>
      <c r="D103" s="32" t="s">
        <v>31</v>
      </c>
      <c r="E103" s="32" t="s">
        <v>15</v>
      </c>
      <c r="F103" s="32">
        <v>1</v>
      </c>
      <c r="G103" s="32">
        <v>18</v>
      </c>
      <c r="H103" s="32" t="s">
        <v>53</v>
      </c>
      <c r="I103" s="32">
        <v>22</v>
      </c>
      <c r="J103" s="32">
        <v>2777.65</v>
      </c>
      <c r="K103" s="32">
        <v>49997.7</v>
      </c>
    </row>
    <row r="104" spans="1:11" ht="15.5" hidden="1" x14ac:dyDescent="0.35">
      <c r="A104" s="31">
        <v>45078</v>
      </c>
      <c r="B104" s="32" t="s">
        <v>8</v>
      </c>
      <c r="C104" s="32" t="s">
        <v>28</v>
      </c>
      <c r="D104" s="32" t="s">
        <v>32</v>
      </c>
      <c r="E104" s="32" t="s">
        <v>18</v>
      </c>
      <c r="F104" s="32">
        <v>4</v>
      </c>
      <c r="G104" s="32">
        <v>15</v>
      </c>
      <c r="H104" s="32" t="s">
        <v>54</v>
      </c>
      <c r="I104" s="32">
        <v>39</v>
      </c>
      <c r="J104" s="32">
        <v>2586.8000000000002</v>
      </c>
      <c r="K104" s="32">
        <v>38802</v>
      </c>
    </row>
    <row r="105" spans="1:11" ht="15.5" hidden="1" x14ac:dyDescent="0.35">
      <c r="A105" s="31">
        <v>45184</v>
      </c>
      <c r="B105" s="32" t="s">
        <v>12</v>
      </c>
      <c r="C105" s="32" t="s">
        <v>13</v>
      </c>
      <c r="D105" s="32" t="s">
        <v>14</v>
      </c>
      <c r="E105" s="32" t="s">
        <v>15</v>
      </c>
      <c r="F105" s="32">
        <v>1</v>
      </c>
      <c r="G105" s="32">
        <v>13</v>
      </c>
      <c r="H105" s="32" t="s">
        <v>55</v>
      </c>
      <c r="I105" s="32">
        <v>42</v>
      </c>
      <c r="J105" s="32">
        <v>4337.22</v>
      </c>
      <c r="K105" s="32">
        <v>56383.86</v>
      </c>
    </row>
    <row r="106" spans="1:11" ht="15.5" hidden="1" x14ac:dyDescent="0.35">
      <c r="A106" s="31">
        <v>45195</v>
      </c>
      <c r="B106" s="32" t="s">
        <v>12</v>
      </c>
      <c r="C106" s="32" t="s">
        <v>16</v>
      </c>
      <c r="D106" s="32" t="s">
        <v>17</v>
      </c>
      <c r="E106" s="32" t="s">
        <v>18</v>
      </c>
      <c r="F106" s="32">
        <v>4</v>
      </c>
      <c r="G106" s="32">
        <v>5</v>
      </c>
      <c r="H106" s="32" t="s">
        <v>56</v>
      </c>
      <c r="I106" s="32">
        <v>34</v>
      </c>
      <c r="J106" s="32">
        <v>4499.88</v>
      </c>
      <c r="K106" s="32">
        <v>22499.4</v>
      </c>
    </row>
    <row r="107" spans="1:11" ht="15.5" x14ac:dyDescent="0.35">
      <c r="A107" s="31">
        <v>45244</v>
      </c>
      <c r="B107" s="32" t="s">
        <v>8</v>
      </c>
      <c r="C107" s="32" t="s">
        <v>9</v>
      </c>
      <c r="D107" s="32" t="s">
        <v>23</v>
      </c>
      <c r="E107" s="32" t="s">
        <v>11</v>
      </c>
      <c r="F107" s="32">
        <v>5</v>
      </c>
      <c r="G107" s="32">
        <v>13</v>
      </c>
      <c r="H107" s="32" t="s">
        <v>57</v>
      </c>
      <c r="I107" s="32">
        <v>53</v>
      </c>
      <c r="J107" s="32">
        <v>4357.0200000000004</v>
      </c>
      <c r="K107" s="32">
        <v>56641.26</v>
      </c>
    </row>
    <row r="108" spans="1:11" ht="15.5" hidden="1" x14ac:dyDescent="0.35">
      <c r="A108" s="31">
        <v>44949</v>
      </c>
      <c r="B108" s="32" t="s">
        <v>8</v>
      </c>
      <c r="C108" s="32" t="s">
        <v>9</v>
      </c>
      <c r="D108" s="32" t="s">
        <v>10</v>
      </c>
      <c r="E108" s="32" t="s">
        <v>15</v>
      </c>
      <c r="F108" s="32">
        <v>1</v>
      </c>
      <c r="G108" s="32">
        <v>9</v>
      </c>
      <c r="H108" s="32" t="s">
        <v>58</v>
      </c>
      <c r="I108" s="32">
        <v>21</v>
      </c>
      <c r="J108" s="32">
        <v>808.93</v>
      </c>
      <c r="K108" s="32">
        <v>7280.37</v>
      </c>
    </row>
    <row r="109" spans="1:11" ht="15.5" x14ac:dyDescent="0.35">
      <c r="A109" s="31">
        <v>44962</v>
      </c>
      <c r="B109" s="32" t="s">
        <v>8</v>
      </c>
      <c r="C109" s="32" t="s">
        <v>9</v>
      </c>
      <c r="D109" s="32" t="s">
        <v>31</v>
      </c>
      <c r="E109" s="32" t="s">
        <v>11</v>
      </c>
      <c r="F109" s="32">
        <v>5</v>
      </c>
      <c r="G109" s="32">
        <v>9</v>
      </c>
      <c r="H109" s="32" t="s">
        <v>59</v>
      </c>
      <c r="I109" s="32">
        <v>25</v>
      </c>
      <c r="J109" s="32">
        <v>2267.7199999999998</v>
      </c>
      <c r="K109" s="32">
        <v>20409.48</v>
      </c>
    </row>
    <row r="110" spans="1:11" ht="15.5" hidden="1" x14ac:dyDescent="0.35">
      <c r="A110" s="31">
        <v>45206</v>
      </c>
      <c r="B110" s="32" t="s">
        <v>12</v>
      </c>
      <c r="C110" s="32" t="s">
        <v>13</v>
      </c>
      <c r="D110" s="32" t="s">
        <v>33</v>
      </c>
      <c r="E110" s="32" t="s">
        <v>27</v>
      </c>
      <c r="F110" s="32">
        <v>2</v>
      </c>
      <c r="G110" s="32">
        <v>13</v>
      </c>
      <c r="H110" s="32" t="s">
        <v>48</v>
      </c>
      <c r="I110" s="32">
        <v>36</v>
      </c>
      <c r="J110" s="32">
        <v>2238.96</v>
      </c>
      <c r="K110" s="32">
        <v>29106.48</v>
      </c>
    </row>
    <row r="111" spans="1:11" ht="15.5" x14ac:dyDescent="0.35">
      <c r="A111" s="31">
        <v>45183</v>
      </c>
      <c r="B111" s="32" t="s">
        <v>8</v>
      </c>
      <c r="C111" s="32" t="s">
        <v>28</v>
      </c>
      <c r="D111" s="32" t="s">
        <v>32</v>
      </c>
      <c r="E111" s="32" t="s">
        <v>11</v>
      </c>
      <c r="F111" s="32">
        <v>5</v>
      </c>
      <c r="G111" s="32">
        <v>3</v>
      </c>
      <c r="H111" s="32" t="s">
        <v>49</v>
      </c>
      <c r="I111" s="32">
        <v>20</v>
      </c>
      <c r="J111" s="32">
        <v>4195.66</v>
      </c>
      <c r="K111" s="32">
        <v>12586.98</v>
      </c>
    </row>
    <row r="112" spans="1:11" ht="15.5" hidden="1" x14ac:dyDescent="0.35">
      <c r="A112" s="31">
        <v>45046</v>
      </c>
      <c r="B112" s="32" t="s">
        <v>20</v>
      </c>
      <c r="C112" s="32" t="s">
        <v>21</v>
      </c>
      <c r="D112" s="32" t="s">
        <v>34</v>
      </c>
      <c r="E112" s="32" t="s">
        <v>24</v>
      </c>
      <c r="F112" s="32">
        <v>3</v>
      </c>
      <c r="G112" s="32">
        <v>6</v>
      </c>
      <c r="H112" s="32" t="s">
        <v>50</v>
      </c>
      <c r="I112" s="32">
        <v>46</v>
      </c>
      <c r="J112" s="32">
        <v>1508.35</v>
      </c>
      <c r="K112" s="32">
        <v>9050.1</v>
      </c>
    </row>
    <row r="113" spans="1:11" ht="15.5" hidden="1" x14ac:dyDescent="0.35">
      <c r="A113" s="31">
        <v>44953</v>
      </c>
      <c r="B113" s="32" t="s">
        <v>20</v>
      </c>
      <c r="C113" s="32" t="s">
        <v>21</v>
      </c>
      <c r="D113" s="32" t="s">
        <v>34</v>
      </c>
      <c r="E113" s="32" t="s">
        <v>24</v>
      </c>
      <c r="F113" s="32">
        <v>3</v>
      </c>
      <c r="G113" s="32">
        <v>8</v>
      </c>
      <c r="H113" s="32" t="s">
        <v>51</v>
      </c>
      <c r="I113" s="32">
        <v>22</v>
      </c>
      <c r="J113" s="32">
        <v>1314.71</v>
      </c>
      <c r="K113" s="32">
        <v>10517.68</v>
      </c>
    </row>
    <row r="114" spans="1:11" ht="15.5" hidden="1" x14ac:dyDescent="0.35">
      <c r="A114" s="31">
        <v>45009</v>
      </c>
      <c r="B114" s="32" t="s">
        <v>8</v>
      </c>
      <c r="C114" s="32" t="s">
        <v>28</v>
      </c>
      <c r="D114" s="32" t="s">
        <v>32</v>
      </c>
      <c r="E114" s="32" t="s">
        <v>18</v>
      </c>
      <c r="F114" s="32">
        <v>4</v>
      </c>
      <c r="G114" s="32">
        <v>11</v>
      </c>
      <c r="H114" s="32" t="s">
        <v>52</v>
      </c>
      <c r="I114" s="32">
        <v>25</v>
      </c>
      <c r="J114" s="32">
        <v>1435.18</v>
      </c>
      <c r="K114" s="32">
        <v>15786.98</v>
      </c>
    </row>
    <row r="115" spans="1:11" ht="15.5" hidden="1" x14ac:dyDescent="0.35">
      <c r="A115" s="31">
        <v>45274</v>
      </c>
      <c r="B115" s="32" t="s">
        <v>8</v>
      </c>
      <c r="C115" s="32" t="s">
        <v>28</v>
      </c>
      <c r="D115" s="32" t="s">
        <v>32</v>
      </c>
      <c r="E115" s="32" t="s">
        <v>24</v>
      </c>
      <c r="F115" s="32">
        <v>3</v>
      </c>
      <c r="G115" s="32">
        <v>11</v>
      </c>
      <c r="H115" s="32" t="s">
        <v>53</v>
      </c>
      <c r="I115" s="32">
        <v>53</v>
      </c>
      <c r="J115" s="32">
        <v>4188.37</v>
      </c>
      <c r="K115" s="32">
        <v>46072.07</v>
      </c>
    </row>
    <row r="116" spans="1:11" ht="15.5" hidden="1" x14ac:dyDescent="0.35">
      <c r="A116" s="31">
        <v>45068</v>
      </c>
      <c r="B116" s="32" t="s">
        <v>20</v>
      </c>
      <c r="C116" s="32" t="s">
        <v>21</v>
      </c>
      <c r="D116" s="32" t="s">
        <v>34</v>
      </c>
      <c r="E116" s="32" t="s">
        <v>24</v>
      </c>
      <c r="F116" s="32">
        <v>3</v>
      </c>
      <c r="G116" s="32">
        <v>1</v>
      </c>
      <c r="H116" s="32" t="s">
        <v>54</v>
      </c>
      <c r="I116" s="32">
        <v>35</v>
      </c>
      <c r="J116" s="32">
        <v>4859.6499999999996</v>
      </c>
      <c r="K116" s="32">
        <v>4859.6499999999996</v>
      </c>
    </row>
    <row r="117" spans="1:11" ht="15.5" hidden="1" x14ac:dyDescent="0.35">
      <c r="A117" s="31">
        <v>45062</v>
      </c>
      <c r="B117" s="32" t="s">
        <v>12</v>
      </c>
      <c r="C117" s="32" t="s">
        <v>13</v>
      </c>
      <c r="D117" s="32" t="s">
        <v>33</v>
      </c>
      <c r="E117" s="32" t="s">
        <v>15</v>
      </c>
      <c r="F117" s="32">
        <v>1</v>
      </c>
      <c r="G117" s="32">
        <v>18</v>
      </c>
      <c r="H117" s="32" t="s">
        <v>55</v>
      </c>
      <c r="I117" s="32">
        <v>24</v>
      </c>
      <c r="J117" s="32">
        <v>3913.42</v>
      </c>
      <c r="K117" s="32">
        <v>70441.56</v>
      </c>
    </row>
    <row r="118" spans="1:11" ht="15.5" hidden="1" x14ac:dyDescent="0.35">
      <c r="A118" s="31">
        <v>45029</v>
      </c>
      <c r="B118" s="32" t="s">
        <v>12</v>
      </c>
      <c r="C118" s="32" t="s">
        <v>13</v>
      </c>
      <c r="D118" s="32" t="s">
        <v>33</v>
      </c>
      <c r="E118" s="32" t="s">
        <v>27</v>
      </c>
      <c r="F118" s="32">
        <v>2</v>
      </c>
      <c r="G118" s="32">
        <v>8</v>
      </c>
      <c r="H118" s="32" t="s">
        <v>56</v>
      </c>
      <c r="I118" s="32">
        <v>35</v>
      </c>
      <c r="J118" s="32">
        <v>4402.3599999999997</v>
      </c>
      <c r="K118" s="32">
        <v>35218.879999999997</v>
      </c>
    </row>
    <row r="119" spans="1:11" ht="15.5" hidden="1" x14ac:dyDescent="0.35">
      <c r="A119" s="31">
        <v>45092</v>
      </c>
      <c r="B119" s="32" t="s">
        <v>8</v>
      </c>
      <c r="C119" s="32" t="s">
        <v>9</v>
      </c>
      <c r="D119" s="32" t="s">
        <v>10</v>
      </c>
      <c r="E119" s="32" t="s">
        <v>15</v>
      </c>
      <c r="F119" s="32">
        <v>1</v>
      </c>
      <c r="G119" s="32">
        <v>19</v>
      </c>
      <c r="H119" s="32" t="s">
        <v>57</v>
      </c>
      <c r="I119" s="32">
        <v>48</v>
      </c>
      <c r="J119" s="32">
        <v>1965.12</v>
      </c>
      <c r="K119" s="32">
        <v>37337.279999999999</v>
      </c>
    </row>
    <row r="120" spans="1:11" ht="15.5" hidden="1" x14ac:dyDescent="0.35">
      <c r="A120" s="31">
        <v>45154</v>
      </c>
      <c r="B120" s="32" t="s">
        <v>8</v>
      </c>
      <c r="C120" s="32" t="s">
        <v>28</v>
      </c>
      <c r="D120" s="32" t="s">
        <v>32</v>
      </c>
      <c r="E120" s="32" t="s">
        <v>24</v>
      </c>
      <c r="F120" s="32">
        <v>3</v>
      </c>
      <c r="G120" s="32">
        <v>11</v>
      </c>
      <c r="H120" s="32" t="s">
        <v>58</v>
      </c>
      <c r="I120" s="32">
        <v>26</v>
      </c>
      <c r="J120" s="32">
        <v>2522.63</v>
      </c>
      <c r="K120" s="32">
        <v>27748.93</v>
      </c>
    </row>
    <row r="121" spans="1:11" ht="15.5" hidden="1" x14ac:dyDescent="0.35">
      <c r="A121" s="31">
        <v>45188</v>
      </c>
      <c r="B121" s="32" t="s">
        <v>8</v>
      </c>
      <c r="C121" s="32" t="s">
        <v>28</v>
      </c>
      <c r="D121" s="32" t="s">
        <v>30</v>
      </c>
      <c r="E121" s="32" t="s">
        <v>27</v>
      </c>
      <c r="F121" s="32">
        <v>2</v>
      </c>
      <c r="G121" s="32">
        <v>19</v>
      </c>
      <c r="H121" s="32" t="s">
        <v>59</v>
      </c>
      <c r="I121" s="32">
        <v>28</v>
      </c>
      <c r="J121" s="32">
        <v>2493.0300000000002</v>
      </c>
      <c r="K121" s="32">
        <v>47367.57</v>
      </c>
    </row>
    <row r="122" spans="1:11" ht="15.5" hidden="1" x14ac:dyDescent="0.35">
      <c r="A122" s="31">
        <v>45268</v>
      </c>
      <c r="B122" s="32" t="s">
        <v>12</v>
      </c>
      <c r="C122" s="32" t="s">
        <v>13</v>
      </c>
      <c r="D122" s="32" t="s">
        <v>33</v>
      </c>
      <c r="E122" s="32" t="s">
        <v>18</v>
      </c>
      <c r="F122" s="32">
        <v>4</v>
      </c>
      <c r="G122" s="32">
        <v>16</v>
      </c>
      <c r="H122" s="32" t="s">
        <v>48</v>
      </c>
      <c r="I122" s="32">
        <v>30</v>
      </c>
      <c r="J122" s="32">
        <v>3895.18</v>
      </c>
      <c r="K122" s="32">
        <v>62322.879999999997</v>
      </c>
    </row>
    <row r="123" spans="1:11" ht="15.5" hidden="1" x14ac:dyDescent="0.35">
      <c r="A123" s="31">
        <v>45166</v>
      </c>
      <c r="B123" s="32" t="s">
        <v>12</v>
      </c>
      <c r="C123" s="32" t="s">
        <v>13</v>
      </c>
      <c r="D123" s="32" t="s">
        <v>33</v>
      </c>
      <c r="E123" s="32" t="s">
        <v>15</v>
      </c>
      <c r="F123" s="32">
        <v>1</v>
      </c>
      <c r="G123" s="32">
        <v>2</v>
      </c>
      <c r="H123" s="32" t="s">
        <v>49</v>
      </c>
      <c r="I123" s="32">
        <v>54</v>
      </c>
      <c r="J123" s="32">
        <v>1827.28</v>
      </c>
      <c r="K123" s="32">
        <v>3654.56</v>
      </c>
    </row>
    <row r="124" spans="1:11" ht="15.5" hidden="1" x14ac:dyDescent="0.35">
      <c r="A124" s="31">
        <v>44952</v>
      </c>
      <c r="B124" s="32" t="s">
        <v>8</v>
      </c>
      <c r="C124" s="32" t="s">
        <v>28</v>
      </c>
      <c r="D124" s="32" t="s">
        <v>29</v>
      </c>
      <c r="E124" s="32" t="s">
        <v>27</v>
      </c>
      <c r="F124" s="32">
        <v>2</v>
      </c>
      <c r="G124" s="32">
        <v>13</v>
      </c>
      <c r="H124" s="32" t="s">
        <v>50</v>
      </c>
      <c r="I124" s="32">
        <v>51</v>
      </c>
      <c r="J124" s="32">
        <v>1753.48</v>
      </c>
      <c r="K124" s="32">
        <v>22795.24</v>
      </c>
    </row>
    <row r="125" spans="1:11" ht="15.5" hidden="1" x14ac:dyDescent="0.35">
      <c r="A125" s="31">
        <v>45124</v>
      </c>
      <c r="B125" s="32" t="s">
        <v>12</v>
      </c>
      <c r="C125" s="32" t="s">
        <v>13</v>
      </c>
      <c r="D125" s="32" t="s">
        <v>33</v>
      </c>
      <c r="E125" s="32" t="s">
        <v>24</v>
      </c>
      <c r="F125" s="32">
        <v>3</v>
      </c>
      <c r="G125" s="32">
        <v>16</v>
      </c>
      <c r="H125" s="32" t="s">
        <v>51</v>
      </c>
      <c r="I125" s="32">
        <v>25</v>
      </c>
      <c r="J125" s="32">
        <v>971.39</v>
      </c>
      <c r="K125" s="32">
        <v>15542.24</v>
      </c>
    </row>
    <row r="126" spans="1:11" ht="15.5" hidden="1" x14ac:dyDescent="0.35">
      <c r="A126" s="31">
        <v>45214</v>
      </c>
      <c r="B126" s="32" t="s">
        <v>12</v>
      </c>
      <c r="C126" s="32" t="s">
        <v>16</v>
      </c>
      <c r="D126" s="32" t="s">
        <v>19</v>
      </c>
      <c r="E126" s="32" t="s">
        <v>27</v>
      </c>
      <c r="F126" s="32">
        <v>2</v>
      </c>
      <c r="G126" s="32">
        <v>15</v>
      </c>
      <c r="H126" s="32" t="s">
        <v>52</v>
      </c>
      <c r="I126" s="32">
        <v>46</v>
      </c>
      <c r="J126" s="32">
        <v>346.45</v>
      </c>
      <c r="K126" s="32">
        <v>5196.75</v>
      </c>
    </row>
    <row r="127" spans="1:11" ht="15.5" x14ac:dyDescent="0.35">
      <c r="A127" s="31">
        <v>45249</v>
      </c>
      <c r="B127" s="32" t="s">
        <v>8</v>
      </c>
      <c r="C127" s="32" t="s">
        <v>28</v>
      </c>
      <c r="D127" s="32" t="s">
        <v>30</v>
      </c>
      <c r="E127" s="32" t="s">
        <v>11</v>
      </c>
      <c r="F127" s="32">
        <v>5</v>
      </c>
      <c r="G127" s="32">
        <v>12</v>
      </c>
      <c r="H127" s="32" t="s">
        <v>53</v>
      </c>
      <c r="I127" s="32">
        <v>44</v>
      </c>
      <c r="J127" s="32">
        <v>186.62</v>
      </c>
      <c r="K127" s="32">
        <v>2239.44</v>
      </c>
    </row>
    <row r="128" spans="1:11" ht="15.5" hidden="1" x14ac:dyDescent="0.35">
      <c r="A128" s="31">
        <v>45010</v>
      </c>
      <c r="B128" s="32" t="s">
        <v>20</v>
      </c>
      <c r="C128" s="32" t="s">
        <v>21</v>
      </c>
      <c r="D128" s="32" t="s">
        <v>22</v>
      </c>
      <c r="E128" s="32" t="s">
        <v>18</v>
      </c>
      <c r="F128" s="32">
        <v>4</v>
      </c>
      <c r="G128" s="32">
        <v>4</v>
      </c>
      <c r="H128" s="32" t="s">
        <v>54</v>
      </c>
      <c r="I128" s="32">
        <v>31</v>
      </c>
      <c r="J128" s="32">
        <v>431.75</v>
      </c>
      <c r="K128" s="32">
        <v>1727</v>
      </c>
    </row>
    <row r="129" spans="1:11" ht="15.5" hidden="1" x14ac:dyDescent="0.35">
      <c r="A129" s="31">
        <v>45290</v>
      </c>
      <c r="B129" s="32" t="s">
        <v>12</v>
      </c>
      <c r="C129" s="32" t="s">
        <v>13</v>
      </c>
      <c r="D129" s="32" t="s">
        <v>26</v>
      </c>
      <c r="E129" s="32" t="s">
        <v>24</v>
      </c>
      <c r="F129" s="32">
        <v>3</v>
      </c>
      <c r="G129" s="32">
        <v>19</v>
      </c>
      <c r="H129" s="32" t="s">
        <v>55</v>
      </c>
      <c r="I129" s="32">
        <v>20</v>
      </c>
      <c r="J129" s="32">
        <v>4411.57</v>
      </c>
      <c r="K129" s="32">
        <v>83819.83</v>
      </c>
    </row>
    <row r="130" spans="1:11" ht="15.5" hidden="1" x14ac:dyDescent="0.35">
      <c r="A130" s="31">
        <v>44943</v>
      </c>
      <c r="B130" s="32" t="s">
        <v>12</v>
      </c>
      <c r="C130" s="32" t="s">
        <v>13</v>
      </c>
      <c r="D130" s="32" t="s">
        <v>14</v>
      </c>
      <c r="E130" s="32" t="s">
        <v>27</v>
      </c>
      <c r="F130" s="32">
        <v>2</v>
      </c>
      <c r="G130" s="32">
        <v>8</v>
      </c>
      <c r="H130" s="32" t="s">
        <v>56</v>
      </c>
      <c r="I130" s="32">
        <v>34</v>
      </c>
      <c r="J130" s="32">
        <v>918.76</v>
      </c>
      <c r="K130" s="32">
        <v>7350.08</v>
      </c>
    </row>
    <row r="131" spans="1:11" ht="15.5" x14ac:dyDescent="0.35">
      <c r="A131" s="31">
        <v>45096</v>
      </c>
      <c r="B131" s="32" t="s">
        <v>8</v>
      </c>
      <c r="C131" s="32" t="s">
        <v>28</v>
      </c>
      <c r="D131" s="32" t="s">
        <v>32</v>
      </c>
      <c r="E131" s="32" t="s">
        <v>11</v>
      </c>
      <c r="F131" s="32">
        <v>5</v>
      </c>
      <c r="G131" s="32">
        <v>13</v>
      </c>
      <c r="H131" s="32" t="s">
        <v>57</v>
      </c>
      <c r="I131" s="32">
        <v>40</v>
      </c>
      <c r="J131" s="32">
        <v>1767.86</v>
      </c>
      <c r="K131" s="32">
        <v>22982.18</v>
      </c>
    </row>
    <row r="132" spans="1:11" ht="15.5" hidden="1" x14ac:dyDescent="0.35">
      <c r="A132" s="31">
        <v>45167</v>
      </c>
      <c r="B132" s="32" t="s">
        <v>12</v>
      </c>
      <c r="C132" s="32" t="s">
        <v>13</v>
      </c>
      <c r="D132" s="32" t="s">
        <v>33</v>
      </c>
      <c r="E132" s="32" t="s">
        <v>24</v>
      </c>
      <c r="F132" s="32">
        <v>3</v>
      </c>
      <c r="G132" s="32">
        <v>13</v>
      </c>
      <c r="H132" s="32" t="s">
        <v>58</v>
      </c>
      <c r="I132" s="32">
        <v>50</v>
      </c>
      <c r="J132" s="32">
        <v>4650.74</v>
      </c>
      <c r="K132" s="32">
        <v>60459.62</v>
      </c>
    </row>
    <row r="133" spans="1:11" ht="15.5" hidden="1" x14ac:dyDescent="0.35">
      <c r="A133" s="31">
        <v>45142</v>
      </c>
      <c r="B133" s="32" t="s">
        <v>12</v>
      </c>
      <c r="C133" s="32" t="s">
        <v>13</v>
      </c>
      <c r="D133" s="32" t="s">
        <v>33</v>
      </c>
      <c r="E133" s="32" t="s">
        <v>24</v>
      </c>
      <c r="F133" s="32">
        <v>3</v>
      </c>
      <c r="G133" s="32">
        <v>3</v>
      </c>
      <c r="H133" s="32" t="s">
        <v>59</v>
      </c>
      <c r="I133" s="32">
        <v>38</v>
      </c>
      <c r="J133" s="32">
        <v>4876.51</v>
      </c>
      <c r="K133" s="32">
        <v>14629.53</v>
      </c>
    </row>
    <row r="134" spans="1:11" ht="15.5" hidden="1" x14ac:dyDescent="0.35">
      <c r="A134" s="31">
        <v>45200</v>
      </c>
      <c r="B134" s="32" t="s">
        <v>12</v>
      </c>
      <c r="C134" s="32" t="s">
        <v>13</v>
      </c>
      <c r="D134" s="32" t="s">
        <v>33</v>
      </c>
      <c r="E134" s="32" t="s">
        <v>18</v>
      </c>
      <c r="F134" s="32">
        <v>4</v>
      </c>
      <c r="G134" s="32">
        <v>16</v>
      </c>
      <c r="H134" s="32" t="s">
        <v>48</v>
      </c>
      <c r="I134" s="32">
        <v>40</v>
      </c>
      <c r="J134" s="32">
        <v>4354.03</v>
      </c>
      <c r="K134" s="32">
        <v>69664.479999999996</v>
      </c>
    </row>
    <row r="135" spans="1:11" ht="15.5" x14ac:dyDescent="0.35">
      <c r="A135" s="31">
        <v>45212</v>
      </c>
      <c r="B135" s="32" t="s">
        <v>12</v>
      </c>
      <c r="C135" s="32" t="s">
        <v>16</v>
      </c>
      <c r="D135" s="32" t="s">
        <v>17</v>
      </c>
      <c r="E135" s="32" t="s">
        <v>11</v>
      </c>
      <c r="F135" s="32">
        <v>5</v>
      </c>
      <c r="G135" s="32">
        <v>16</v>
      </c>
      <c r="H135" s="32" t="s">
        <v>49</v>
      </c>
      <c r="I135" s="32">
        <v>50</v>
      </c>
      <c r="J135" s="32">
        <v>2682.3</v>
      </c>
      <c r="K135" s="32">
        <v>42916.800000000003</v>
      </c>
    </row>
    <row r="136" spans="1:11" ht="15.5" x14ac:dyDescent="0.35">
      <c r="A136" s="31">
        <v>45010</v>
      </c>
      <c r="B136" s="32" t="s">
        <v>8</v>
      </c>
      <c r="C136" s="32" t="s">
        <v>9</v>
      </c>
      <c r="D136" s="32" t="s">
        <v>31</v>
      </c>
      <c r="E136" s="32" t="s">
        <v>11</v>
      </c>
      <c r="F136" s="32">
        <v>5</v>
      </c>
      <c r="G136" s="32">
        <v>16</v>
      </c>
      <c r="H136" s="32" t="s">
        <v>50</v>
      </c>
      <c r="I136" s="32">
        <v>20</v>
      </c>
      <c r="J136" s="32">
        <v>328.65</v>
      </c>
      <c r="K136" s="32">
        <v>5258.4</v>
      </c>
    </row>
    <row r="137" spans="1:11" ht="15.5" hidden="1" x14ac:dyDescent="0.35">
      <c r="A137" s="31">
        <v>45251</v>
      </c>
      <c r="B137" s="32" t="s">
        <v>8</v>
      </c>
      <c r="C137" s="32" t="s">
        <v>9</v>
      </c>
      <c r="D137" s="32" t="s">
        <v>23</v>
      </c>
      <c r="E137" s="32" t="s">
        <v>15</v>
      </c>
      <c r="F137" s="32">
        <v>1</v>
      </c>
      <c r="G137" s="32">
        <v>13</v>
      </c>
      <c r="H137" s="32" t="s">
        <v>51</v>
      </c>
      <c r="I137" s="32">
        <v>30</v>
      </c>
      <c r="J137" s="32">
        <v>1198.5</v>
      </c>
      <c r="K137" s="32">
        <v>15580.5</v>
      </c>
    </row>
    <row r="138" spans="1:11" ht="15.5" hidden="1" x14ac:dyDescent="0.35">
      <c r="A138" s="31">
        <v>45116</v>
      </c>
      <c r="B138" s="32" t="s">
        <v>20</v>
      </c>
      <c r="C138" s="32" t="s">
        <v>21</v>
      </c>
      <c r="D138" s="32" t="s">
        <v>22</v>
      </c>
      <c r="E138" s="32" t="s">
        <v>15</v>
      </c>
      <c r="F138" s="32">
        <v>1</v>
      </c>
      <c r="G138" s="32">
        <v>17</v>
      </c>
      <c r="H138" s="32" t="s">
        <v>52</v>
      </c>
      <c r="I138" s="32">
        <v>36</v>
      </c>
      <c r="J138" s="32">
        <v>3679.89</v>
      </c>
      <c r="K138" s="32">
        <v>62558.13</v>
      </c>
    </row>
    <row r="139" spans="1:11" ht="15.5" hidden="1" x14ac:dyDescent="0.35">
      <c r="A139" s="31">
        <v>45080</v>
      </c>
      <c r="B139" s="32" t="s">
        <v>12</v>
      </c>
      <c r="C139" s="32" t="s">
        <v>16</v>
      </c>
      <c r="D139" s="32" t="s">
        <v>17</v>
      </c>
      <c r="E139" s="32" t="s">
        <v>15</v>
      </c>
      <c r="F139" s="32">
        <v>1</v>
      </c>
      <c r="G139" s="32">
        <v>1</v>
      </c>
      <c r="H139" s="32" t="s">
        <v>53</v>
      </c>
      <c r="I139" s="32">
        <v>39</v>
      </c>
      <c r="J139" s="32">
        <v>696.38</v>
      </c>
      <c r="K139" s="32">
        <v>696.38</v>
      </c>
    </row>
    <row r="140" spans="1:11" ht="15.5" x14ac:dyDescent="0.35">
      <c r="A140" s="31">
        <v>45089</v>
      </c>
      <c r="B140" s="32" t="s">
        <v>12</v>
      </c>
      <c r="C140" s="32" t="s">
        <v>16</v>
      </c>
      <c r="D140" s="32" t="s">
        <v>17</v>
      </c>
      <c r="E140" s="32" t="s">
        <v>11</v>
      </c>
      <c r="F140" s="32">
        <v>5</v>
      </c>
      <c r="G140" s="32">
        <v>13</v>
      </c>
      <c r="H140" s="32" t="s">
        <v>54</v>
      </c>
      <c r="I140" s="32">
        <v>34</v>
      </c>
      <c r="J140" s="32">
        <v>3551.21</v>
      </c>
      <c r="K140" s="32">
        <v>46165.73</v>
      </c>
    </row>
    <row r="141" spans="1:11" ht="15.5" hidden="1" x14ac:dyDescent="0.35">
      <c r="A141" s="31">
        <v>45231</v>
      </c>
      <c r="B141" s="32" t="s">
        <v>12</v>
      </c>
      <c r="C141" s="32" t="s">
        <v>16</v>
      </c>
      <c r="D141" s="32" t="s">
        <v>25</v>
      </c>
      <c r="E141" s="32" t="s">
        <v>27</v>
      </c>
      <c r="F141" s="32">
        <v>2</v>
      </c>
      <c r="G141" s="32">
        <v>18</v>
      </c>
      <c r="H141" s="32" t="s">
        <v>55</v>
      </c>
      <c r="I141" s="32">
        <v>46</v>
      </c>
      <c r="J141" s="32">
        <v>262.12</v>
      </c>
      <c r="K141" s="32">
        <v>4718.16</v>
      </c>
    </row>
    <row r="142" spans="1:11" ht="15.5" hidden="1" x14ac:dyDescent="0.35">
      <c r="A142" s="31">
        <v>45266</v>
      </c>
      <c r="B142" s="32" t="s">
        <v>12</v>
      </c>
      <c r="C142" s="32" t="s">
        <v>13</v>
      </c>
      <c r="D142" s="32" t="s">
        <v>14</v>
      </c>
      <c r="E142" s="32" t="s">
        <v>27</v>
      </c>
      <c r="F142" s="32">
        <v>2</v>
      </c>
      <c r="G142" s="32">
        <v>16</v>
      </c>
      <c r="H142" s="32" t="s">
        <v>56</v>
      </c>
      <c r="I142" s="32">
        <v>54</v>
      </c>
      <c r="J142" s="32">
        <v>3897.57</v>
      </c>
      <c r="K142" s="32">
        <v>62361.120000000003</v>
      </c>
    </row>
    <row r="143" spans="1:11" ht="15.5" hidden="1" x14ac:dyDescent="0.35">
      <c r="A143" s="31">
        <v>45033</v>
      </c>
      <c r="B143" s="32" t="s">
        <v>12</v>
      </c>
      <c r="C143" s="32" t="s">
        <v>13</v>
      </c>
      <c r="D143" s="32" t="s">
        <v>26</v>
      </c>
      <c r="E143" s="32" t="s">
        <v>15</v>
      </c>
      <c r="F143" s="32">
        <v>1</v>
      </c>
      <c r="G143" s="32">
        <v>1</v>
      </c>
      <c r="H143" s="32" t="s">
        <v>57</v>
      </c>
      <c r="I143" s="32">
        <v>33</v>
      </c>
      <c r="J143" s="32">
        <v>3042.8</v>
      </c>
      <c r="K143" s="32">
        <v>3042.8</v>
      </c>
    </row>
    <row r="144" spans="1:11" ht="15.5" hidden="1" x14ac:dyDescent="0.35">
      <c r="A144" s="31">
        <v>45258</v>
      </c>
      <c r="B144" s="32" t="s">
        <v>8</v>
      </c>
      <c r="C144" s="32" t="s">
        <v>28</v>
      </c>
      <c r="D144" s="32" t="s">
        <v>32</v>
      </c>
      <c r="E144" s="32" t="s">
        <v>24</v>
      </c>
      <c r="F144" s="32">
        <v>3</v>
      </c>
      <c r="G144" s="32">
        <v>20</v>
      </c>
      <c r="H144" s="32" t="s">
        <v>58</v>
      </c>
      <c r="I144" s="32">
        <v>45</v>
      </c>
      <c r="J144" s="32">
        <v>4066.74</v>
      </c>
      <c r="K144" s="32">
        <v>81334.8</v>
      </c>
    </row>
    <row r="145" spans="1:11" ht="15.5" x14ac:dyDescent="0.35">
      <c r="A145" s="31">
        <v>45210</v>
      </c>
      <c r="B145" s="32" t="s">
        <v>12</v>
      </c>
      <c r="C145" s="32" t="s">
        <v>13</v>
      </c>
      <c r="D145" s="32" t="s">
        <v>33</v>
      </c>
      <c r="E145" s="32" t="s">
        <v>11</v>
      </c>
      <c r="F145" s="32">
        <v>5</v>
      </c>
      <c r="G145" s="32">
        <v>11</v>
      </c>
      <c r="H145" s="32" t="s">
        <v>59</v>
      </c>
      <c r="I145" s="32">
        <v>26</v>
      </c>
      <c r="J145" s="32">
        <v>4066.2</v>
      </c>
      <c r="K145" s="32">
        <v>44728.2</v>
      </c>
    </row>
    <row r="146" spans="1:11" ht="15.5" hidden="1" x14ac:dyDescent="0.35">
      <c r="A146" s="31">
        <v>44999</v>
      </c>
      <c r="B146" s="32" t="s">
        <v>12</v>
      </c>
      <c r="C146" s="32" t="s">
        <v>13</v>
      </c>
      <c r="D146" s="32" t="s">
        <v>14</v>
      </c>
      <c r="E146" s="32" t="s">
        <v>24</v>
      </c>
      <c r="F146" s="32">
        <v>3</v>
      </c>
      <c r="G146" s="32">
        <v>19</v>
      </c>
      <c r="H146" s="32" t="s">
        <v>48</v>
      </c>
      <c r="I146" s="32">
        <v>18</v>
      </c>
      <c r="J146" s="32">
        <v>1398.49</v>
      </c>
      <c r="K146" s="32">
        <v>26571.31</v>
      </c>
    </row>
    <row r="147" spans="1:11" ht="15.5" hidden="1" x14ac:dyDescent="0.35">
      <c r="A147" s="31">
        <v>45108</v>
      </c>
      <c r="B147" s="32" t="s">
        <v>8</v>
      </c>
      <c r="C147" s="32" t="s">
        <v>9</v>
      </c>
      <c r="D147" s="32" t="s">
        <v>10</v>
      </c>
      <c r="E147" s="32" t="s">
        <v>24</v>
      </c>
      <c r="F147" s="32">
        <v>3</v>
      </c>
      <c r="G147" s="32">
        <v>11</v>
      </c>
      <c r="H147" s="32" t="s">
        <v>49</v>
      </c>
      <c r="I147" s="32">
        <v>52</v>
      </c>
      <c r="J147" s="32">
        <v>3969.39</v>
      </c>
      <c r="K147" s="32">
        <v>43663.29</v>
      </c>
    </row>
    <row r="148" spans="1:11" ht="15.5" hidden="1" x14ac:dyDescent="0.35">
      <c r="A148" s="31">
        <v>45264</v>
      </c>
      <c r="B148" s="32" t="s">
        <v>12</v>
      </c>
      <c r="C148" s="32" t="s">
        <v>16</v>
      </c>
      <c r="D148" s="32" t="s">
        <v>19</v>
      </c>
      <c r="E148" s="32" t="s">
        <v>24</v>
      </c>
      <c r="F148" s="32">
        <v>3</v>
      </c>
      <c r="G148" s="32">
        <v>7</v>
      </c>
      <c r="H148" s="32" t="s">
        <v>50</v>
      </c>
      <c r="I148" s="32">
        <v>37</v>
      </c>
      <c r="J148" s="32">
        <v>4720.63</v>
      </c>
      <c r="K148" s="32">
        <v>33044.410000000003</v>
      </c>
    </row>
    <row r="149" spans="1:11" ht="15.5" hidden="1" x14ac:dyDescent="0.35">
      <c r="A149" s="31">
        <v>45214</v>
      </c>
      <c r="B149" s="32" t="s">
        <v>8</v>
      </c>
      <c r="C149" s="32" t="s">
        <v>28</v>
      </c>
      <c r="D149" s="32" t="s">
        <v>32</v>
      </c>
      <c r="E149" s="32" t="s">
        <v>15</v>
      </c>
      <c r="F149" s="32">
        <v>1</v>
      </c>
      <c r="G149" s="32">
        <v>1</v>
      </c>
      <c r="H149" s="32" t="s">
        <v>51</v>
      </c>
      <c r="I149" s="32">
        <v>50</v>
      </c>
      <c r="J149" s="32">
        <v>3658.84</v>
      </c>
      <c r="K149" s="32">
        <v>3658.84</v>
      </c>
    </row>
    <row r="150" spans="1:11" ht="15.5" hidden="1" x14ac:dyDescent="0.35">
      <c r="A150" s="31">
        <v>45083</v>
      </c>
      <c r="B150" s="32" t="s">
        <v>8</v>
      </c>
      <c r="C150" s="32" t="s">
        <v>9</v>
      </c>
      <c r="D150" s="32" t="s">
        <v>23</v>
      </c>
      <c r="E150" s="32" t="s">
        <v>15</v>
      </c>
      <c r="F150" s="32">
        <v>1</v>
      </c>
      <c r="G150" s="32">
        <v>1</v>
      </c>
      <c r="H150" s="32" t="s">
        <v>52</v>
      </c>
      <c r="I150" s="32">
        <v>47</v>
      </c>
      <c r="J150" s="32">
        <v>4681.07</v>
      </c>
      <c r="K150" s="32">
        <v>4681.07</v>
      </c>
    </row>
    <row r="151" spans="1:11" ht="15.5" x14ac:dyDescent="0.35">
      <c r="A151" s="31">
        <v>45246</v>
      </c>
      <c r="B151" s="32" t="s">
        <v>12</v>
      </c>
      <c r="C151" s="32" t="s">
        <v>16</v>
      </c>
      <c r="D151" s="32" t="s">
        <v>25</v>
      </c>
      <c r="E151" s="32" t="s">
        <v>11</v>
      </c>
      <c r="F151" s="32">
        <v>5</v>
      </c>
      <c r="G151" s="32">
        <v>11</v>
      </c>
      <c r="H151" s="32" t="s">
        <v>53</v>
      </c>
      <c r="I151" s="32">
        <v>47</v>
      </c>
      <c r="J151" s="32">
        <v>4089.16</v>
      </c>
      <c r="K151" s="32">
        <v>44980.76</v>
      </c>
    </row>
    <row r="152" spans="1:11" ht="15.5" hidden="1" x14ac:dyDescent="0.35">
      <c r="A152" s="31">
        <v>45275</v>
      </c>
      <c r="B152" s="32" t="s">
        <v>20</v>
      </c>
      <c r="C152" s="32" t="s">
        <v>21</v>
      </c>
      <c r="D152" s="32" t="s">
        <v>22</v>
      </c>
      <c r="E152" s="32" t="s">
        <v>24</v>
      </c>
      <c r="F152" s="32">
        <v>3</v>
      </c>
      <c r="G152" s="32">
        <v>13</v>
      </c>
      <c r="H152" s="32" t="s">
        <v>54</v>
      </c>
      <c r="I152" s="32">
        <v>19</v>
      </c>
      <c r="J152" s="32">
        <v>3069.28</v>
      </c>
      <c r="K152" s="32">
        <v>39900.639999999999</v>
      </c>
    </row>
    <row r="153" spans="1:11" ht="15.5" hidden="1" x14ac:dyDescent="0.35">
      <c r="A153" s="31">
        <v>44992</v>
      </c>
      <c r="B153" s="32" t="s">
        <v>12</v>
      </c>
      <c r="C153" s="32" t="s">
        <v>16</v>
      </c>
      <c r="D153" s="32" t="s">
        <v>19</v>
      </c>
      <c r="E153" s="32" t="s">
        <v>15</v>
      </c>
      <c r="F153" s="32">
        <v>1</v>
      </c>
      <c r="G153" s="32">
        <v>4</v>
      </c>
      <c r="H153" s="32" t="s">
        <v>55</v>
      </c>
      <c r="I153" s="32">
        <v>27</v>
      </c>
      <c r="J153" s="32">
        <v>1385.95</v>
      </c>
      <c r="K153" s="32">
        <v>5543.8</v>
      </c>
    </row>
    <row r="154" spans="1:11" ht="15.5" hidden="1" x14ac:dyDescent="0.35">
      <c r="A154" s="31">
        <v>45112</v>
      </c>
      <c r="B154" s="32" t="s">
        <v>12</v>
      </c>
      <c r="C154" s="32" t="s">
        <v>16</v>
      </c>
      <c r="D154" s="32" t="s">
        <v>25</v>
      </c>
      <c r="E154" s="32" t="s">
        <v>15</v>
      </c>
      <c r="F154" s="32">
        <v>1</v>
      </c>
      <c r="G154" s="32">
        <v>14</v>
      </c>
      <c r="H154" s="32" t="s">
        <v>56</v>
      </c>
      <c r="I154" s="32">
        <v>29</v>
      </c>
      <c r="J154" s="32">
        <v>1770.36</v>
      </c>
      <c r="K154" s="32">
        <v>24785.040000000001</v>
      </c>
    </row>
    <row r="155" spans="1:11" ht="15.5" hidden="1" x14ac:dyDescent="0.35">
      <c r="A155" s="31">
        <v>44979</v>
      </c>
      <c r="B155" s="32" t="s">
        <v>20</v>
      </c>
      <c r="C155" s="32" t="s">
        <v>21</v>
      </c>
      <c r="D155" s="32" t="s">
        <v>35</v>
      </c>
      <c r="E155" s="32" t="s">
        <v>27</v>
      </c>
      <c r="F155" s="32">
        <v>2</v>
      </c>
      <c r="G155" s="32">
        <v>3</v>
      </c>
      <c r="H155" s="32" t="s">
        <v>57</v>
      </c>
      <c r="I155" s="32">
        <v>22</v>
      </c>
      <c r="J155" s="32">
        <v>4020.68</v>
      </c>
      <c r="K155" s="32">
        <v>12062.04</v>
      </c>
    </row>
    <row r="156" spans="1:11" ht="15.5" hidden="1" x14ac:dyDescent="0.35">
      <c r="A156" s="31">
        <v>45004</v>
      </c>
      <c r="B156" s="32" t="s">
        <v>8</v>
      </c>
      <c r="C156" s="32" t="s">
        <v>9</v>
      </c>
      <c r="D156" s="32" t="s">
        <v>23</v>
      </c>
      <c r="E156" s="32" t="s">
        <v>27</v>
      </c>
      <c r="F156" s="32">
        <v>2</v>
      </c>
      <c r="G156" s="32">
        <v>9</v>
      </c>
      <c r="H156" s="32" t="s">
        <v>58</v>
      </c>
      <c r="I156" s="32">
        <v>34</v>
      </c>
      <c r="J156" s="32">
        <v>4953.3999999999996</v>
      </c>
      <c r="K156" s="32">
        <v>44580.6</v>
      </c>
    </row>
    <row r="157" spans="1:11" ht="15.5" hidden="1" x14ac:dyDescent="0.35">
      <c r="A157" s="31">
        <v>45239</v>
      </c>
      <c r="B157" s="32" t="s">
        <v>8</v>
      </c>
      <c r="C157" s="32" t="s">
        <v>28</v>
      </c>
      <c r="D157" s="32" t="s">
        <v>30</v>
      </c>
      <c r="E157" s="32" t="s">
        <v>27</v>
      </c>
      <c r="F157" s="32">
        <v>2</v>
      </c>
      <c r="G157" s="32">
        <v>7</v>
      </c>
      <c r="H157" s="32" t="s">
        <v>59</v>
      </c>
      <c r="I157" s="32">
        <v>35</v>
      </c>
      <c r="J157" s="32">
        <v>1729.24</v>
      </c>
      <c r="K157" s="32">
        <v>12104.68</v>
      </c>
    </row>
    <row r="158" spans="1:11" ht="15.5" hidden="1" x14ac:dyDescent="0.35">
      <c r="A158" s="31">
        <v>45255</v>
      </c>
      <c r="B158" s="32" t="s">
        <v>12</v>
      </c>
      <c r="C158" s="32" t="s">
        <v>13</v>
      </c>
      <c r="D158" s="32" t="s">
        <v>14</v>
      </c>
      <c r="E158" s="32" t="s">
        <v>18</v>
      </c>
      <c r="F158" s="32">
        <v>4</v>
      </c>
      <c r="G158" s="32">
        <v>15</v>
      </c>
      <c r="H158" s="32" t="s">
        <v>48</v>
      </c>
      <c r="I158" s="32">
        <v>28</v>
      </c>
      <c r="J158" s="32">
        <v>534.41999999999996</v>
      </c>
      <c r="K158" s="32">
        <v>8016.3</v>
      </c>
    </row>
    <row r="159" spans="1:11" ht="15.5" hidden="1" x14ac:dyDescent="0.35">
      <c r="A159" s="31">
        <v>45186</v>
      </c>
      <c r="B159" s="32" t="s">
        <v>20</v>
      </c>
      <c r="C159" s="32" t="s">
        <v>21</v>
      </c>
      <c r="D159" s="32" t="s">
        <v>35</v>
      </c>
      <c r="E159" s="32" t="s">
        <v>18</v>
      </c>
      <c r="F159" s="32">
        <v>4</v>
      </c>
      <c r="G159" s="32">
        <v>12</v>
      </c>
      <c r="H159" s="32" t="s">
        <v>49</v>
      </c>
      <c r="I159" s="32">
        <v>26</v>
      </c>
      <c r="J159" s="32">
        <v>4378.41</v>
      </c>
      <c r="K159" s="32">
        <v>52540.92</v>
      </c>
    </row>
    <row r="160" spans="1:11" ht="15.5" hidden="1" x14ac:dyDescent="0.35">
      <c r="A160" s="31">
        <v>44981</v>
      </c>
      <c r="B160" s="32" t="s">
        <v>12</v>
      </c>
      <c r="C160" s="32" t="s">
        <v>13</v>
      </c>
      <c r="D160" s="32" t="s">
        <v>33</v>
      </c>
      <c r="E160" s="32" t="s">
        <v>18</v>
      </c>
      <c r="F160" s="32">
        <v>4</v>
      </c>
      <c r="G160" s="32">
        <v>16</v>
      </c>
      <c r="H160" s="32" t="s">
        <v>50</v>
      </c>
      <c r="I160" s="32">
        <v>30</v>
      </c>
      <c r="J160" s="32">
        <v>3931.95</v>
      </c>
      <c r="K160" s="32">
        <v>62911.199999999997</v>
      </c>
    </row>
    <row r="161" spans="1:11" ht="15.5" hidden="1" x14ac:dyDescent="0.35">
      <c r="A161" s="31">
        <v>45286</v>
      </c>
      <c r="B161" s="32" t="s">
        <v>12</v>
      </c>
      <c r="C161" s="32" t="s">
        <v>16</v>
      </c>
      <c r="D161" s="32" t="s">
        <v>25</v>
      </c>
      <c r="E161" s="32" t="s">
        <v>15</v>
      </c>
      <c r="F161" s="32">
        <v>1</v>
      </c>
      <c r="G161" s="32">
        <v>20</v>
      </c>
      <c r="H161" s="32" t="s">
        <v>51</v>
      </c>
      <c r="I161" s="32">
        <v>19</v>
      </c>
      <c r="J161" s="32">
        <v>3751.01</v>
      </c>
      <c r="K161" s="32">
        <v>75020.2</v>
      </c>
    </row>
    <row r="162" spans="1:11" ht="15.5" hidden="1" x14ac:dyDescent="0.35">
      <c r="A162" s="31">
        <v>45008</v>
      </c>
      <c r="B162" s="32" t="s">
        <v>20</v>
      </c>
      <c r="C162" s="32" t="s">
        <v>21</v>
      </c>
      <c r="D162" s="32" t="s">
        <v>34</v>
      </c>
      <c r="E162" s="32" t="s">
        <v>15</v>
      </c>
      <c r="F162" s="32">
        <v>1</v>
      </c>
      <c r="G162" s="32">
        <v>20</v>
      </c>
      <c r="H162" s="32" t="s">
        <v>52</v>
      </c>
      <c r="I162" s="32">
        <v>24</v>
      </c>
      <c r="J162" s="32">
        <v>2580.02</v>
      </c>
      <c r="K162" s="32">
        <v>51600.4</v>
      </c>
    </row>
    <row r="163" spans="1:11" ht="15.5" hidden="1" x14ac:dyDescent="0.35">
      <c r="A163" s="31">
        <v>45223</v>
      </c>
      <c r="B163" s="32" t="s">
        <v>12</v>
      </c>
      <c r="C163" s="32" t="s">
        <v>13</v>
      </c>
      <c r="D163" s="32" t="s">
        <v>33</v>
      </c>
      <c r="E163" s="32" t="s">
        <v>15</v>
      </c>
      <c r="F163" s="32">
        <v>1</v>
      </c>
      <c r="G163" s="32">
        <v>3</v>
      </c>
      <c r="H163" s="32" t="s">
        <v>53</v>
      </c>
      <c r="I163" s="32">
        <v>24</v>
      </c>
      <c r="J163" s="32">
        <v>468.7</v>
      </c>
      <c r="K163" s="32">
        <v>1406.1</v>
      </c>
    </row>
    <row r="164" spans="1:11" ht="15.5" hidden="1" x14ac:dyDescent="0.35">
      <c r="A164" s="31">
        <v>45010</v>
      </c>
      <c r="B164" s="32" t="s">
        <v>20</v>
      </c>
      <c r="C164" s="32" t="s">
        <v>21</v>
      </c>
      <c r="D164" s="32" t="s">
        <v>35</v>
      </c>
      <c r="E164" s="32" t="s">
        <v>15</v>
      </c>
      <c r="F164" s="32">
        <v>1</v>
      </c>
      <c r="G164" s="32">
        <v>6</v>
      </c>
      <c r="H164" s="32" t="s">
        <v>54</v>
      </c>
      <c r="I164" s="32">
        <v>26</v>
      </c>
      <c r="J164" s="32">
        <v>3125.31</v>
      </c>
      <c r="K164" s="32">
        <v>18751.86</v>
      </c>
    </row>
    <row r="165" spans="1:11" ht="15.5" hidden="1" x14ac:dyDescent="0.35">
      <c r="A165" s="31">
        <v>45077</v>
      </c>
      <c r="B165" s="32" t="s">
        <v>8</v>
      </c>
      <c r="C165" s="32" t="s">
        <v>28</v>
      </c>
      <c r="D165" s="32" t="s">
        <v>30</v>
      </c>
      <c r="E165" s="32" t="s">
        <v>15</v>
      </c>
      <c r="F165" s="32">
        <v>1</v>
      </c>
      <c r="G165" s="32">
        <v>19</v>
      </c>
      <c r="H165" s="32" t="s">
        <v>55</v>
      </c>
      <c r="I165" s="32">
        <v>55</v>
      </c>
      <c r="J165" s="32">
        <v>1641.98</v>
      </c>
      <c r="K165" s="32">
        <v>31197.62</v>
      </c>
    </row>
    <row r="166" spans="1:11" ht="15.5" hidden="1" x14ac:dyDescent="0.35">
      <c r="A166" s="31">
        <v>45203</v>
      </c>
      <c r="B166" s="32" t="s">
        <v>12</v>
      </c>
      <c r="C166" s="32" t="s">
        <v>16</v>
      </c>
      <c r="D166" s="32" t="s">
        <v>25</v>
      </c>
      <c r="E166" s="32" t="s">
        <v>15</v>
      </c>
      <c r="F166" s="32">
        <v>1</v>
      </c>
      <c r="G166" s="32">
        <v>17</v>
      </c>
      <c r="H166" s="32" t="s">
        <v>56</v>
      </c>
      <c r="I166" s="32">
        <v>25</v>
      </c>
      <c r="J166" s="32">
        <v>463.54</v>
      </c>
      <c r="K166" s="32">
        <v>7880.18</v>
      </c>
    </row>
    <row r="167" spans="1:11" ht="15.5" hidden="1" x14ac:dyDescent="0.35">
      <c r="A167" s="31">
        <v>45180</v>
      </c>
      <c r="B167" s="32" t="s">
        <v>12</v>
      </c>
      <c r="C167" s="32" t="s">
        <v>13</v>
      </c>
      <c r="D167" s="32" t="s">
        <v>33</v>
      </c>
      <c r="E167" s="32" t="s">
        <v>15</v>
      </c>
      <c r="F167" s="32">
        <v>1</v>
      </c>
      <c r="G167" s="32">
        <v>17</v>
      </c>
      <c r="H167" s="32" t="s">
        <v>57</v>
      </c>
      <c r="I167" s="32">
        <v>44</v>
      </c>
      <c r="J167" s="32">
        <v>4088.77</v>
      </c>
      <c r="K167" s="32">
        <v>69509.09</v>
      </c>
    </row>
    <row r="168" spans="1:11" ht="15.5" hidden="1" x14ac:dyDescent="0.35">
      <c r="A168" s="31">
        <v>45202</v>
      </c>
      <c r="B168" s="32" t="s">
        <v>12</v>
      </c>
      <c r="C168" s="32" t="s">
        <v>13</v>
      </c>
      <c r="D168" s="32" t="s">
        <v>14</v>
      </c>
      <c r="E168" s="32" t="s">
        <v>27</v>
      </c>
      <c r="F168" s="32">
        <v>2</v>
      </c>
      <c r="G168" s="32">
        <v>17</v>
      </c>
      <c r="H168" s="32" t="s">
        <v>58</v>
      </c>
      <c r="I168" s="32">
        <v>32</v>
      </c>
      <c r="J168" s="32">
        <v>1194.33</v>
      </c>
      <c r="K168" s="32">
        <v>20303.61</v>
      </c>
    </row>
    <row r="169" spans="1:11" ht="15.5" hidden="1" x14ac:dyDescent="0.35">
      <c r="A169" s="31">
        <v>45283</v>
      </c>
      <c r="B169" s="32" t="s">
        <v>8</v>
      </c>
      <c r="C169" s="32" t="s">
        <v>28</v>
      </c>
      <c r="D169" s="32" t="s">
        <v>29</v>
      </c>
      <c r="E169" s="32" t="s">
        <v>27</v>
      </c>
      <c r="F169" s="32">
        <v>2</v>
      </c>
      <c r="G169" s="32">
        <v>14</v>
      </c>
      <c r="H169" s="32" t="s">
        <v>59</v>
      </c>
      <c r="I169" s="32">
        <v>18</v>
      </c>
      <c r="J169" s="32">
        <v>1215.6199999999999</v>
      </c>
      <c r="K169" s="32">
        <v>17018.68</v>
      </c>
    </row>
    <row r="170" spans="1:11" ht="15.5" x14ac:dyDescent="0.35">
      <c r="A170" s="31">
        <v>45062</v>
      </c>
      <c r="B170" s="32" t="s">
        <v>12</v>
      </c>
      <c r="C170" s="32" t="s">
        <v>16</v>
      </c>
      <c r="D170" s="32" t="s">
        <v>17</v>
      </c>
      <c r="E170" s="32" t="s">
        <v>11</v>
      </c>
      <c r="F170" s="32">
        <v>5</v>
      </c>
      <c r="G170" s="32">
        <v>5</v>
      </c>
      <c r="H170" s="32" t="s">
        <v>48</v>
      </c>
      <c r="I170" s="32">
        <v>25</v>
      </c>
      <c r="J170" s="32">
        <v>4619.16</v>
      </c>
      <c r="K170" s="32">
        <v>23095.8</v>
      </c>
    </row>
    <row r="171" spans="1:11" ht="15.5" x14ac:dyDescent="0.35">
      <c r="A171" s="31">
        <v>44965</v>
      </c>
      <c r="B171" s="32" t="s">
        <v>12</v>
      </c>
      <c r="C171" s="32" t="s">
        <v>13</v>
      </c>
      <c r="D171" s="32" t="s">
        <v>33</v>
      </c>
      <c r="E171" s="32" t="s">
        <v>11</v>
      </c>
      <c r="F171" s="32">
        <v>5</v>
      </c>
      <c r="G171" s="32">
        <v>6</v>
      </c>
      <c r="H171" s="32" t="s">
        <v>49</v>
      </c>
      <c r="I171" s="32">
        <v>52</v>
      </c>
      <c r="J171" s="32">
        <v>3277.95</v>
      </c>
      <c r="K171" s="32">
        <v>19667.7</v>
      </c>
    </row>
    <row r="172" spans="1:11" ht="15.5" hidden="1" x14ac:dyDescent="0.35">
      <c r="A172" s="31">
        <v>44929</v>
      </c>
      <c r="B172" s="32" t="s">
        <v>8</v>
      </c>
      <c r="C172" s="32" t="s">
        <v>28</v>
      </c>
      <c r="D172" s="32" t="s">
        <v>29</v>
      </c>
      <c r="E172" s="32" t="s">
        <v>24</v>
      </c>
      <c r="F172" s="32">
        <v>3</v>
      </c>
      <c r="G172" s="32">
        <v>11</v>
      </c>
      <c r="H172" s="32" t="s">
        <v>50</v>
      </c>
      <c r="I172" s="32">
        <v>47</v>
      </c>
      <c r="J172" s="32">
        <v>4205.55</v>
      </c>
      <c r="K172" s="32">
        <v>46261.05</v>
      </c>
    </row>
    <row r="173" spans="1:11" ht="15.5" hidden="1" x14ac:dyDescent="0.35">
      <c r="A173" s="31">
        <v>45209</v>
      </c>
      <c r="B173" s="32" t="s">
        <v>8</v>
      </c>
      <c r="C173" s="32" t="s">
        <v>9</v>
      </c>
      <c r="D173" s="32" t="s">
        <v>10</v>
      </c>
      <c r="E173" s="32" t="s">
        <v>18</v>
      </c>
      <c r="F173" s="32">
        <v>4</v>
      </c>
      <c r="G173" s="32">
        <v>5</v>
      </c>
      <c r="H173" s="32" t="s">
        <v>51</v>
      </c>
      <c r="I173" s="32">
        <v>32</v>
      </c>
      <c r="J173" s="32">
        <v>800.88</v>
      </c>
      <c r="K173" s="32">
        <v>4004.4</v>
      </c>
    </row>
    <row r="174" spans="1:11" ht="15.5" hidden="1" x14ac:dyDescent="0.35">
      <c r="A174" s="31">
        <v>45116</v>
      </c>
      <c r="B174" s="32" t="s">
        <v>12</v>
      </c>
      <c r="C174" s="32" t="s">
        <v>16</v>
      </c>
      <c r="D174" s="32" t="s">
        <v>17</v>
      </c>
      <c r="E174" s="32" t="s">
        <v>27</v>
      </c>
      <c r="F174" s="32">
        <v>2</v>
      </c>
      <c r="G174" s="32">
        <v>4</v>
      </c>
      <c r="H174" s="32" t="s">
        <v>52</v>
      </c>
      <c r="I174" s="32">
        <v>49</v>
      </c>
      <c r="J174" s="32">
        <v>3022.72</v>
      </c>
      <c r="K174" s="32">
        <v>12090.88</v>
      </c>
    </row>
    <row r="175" spans="1:11" ht="15.5" x14ac:dyDescent="0.35">
      <c r="A175" s="31">
        <v>45285</v>
      </c>
      <c r="B175" s="32" t="s">
        <v>8</v>
      </c>
      <c r="C175" s="32" t="s">
        <v>28</v>
      </c>
      <c r="D175" s="32" t="s">
        <v>30</v>
      </c>
      <c r="E175" s="32" t="s">
        <v>11</v>
      </c>
      <c r="F175" s="32">
        <v>5</v>
      </c>
      <c r="G175" s="32">
        <v>2</v>
      </c>
      <c r="H175" s="32" t="s">
        <v>53</v>
      </c>
      <c r="I175" s="32">
        <v>46</v>
      </c>
      <c r="J175" s="32">
        <v>2171.79</v>
      </c>
      <c r="K175" s="32">
        <v>4343.58</v>
      </c>
    </row>
    <row r="176" spans="1:11" ht="15.5" x14ac:dyDescent="0.35">
      <c r="A176" s="31">
        <v>45012</v>
      </c>
      <c r="B176" s="32" t="s">
        <v>20</v>
      </c>
      <c r="C176" s="32" t="s">
        <v>21</v>
      </c>
      <c r="D176" s="32" t="s">
        <v>22</v>
      </c>
      <c r="E176" s="32" t="s">
        <v>11</v>
      </c>
      <c r="F176" s="32">
        <v>5</v>
      </c>
      <c r="G176" s="32">
        <v>9</v>
      </c>
      <c r="H176" s="32" t="s">
        <v>54</v>
      </c>
      <c r="I176" s="32">
        <v>41</v>
      </c>
      <c r="J176" s="32">
        <v>1667.06</v>
      </c>
      <c r="K176" s="32">
        <v>15003.54</v>
      </c>
    </row>
    <row r="177" spans="1:11" ht="15.5" hidden="1" x14ac:dyDescent="0.35">
      <c r="A177" s="31">
        <v>45104</v>
      </c>
      <c r="B177" s="32" t="s">
        <v>8</v>
      </c>
      <c r="C177" s="32" t="s">
        <v>28</v>
      </c>
      <c r="D177" s="32" t="s">
        <v>30</v>
      </c>
      <c r="E177" s="32" t="s">
        <v>18</v>
      </c>
      <c r="F177" s="32">
        <v>4</v>
      </c>
      <c r="G177" s="32">
        <v>6</v>
      </c>
      <c r="H177" s="32" t="s">
        <v>55</v>
      </c>
      <c r="I177" s="32">
        <v>32</v>
      </c>
      <c r="J177" s="32">
        <v>1985.97</v>
      </c>
      <c r="K177" s="32">
        <v>11915.82</v>
      </c>
    </row>
    <row r="178" spans="1:11" ht="15.5" x14ac:dyDescent="0.35">
      <c r="A178" s="31">
        <v>44950</v>
      </c>
      <c r="B178" s="32" t="s">
        <v>8</v>
      </c>
      <c r="C178" s="32" t="s">
        <v>9</v>
      </c>
      <c r="D178" s="32" t="s">
        <v>23</v>
      </c>
      <c r="E178" s="32" t="s">
        <v>11</v>
      </c>
      <c r="F178" s="32">
        <v>5</v>
      </c>
      <c r="G178" s="32">
        <v>15</v>
      </c>
      <c r="H178" s="32" t="s">
        <v>56</v>
      </c>
      <c r="I178" s="32">
        <v>17</v>
      </c>
      <c r="J178" s="32">
        <v>2706.66</v>
      </c>
      <c r="K178" s="32">
        <v>40599.9</v>
      </c>
    </row>
    <row r="179" spans="1:11" ht="15.5" hidden="1" x14ac:dyDescent="0.35">
      <c r="A179" s="31">
        <v>45193</v>
      </c>
      <c r="B179" s="32" t="s">
        <v>12</v>
      </c>
      <c r="C179" s="32" t="s">
        <v>16</v>
      </c>
      <c r="D179" s="32" t="s">
        <v>25</v>
      </c>
      <c r="E179" s="32" t="s">
        <v>24</v>
      </c>
      <c r="F179" s="32">
        <v>3</v>
      </c>
      <c r="G179" s="32">
        <v>16</v>
      </c>
      <c r="H179" s="32" t="s">
        <v>57</v>
      </c>
      <c r="I179" s="32">
        <v>25</v>
      </c>
      <c r="J179" s="32">
        <v>2793.48</v>
      </c>
      <c r="K179" s="32">
        <v>44695.68</v>
      </c>
    </row>
    <row r="180" spans="1:11" ht="15.5" hidden="1" x14ac:dyDescent="0.35">
      <c r="A180" s="31">
        <v>45162</v>
      </c>
      <c r="B180" s="32" t="s">
        <v>8</v>
      </c>
      <c r="C180" s="32" t="s">
        <v>28</v>
      </c>
      <c r="D180" s="32" t="s">
        <v>30</v>
      </c>
      <c r="E180" s="32" t="s">
        <v>15</v>
      </c>
      <c r="F180" s="32">
        <v>1</v>
      </c>
      <c r="G180" s="32">
        <v>16</v>
      </c>
      <c r="H180" s="32" t="s">
        <v>58</v>
      </c>
      <c r="I180" s="32">
        <v>44</v>
      </c>
      <c r="J180" s="32">
        <v>2666.78</v>
      </c>
      <c r="K180" s="32">
        <v>42668.480000000003</v>
      </c>
    </row>
    <row r="181" spans="1:11" ht="15.5" hidden="1" x14ac:dyDescent="0.35">
      <c r="A181" s="31">
        <v>45245</v>
      </c>
      <c r="B181" s="32" t="s">
        <v>20</v>
      </c>
      <c r="C181" s="32" t="s">
        <v>21</v>
      </c>
      <c r="D181" s="32" t="s">
        <v>34</v>
      </c>
      <c r="E181" s="32" t="s">
        <v>18</v>
      </c>
      <c r="F181" s="32">
        <v>4</v>
      </c>
      <c r="G181" s="32">
        <v>13</v>
      </c>
      <c r="H181" s="32" t="s">
        <v>59</v>
      </c>
      <c r="I181" s="32">
        <v>37</v>
      </c>
      <c r="J181" s="32">
        <v>864.09</v>
      </c>
      <c r="K181" s="32">
        <v>11233.17</v>
      </c>
    </row>
    <row r="182" spans="1:11" ht="15.5" hidden="1" x14ac:dyDescent="0.35">
      <c r="A182" s="31">
        <v>44976</v>
      </c>
      <c r="B182" s="32" t="s">
        <v>8</v>
      </c>
      <c r="C182" s="32" t="s">
        <v>28</v>
      </c>
      <c r="D182" s="32" t="s">
        <v>32</v>
      </c>
      <c r="E182" s="32" t="s">
        <v>15</v>
      </c>
      <c r="F182" s="32">
        <v>1</v>
      </c>
      <c r="G182" s="32">
        <v>19</v>
      </c>
      <c r="H182" s="32" t="s">
        <v>48</v>
      </c>
      <c r="I182" s="32">
        <v>18</v>
      </c>
      <c r="J182" s="32">
        <v>3649.75</v>
      </c>
      <c r="K182" s="32">
        <v>69345.25</v>
      </c>
    </row>
    <row r="183" spans="1:11" ht="15.5" hidden="1" x14ac:dyDescent="0.35">
      <c r="A183" s="31">
        <v>45013</v>
      </c>
      <c r="B183" s="32" t="s">
        <v>8</v>
      </c>
      <c r="C183" s="32" t="s">
        <v>28</v>
      </c>
      <c r="D183" s="32" t="s">
        <v>30</v>
      </c>
      <c r="E183" s="32" t="s">
        <v>15</v>
      </c>
      <c r="F183" s="32">
        <v>1</v>
      </c>
      <c r="G183" s="32">
        <v>10</v>
      </c>
      <c r="H183" s="32" t="s">
        <v>49</v>
      </c>
      <c r="I183" s="32">
        <v>39</v>
      </c>
      <c r="J183" s="32">
        <v>4718.03</v>
      </c>
      <c r="K183" s="32">
        <v>47180.3</v>
      </c>
    </row>
    <row r="184" spans="1:11" ht="15.5" hidden="1" x14ac:dyDescent="0.35">
      <c r="A184" s="31">
        <v>45160</v>
      </c>
      <c r="B184" s="32" t="s">
        <v>8</v>
      </c>
      <c r="C184" s="32" t="s">
        <v>9</v>
      </c>
      <c r="D184" s="32" t="s">
        <v>23</v>
      </c>
      <c r="E184" s="32" t="s">
        <v>24</v>
      </c>
      <c r="F184" s="32">
        <v>3</v>
      </c>
      <c r="G184" s="32">
        <v>5</v>
      </c>
      <c r="H184" s="32" t="s">
        <v>50</v>
      </c>
      <c r="I184" s="32">
        <v>24</v>
      </c>
      <c r="J184" s="32">
        <v>4386.2</v>
      </c>
      <c r="K184" s="32">
        <v>21931</v>
      </c>
    </row>
    <row r="185" spans="1:11" ht="15.5" hidden="1" x14ac:dyDescent="0.35">
      <c r="A185" s="31">
        <v>45110</v>
      </c>
      <c r="B185" s="32" t="s">
        <v>12</v>
      </c>
      <c r="C185" s="32" t="s">
        <v>16</v>
      </c>
      <c r="D185" s="32" t="s">
        <v>19</v>
      </c>
      <c r="E185" s="32" t="s">
        <v>18</v>
      </c>
      <c r="F185" s="32">
        <v>4</v>
      </c>
      <c r="G185" s="32">
        <v>3</v>
      </c>
      <c r="H185" s="32" t="s">
        <v>51</v>
      </c>
      <c r="I185" s="32">
        <v>31</v>
      </c>
      <c r="J185" s="32">
        <v>2966.4</v>
      </c>
      <c r="K185" s="32">
        <v>8899.2000000000007</v>
      </c>
    </row>
    <row r="186" spans="1:11" ht="15.5" hidden="1" x14ac:dyDescent="0.35">
      <c r="A186" s="31">
        <v>45243</v>
      </c>
      <c r="B186" s="32" t="s">
        <v>8</v>
      </c>
      <c r="C186" s="32" t="s">
        <v>9</v>
      </c>
      <c r="D186" s="32" t="s">
        <v>10</v>
      </c>
      <c r="E186" s="32" t="s">
        <v>24</v>
      </c>
      <c r="F186" s="32">
        <v>3</v>
      </c>
      <c r="G186" s="32">
        <v>12</v>
      </c>
      <c r="H186" s="32" t="s">
        <v>52</v>
      </c>
      <c r="I186" s="32">
        <v>32</v>
      </c>
      <c r="J186" s="32">
        <v>3074.45</v>
      </c>
      <c r="K186" s="32">
        <v>36893.4</v>
      </c>
    </row>
    <row r="187" spans="1:11" ht="15.5" hidden="1" x14ac:dyDescent="0.35">
      <c r="A187" s="31">
        <v>45118</v>
      </c>
      <c r="B187" s="32" t="s">
        <v>12</v>
      </c>
      <c r="C187" s="32" t="s">
        <v>16</v>
      </c>
      <c r="D187" s="32" t="s">
        <v>25</v>
      </c>
      <c r="E187" s="32" t="s">
        <v>18</v>
      </c>
      <c r="F187" s="32">
        <v>4</v>
      </c>
      <c r="G187" s="32">
        <v>10</v>
      </c>
      <c r="H187" s="32" t="s">
        <v>53</v>
      </c>
      <c r="I187" s="32">
        <v>43</v>
      </c>
      <c r="J187" s="32">
        <v>3122.59</v>
      </c>
      <c r="K187" s="32">
        <v>31225.9</v>
      </c>
    </row>
    <row r="188" spans="1:11" ht="15.5" x14ac:dyDescent="0.35">
      <c r="A188" s="31">
        <v>45264</v>
      </c>
      <c r="B188" s="32" t="s">
        <v>12</v>
      </c>
      <c r="C188" s="32" t="s">
        <v>13</v>
      </c>
      <c r="D188" s="32" t="s">
        <v>14</v>
      </c>
      <c r="E188" s="32" t="s">
        <v>11</v>
      </c>
      <c r="F188" s="32">
        <v>5</v>
      </c>
      <c r="G188" s="32">
        <v>10</v>
      </c>
      <c r="H188" s="32" t="s">
        <v>54</v>
      </c>
      <c r="I188" s="32">
        <v>33</v>
      </c>
      <c r="J188" s="32">
        <v>3964.05</v>
      </c>
      <c r="K188" s="32">
        <v>39640.5</v>
      </c>
    </row>
    <row r="189" spans="1:11" ht="15.5" hidden="1" x14ac:dyDescent="0.35">
      <c r="A189" s="31">
        <v>44942</v>
      </c>
      <c r="B189" s="32" t="s">
        <v>8</v>
      </c>
      <c r="C189" s="32" t="s">
        <v>28</v>
      </c>
      <c r="D189" s="32" t="s">
        <v>32</v>
      </c>
      <c r="E189" s="32" t="s">
        <v>27</v>
      </c>
      <c r="F189" s="32">
        <v>2</v>
      </c>
      <c r="G189" s="32">
        <v>18</v>
      </c>
      <c r="H189" s="32" t="s">
        <v>55</v>
      </c>
      <c r="I189" s="32">
        <v>49</v>
      </c>
      <c r="J189" s="32">
        <v>3561.06</v>
      </c>
      <c r="K189" s="32">
        <v>64099.08</v>
      </c>
    </row>
    <row r="190" spans="1:11" ht="15.5" hidden="1" x14ac:dyDescent="0.35">
      <c r="A190" s="31">
        <v>45270</v>
      </c>
      <c r="B190" s="32" t="s">
        <v>8</v>
      </c>
      <c r="C190" s="32" t="s">
        <v>28</v>
      </c>
      <c r="D190" s="32" t="s">
        <v>32</v>
      </c>
      <c r="E190" s="32" t="s">
        <v>27</v>
      </c>
      <c r="F190" s="32">
        <v>2</v>
      </c>
      <c r="G190" s="32">
        <v>4</v>
      </c>
      <c r="H190" s="32" t="s">
        <v>56</v>
      </c>
      <c r="I190" s="32">
        <v>48</v>
      </c>
      <c r="J190" s="32">
        <v>1208.21</v>
      </c>
      <c r="K190" s="32">
        <v>4832.84</v>
      </c>
    </row>
    <row r="191" spans="1:11" ht="15.5" x14ac:dyDescent="0.35">
      <c r="A191" s="31">
        <v>45252</v>
      </c>
      <c r="B191" s="32" t="s">
        <v>20</v>
      </c>
      <c r="C191" s="32" t="s">
        <v>21</v>
      </c>
      <c r="D191" s="32" t="s">
        <v>22</v>
      </c>
      <c r="E191" s="32" t="s">
        <v>11</v>
      </c>
      <c r="F191" s="32">
        <v>5</v>
      </c>
      <c r="G191" s="32">
        <v>9</v>
      </c>
      <c r="H191" s="32" t="s">
        <v>57</v>
      </c>
      <c r="I191" s="32">
        <v>26</v>
      </c>
      <c r="J191" s="32">
        <v>3552.02</v>
      </c>
      <c r="K191" s="32">
        <v>31968.18</v>
      </c>
    </row>
    <row r="192" spans="1:11" ht="15.5" hidden="1" x14ac:dyDescent="0.35">
      <c r="A192" s="31">
        <v>45286</v>
      </c>
      <c r="B192" s="32" t="s">
        <v>8</v>
      </c>
      <c r="C192" s="32" t="s">
        <v>28</v>
      </c>
      <c r="D192" s="32" t="s">
        <v>30</v>
      </c>
      <c r="E192" s="32" t="s">
        <v>15</v>
      </c>
      <c r="F192" s="32">
        <v>1</v>
      </c>
      <c r="G192" s="32">
        <v>14</v>
      </c>
      <c r="H192" s="32" t="s">
        <v>58</v>
      </c>
      <c r="I192" s="32">
        <v>49</v>
      </c>
      <c r="J192" s="32">
        <v>2260.17</v>
      </c>
      <c r="K192" s="32">
        <v>31642.38</v>
      </c>
    </row>
    <row r="193" spans="1:11" ht="15.5" hidden="1" x14ac:dyDescent="0.35">
      <c r="A193" s="31">
        <v>45286</v>
      </c>
      <c r="B193" s="32" t="s">
        <v>12</v>
      </c>
      <c r="C193" s="32" t="s">
        <v>16</v>
      </c>
      <c r="D193" s="32" t="s">
        <v>25</v>
      </c>
      <c r="E193" s="32" t="s">
        <v>24</v>
      </c>
      <c r="F193" s="32">
        <v>3</v>
      </c>
      <c r="G193" s="32">
        <v>7</v>
      </c>
      <c r="H193" s="32" t="s">
        <v>59</v>
      </c>
      <c r="I193" s="32">
        <v>37</v>
      </c>
      <c r="J193" s="32">
        <v>2557.77</v>
      </c>
      <c r="K193" s="32">
        <v>17904.39</v>
      </c>
    </row>
    <row r="194" spans="1:11" ht="15.5" x14ac:dyDescent="0.35">
      <c r="A194" s="31">
        <v>45243</v>
      </c>
      <c r="B194" s="32" t="s">
        <v>12</v>
      </c>
      <c r="C194" s="32" t="s">
        <v>13</v>
      </c>
      <c r="D194" s="32" t="s">
        <v>14</v>
      </c>
      <c r="E194" s="32" t="s">
        <v>11</v>
      </c>
      <c r="F194" s="32">
        <v>5</v>
      </c>
      <c r="G194" s="32">
        <v>2</v>
      </c>
      <c r="H194" s="32" t="s">
        <v>48</v>
      </c>
      <c r="I194" s="32">
        <v>20</v>
      </c>
      <c r="J194" s="32">
        <v>2914.14</v>
      </c>
      <c r="K194" s="32">
        <v>5828.28</v>
      </c>
    </row>
    <row r="195" spans="1:11" ht="15.5" x14ac:dyDescent="0.35">
      <c r="A195" s="31">
        <v>45269</v>
      </c>
      <c r="B195" s="32" t="s">
        <v>20</v>
      </c>
      <c r="C195" s="32" t="s">
        <v>21</v>
      </c>
      <c r="D195" s="32" t="s">
        <v>35</v>
      </c>
      <c r="E195" s="32" t="s">
        <v>11</v>
      </c>
      <c r="F195" s="32">
        <v>5</v>
      </c>
      <c r="G195" s="32">
        <v>12</v>
      </c>
      <c r="H195" s="32" t="s">
        <v>49</v>
      </c>
      <c r="I195" s="32">
        <v>28</v>
      </c>
      <c r="J195" s="32">
        <v>2726.43</v>
      </c>
      <c r="K195" s="32">
        <v>32717.16</v>
      </c>
    </row>
    <row r="196" spans="1:11" ht="15.5" hidden="1" x14ac:dyDescent="0.35">
      <c r="A196" s="31">
        <v>45261</v>
      </c>
      <c r="B196" s="32" t="s">
        <v>12</v>
      </c>
      <c r="C196" s="32" t="s">
        <v>13</v>
      </c>
      <c r="D196" s="32" t="s">
        <v>33</v>
      </c>
      <c r="E196" s="32" t="s">
        <v>15</v>
      </c>
      <c r="F196" s="32">
        <v>1</v>
      </c>
      <c r="G196" s="32">
        <v>10</v>
      </c>
      <c r="H196" s="32" t="s">
        <v>50</v>
      </c>
      <c r="I196" s="32">
        <v>44</v>
      </c>
      <c r="J196" s="32">
        <v>3950.06</v>
      </c>
      <c r="K196" s="32">
        <v>39500.6</v>
      </c>
    </row>
    <row r="197" spans="1:11" ht="15.5" hidden="1" x14ac:dyDescent="0.35">
      <c r="A197" s="31">
        <v>45110</v>
      </c>
      <c r="B197" s="32" t="s">
        <v>12</v>
      </c>
      <c r="C197" s="32" t="s">
        <v>16</v>
      </c>
      <c r="D197" s="32" t="s">
        <v>19</v>
      </c>
      <c r="E197" s="32" t="s">
        <v>15</v>
      </c>
      <c r="F197" s="32">
        <v>1</v>
      </c>
      <c r="G197" s="32">
        <v>3</v>
      </c>
      <c r="H197" s="32" t="s">
        <v>51</v>
      </c>
      <c r="I197" s="32">
        <v>32</v>
      </c>
      <c r="J197" s="32">
        <v>4999.6899999999996</v>
      </c>
      <c r="K197" s="32">
        <v>14999.07</v>
      </c>
    </row>
    <row r="198" spans="1:11" ht="15.5" x14ac:dyDescent="0.35">
      <c r="A198" s="31">
        <v>45209</v>
      </c>
      <c r="B198" s="32" t="s">
        <v>8</v>
      </c>
      <c r="C198" s="32" t="s">
        <v>9</v>
      </c>
      <c r="D198" s="32" t="s">
        <v>10</v>
      </c>
      <c r="E198" s="32" t="s">
        <v>11</v>
      </c>
      <c r="F198" s="32">
        <v>5</v>
      </c>
      <c r="G198" s="32">
        <v>15</v>
      </c>
      <c r="H198" s="32" t="s">
        <v>52</v>
      </c>
      <c r="I198" s="32">
        <v>25</v>
      </c>
      <c r="J198" s="32">
        <v>4657.82</v>
      </c>
      <c r="K198" s="32">
        <v>69867.3</v>
      </c>
    </row>
    <row r="199" spans="1:11" ht="15.5" hidden="1" x14ac:dyDescent="0.35">
      <c r="A199" s="31">
        <v>45108</v>
      </c>
      <c r="B199" s="32" t="s">
        <v>12</v>
      </c>
      <c r="C199" s="32" t="s">
        <v>16</v>
      </c>
      <c r="D199" s="32" t="s">
        <v>25</v>
      </c>
      <c r="E199" s="32" t="s">
        <v>24</v>
      </c>
      <c r="F199" s="32">
        <v>3</v>
      </c>
      <c r="G199" s="32">
        <v>2</v>
      </c>
      <c r="H199" s="32" t="s">
        <v>53</v>
      </c>
      <c r="I199" s="32">
        <v>34</v>
      </c>
      <c r="J199" s="32">
        <v>4997.2299999999996</v>
      </c>
      <c r="K199" s="32">
        <v>9994.4599999999991</v>
      </c>
    </row>
    <row r="200" spans="1:11" ht="15.5" hidden="1" x14ac:dyDescent="0.35">
      <c r="A200" s="31">
        <v>45128</v>
      </c>
      <c r="B200" s="32" t="s">
        <v>12</v>
      </c>
      <c r="C200" s="32" t="s">
        <v>16</v>
      </c>
      <c r="D200" s="32" t="s">
        <v>25</v>
      </c>
      <c r="E200" s="32" t="s">
        <v>15</v>
      </c>
      <c r="F200" s="32">
        <v>1</v>
      </c>
      <c r="G200" s="32">
        <v>15</v>
      </c>
      <c r="H200" s="32" t="s">
        <v>54</v>
      </c>
      <c r="I200" s="32">
        <v>30</v>
      </c>
      <c r="J200" s="32">
        <v>4579.29</v>
      </c>
      <c r="K200" s="32">
        <v>68689.350000000006</v>
      </c>
    </row>
    <row r="201" spans="1:11" ht="15.5" hidden="1" x14ac:dyDescent="0.35">
      <c r="A201" s="31">
        <v>45245</v>
      </c>
      <c r="B201" s="32" t="s">
        <v>8</v>
      </c>
      <c r="C201" s="32" t="s">
        <v>28</v>
      </c>
      <c r="D201" s="32" t="s">
        <v>32</v>
      </c>
      <c r="E201" s="32" t="s">
        <v>27</v>
      </c>
      <c r="F201" s="32">
        <v>2</v>
      </c>
      <c r="G201" s="32">
        <v>5</v>
      </c>
      <c r="H201" s="32" t="s">
        <v>55</v>
      </c>
      <c r="I201" s="32">
        <v>55</v>
      </c>
      <c r="J201" s="32">
        <v>3619.58</v>
      </c>
      <c r="K201" s="32">
        <v>18097.900000000001</v>
      </c>
    </row>
    <row r="202" spans="1:11" ht="15.5" hidden="1" x14ac:dyDescent="0.35">
      <c r="A202" s="31">
        <v>45279</v>
      </c>
      <c r="B202" s="32" t="s">
        <v>12</v>
      </c>
      <c r="C202" s="32" t="s">
        <v>16</v>
      </c>
      <c r="D202" s="32" t="s">
        <v>19</v>
      </c>
      <c r="E202" s="32" t="s">
        <v>18</v>
      </c>
      <c r="F202" s="32">
        <v>4</v>
      </c>
      <c r="G202" s="32">
        <v>11</v>
      </c>
      <c r="H202" s="32" t="s">
        <v>56</v>
      </c>
      <c r="I202" s="32">
        <v>28</v>
      </c>
      <c r="J202" s="32">
        <v>1389.59</v>
      </c>
      <c r="K202" s="32">
        <v>15285.49</v>
      </c>
    </row>
    <row r="203" spans="1:11" ht="15.5" hidden="1" x14ac:dyDescent="0.35">
      <c r="A203" s="31">
        <v>45284</v>
      </c>
      <c r="B203" s="32" t="s">
        <v>12</v>
      </c>
      <c r="C203" s="32" t="s">
        <v>16</v>
      </c>
      <c r="D203" s="32" t="s">
        <v>25</v>
      </c>
      <c r="E203" s="32" t="s">
        <v>24</v>
      </c>
      <c r="F203" s="32">
        <v>3</v>
      </c>
      <c r="G203" s="32">
        <v>9</v>
      </c>
      <c r="H203" s="32" t="s">
        <v>57</v>
      </c>
      <c r="I203" s="32">
        <v>47</v>
      </c>
      <c r="J203" s="32">
        <v>1302.45</v>
      </c>
      <c r="K203" s="32">
        <v>11722.05</v>
      </c>
    </row>
    <row r="204" spans="1:11" ht="15.5" x14ac:dyDescent="0.35">
      <c r="A204" s="31">
        <v>45193</v>
      </c>
      <c r="B204" s="32" t="s">
        <v>8</v>
      </c>
      <c r="C204" s="32" t="s">
        <v>28</v>
      </c>
      <c r="D204" s="32" t="s">
        <v>32</v>
      </c>
      <c r="E204" s="32" t="s">
        <v>11</v>
      </c>
      <c r="F204" s="32">
        <v>5</v>
      </c>
      <c r="G204" s="32">
        <v>10</v>
      </c>
      <c r="H204" s="32" t="s">
        <v>58</v>
      </c>
      <c r="I204" s="32">
        <v>24</v>
      </c>
      <c r="J204" s="32">
        <v>743.68</v>
      </c>
      <c r="K204" s="32">
        <v>7436.8</v>
      </c>
    </row>
    <row r="205" spans="1:11" ht="15.5" hidden="1" x14ac:dyDescent="0.35">
      <c r="A205" s="31">
        <v>45213</v>
      </c>
      <c r="B205" s="32" t="s">
        <v>12</v>
      </c>
      <c r="C205" s="32" t="s">
        <v>16</v>
      </c>
      <c r="D205" s="32" t="s">
        <v>17</v>
      </c>
      <c r="E205" s="32" t="s">
        <v>18</v>
      </c>
      <c r="F205" s="32">
        <v>4</v>
      </c>
      <c r="G205" s="32">
        <v>5</v>
      </c>
      <c r="H205" s="32" t="s">
        <v>59</v>
      </c>
      <c r="I205" s="32">
        <v>38</v>
      </c>
      <c r="J205" s="32">
        <v>1445.72</v>
      </c>
      <c r="K205" s="32">
        <v>7228.6</v>
      </c>
    </row>
    <row r="206" spans="1:11" ht="15.5" hidden="1" x14ac:dyDescent="0.35">
      <c r="A206" s="31">
        <v>45112</v>
      </c>
      <c r="B206" s="32" t="s">
        <v>20</v>
      </c>
      <c r="C206" s="32" t="s">
        <v>21</v>
      </c>
      <c r="D206" s="32" t="s">
        <v>22</v>
      </c>
      <c r="E206" s="32" t="s">
        <v>27</v>
      </c>
      <c r="F206" s="32">
        <v>2</v>
      </c>
      <c r="G206" s="32">
        <v>10</v>
      </c>
      <c r="H206" s="32" t="s">
        <v>48</v>
      </c>
      <c r="I206" s="32">
        <v>19</v>
      </c>
      <c r="J206" s="32">
        <v>3411.13</v>
      </c>
      <c r="K206" s="32">
        <v>34111.300000000003</v>
      </c>
    </row>
    <row r="207" spans="1:11" ht="15.5" x14ac:dyDescent="0.35">
      <c r="A207" s="31">
        <v>44999</v>
      </c>
      <c r="B207" s="32" t="s">
        <v>20</v>
      </c>
      <c r="C207" s="32" t="s">
        <v>21</v>
      </c>
      <c r="D207" s="32" t="s">
        <v>22</v>
      </c>
      <c r="E207" s="32" t="s">
        <v>11</v>
      </c>
      <c r="F207" s="32">
        <v>5</v>
      </c>
      <c r="G207" s="32">
        <v>20</v>
      </c>
      <c r="H207" s="32" t="s">
        <v>49</v>
      </c>
      <c r="I207" s="32">
        <v>40</v>
      </c>
      <c r="J207" s="32">
        <v>3069.92</v>
      </c>
      <c r="K207" s="32">
        <v>61398.400000000001</v>
      </c>
    </row>
    <row r="208" spans="1:11" ht="15.5" hidden="1" x14ac:dyDescent="0.35">
      <c r="A208" s="31">
        <v>44993</v>
      </c>
      <c r="B208" s="32" t="s">
        <v>20</v>
      </c>
      <c r="C208" s="32" t="s">
        <v>21</v>
      </c>
      <c r="D208" s="32" t="s">
        <v>34</v>
      </c>
      <c r="E208" s="32" t="s">
        <v>27</v>
      </c>
      <c r="F208" s="32">
        <v>2</v>
      </c>
      <c r="G208" s="32">
        <v>11</v>
      </c>
      <c r="H208" s="32" t="s">
        <v>50</v>
      </c>
      <c r="I208" s="32">
        <v>49</v>
      </c>
      <c r="J208" s="32">
        <v>377.1</v>
      </c>
      <c r="K208" s="32">
        <v>4148.1000000000004</v>
      </c>
    </row>
    <row r="209" spans="1:11" ht="15.5" hidden="1" x14ac:dyDescent="0.35">
      <c r="A209" s="31">
        <v>45080</v>
      </c>
      <c r="B209" s="32" t="s">
        <v>12</v>
      </c>
      <c r="C209" s="32" t="s">
        <v>13</v>
      </c>
      <c r="D209" s="32" t="s">
        <v>33</v>
      </c>
      <c r="E209" s="32" t="s">
        <v>15</v>
      </c>
      <c r="F209" s="32">
        <v>1</v>
      </c>
      <c r="G209" s="32">
        <v>9</v>
      </c>
      <c r="H209" s="32" t="s">
        <v>51</v>
      </c>
      <c r="I209" s="32">
        <v>31</v>
      </c>
      <c r="J209" s="32">
        <v>203.38</v>
      </c>
      <c r="K209" s="32">
        <v>1830.42</v>
      </c>
    </row>
    <row r="210" spans="1:11" ht="15.5" hidden="1" x14ac:dyDescent="0.35">
      <c r="A210" s="31">
        <v>45021</v>
      </c>
      <c r="B210" s="32" t="s">
        <v>12</v>
      </c>
      <c r="C210" s="32" t="s">
        <v>13</v>
      </c>
      <c r="D210" s="32" t="s">
        <v>26</v>
      </c>
      <c r="E210" s="32" t="s">
        <v>18</v>
      </c>
      <c r="F210" s="32">
        <v>4</v>
      </c>
      <c r="G210" s="32">
        <v>6</v>
      </c>
      <c r="H210" s="32" t="s">
        <v>52</v>
      </c>
      <c r="I210" s="32">
        <v>32</v>
      </c>
      <c r="J210" s="32">
        <v>3457.43</v>
      </c>
      <c r="K210" s="32">
        <v>20744.580000000002</v>
      </c>
    </row>
    <row r="211" spans="1:11" ht="15.5" hidden="1" x14ac:dyDescent="0.35">
      <c r="A211" s="31">
        <v>45154</v>
      </c>
      <c r="B211" s="32" t="s">
        <v>8</v>
      </c>
      <c r="C211" s="32" t="s">
        <v>9</v>
      </c>
      <c r="D211" s="32" t="s">
        <v>23</v>
      </c>
      <c r="E211" s="32" t="s">
        <v>24</v>
      </c>
      <c r="F211" s="32">
        <v>3</v>
      </c>
      <c r="G211" s="32">
        <v>11</v>
      </c>
      <c r="H211" s="32" t="s">
        <v>53</v>
      </c>
      <c r="I211" s="32">
        <v>23</v>
      </c>
      <c r="J211" s="32">
        <v>3646.35</v>
      </c>
      <c r="K211" s="32">
        <v>40109.85</v>
      </c>
    </row>
    <row r="212" spans="1:11" ht="15.5" x14ac:dyDescent="0.35">
      <c r="A212" s="31">
        <v>44997</v>
      </c>
      <c r="B212" s="32" t="s">
        <v>12</v>
      </c>
      <c r="C212" s="32" t="s">
        <v>13</v>
      </c>
      <c r="D212" s="32" t="s">
        <v>26</v>
      </c>
      <c r="E212" s="32" t="s">
        <v>11</v>
      </c>
      <c r="F212" s="32">
        <v>5</v>
      </c>
      <c r="G212" s="32">
        <v>6</v>
      </c>
      <c r="H212" s="32" t="s">
        <v>54</v>
      </c>
      <c r="I212" s="32">
        <v>25</v>
      </c>
      <c r="J212" s="32">
        <v>827.78</v>
      </c>
      <c r="K212" s="32">
        <v>4966.68</v>
      </c>
    </row>
    <row r="213" spans="1:11" ht="15.5" x14ac:dyDescent="0.35">
      <c r="A213" s="31">
        <v>44985</v>
      </c>
      <c r="B213" s="32" t="s">
        <v>12</v>
      </c>
      <c r="C213" s="32" t="s">
        <v>13</v>
      </c>
      <c r="D213" s="32" t="s">
        <v>26</v>
      </c>
      <c r="E213" s="32" t="s">
        <v>11</v>
      </c>
      <c r="F213" s="32">
        <v>5</v>
      </c>
      <c r="G213" s="32">
        <v>18</v>
      </c>
      <c r="H213" s="32" t="s">
        <v>55</v>
      </c>
      <c r="I213" s="32">
        <v>39</v>
      </c>
      <c r="J213" s="32">
        <v>3102.47</v>
      </c>
      <c r="K213" s="32">
        <v>55844.46</v>
      </c>
    </row>
    <row r="214" spans="1:11" ht="15.5" x14ac:dyDescent="0.35">
      <c r="A214" s="31">
        <v>44975</v>
      </c>
      <c r="B214" s="32" t="s">
        <v>8</v>
      </c>
      <c r="C214" s="32" t="s">
        <v>28</v>
      </c>
      <c r="D214" s="32" t="s">
        <v>29</v>
      </c>
      <c r="E214" s="32" t="s">
        <v>11</v>
      </c>
      <c r="F214" s="32">
        <v>5</v>
      </c>
      <c r="G214" s="32">
        <v>9</v>
      </c>
      <c r="H214" s="32" t="s">
        <v>56</v>
      </c>
      <c r="I214" s="32">
        <v>35</v>
      </c>
      <c r="J214" s="32">
        <v>2677.7</v>
      </c>
      <c r="K214" s="32">
        <v>24099.3</v>
      </c>
    </row>
    <row r="215" spans="1:11" ht="15.5" x14ac:dyDescent="0.35">
      <c r="A215" s="31">
        <v>45037</v>
      </c>
      <c r="B215" s="32" t="s">
        <v>12</v>
      </c>
      <c r="C215" s="32" t="s">
        <v>13</v>
      </c>
      <c r="D215" s="32" t="s">
        <v>26</v>
      </c>
      <c r="E215" s="32" t="s">
        <v>11</v>
      </c>
      <c r="F215" s="32">
        <v>5</v>
      </c>
      <c r="G215" s="32">
        <v>17</v>
      </c>
      <c r="H215" s="32" t="s">
        <v>57</v>
      </c>
      <c r="I215" s="32">
        <v>49</v>
      </c>
      <c r="J215" s="32">
        <v>1071.3</v>
      </c>
      <c r="K215" s="32">
        <v>18212.099999999999</v>
      </c>
    </row>
    <row r="216" spans="1:11" ht="15.5" hidden="1" x14ac:dyDescent="0.35">
      <c r="A216" s="31">
        <v>45113</v>
      </c>
      <c r="B216" s="32" t="s">
        <v>12</v>
      </c>
      <c r="C216" s="32" t="s">
        <v>16</v>
      </c>
      <c r="D216" s="32" t="s">
        <v>25</v>
      </c>
      <c r="E216" s="32" t="s">
        <v>18</v>
      </c>
      <c r="F216" s="32">
        <v>4</v>
      </c>
      <c r="G216" s="32">
        <v>9</v>
      </c>
      <c r="H216" s="32" t="s">
        <v>58</v>
      </c>
      <c r="I216" s="32">
        <v>29</v>
      </c>
      <c r="J216" s="32">
        <v>3395.02</v>
      </c>
      <c r="K216" s="32">
        <v>30555.18</v>
      </c>
    </row>
    <row r="217" spans="1:11" ht="15.5" hidden="1" x14ac:dyDescent="0.35">
      <c r="A217" s="31">
        <v>45161</v>
      </c>
      <c r="B217" s="32" t="s">
        <v>12</v>
      </c>
      <c r="C217" s="32" t="s">
        <v>16</v>
      </c>
      <c r="D217" s="32" t="s">
        <v>25</v>
      </c>
      <c r="E217" s="32" t="s">
        <v>18</v>
      </c>
      <c r="F217" s="32">
        <v>4</v>
      </c>
      <c r="G217" s="32">
        <v>12</v>
      </c>
      <c r="H217" s="32" t="s">
        <v>59</v>
      </c>
      <c r="I217" s="32">
        <v>16</v>
      </c>
      <c r="J217" s="32">
        <v>3932.48</v>
      </c>
      <c r="K217" s="32">
        <v>47189.760000000002</v>
      </c>
    </row>
    <row r="218" spans="1:11" ht="15.5" x14ac:dyDescent="0.35">
      <c r="A218" s="31">
        <v>45158</v>
      </c>
      <c r="B218" s="32" t="s">
        <v>8</v>
      </c>
      <c r="C218" s="32" t="s">
        <v>9</v>
      </c>
      <c r="D218" s="32" t="s">
        <v>23</v>
      </c>
      <c r="E218" s="32" t="s">
        <v>11</v>
      </c>
      <c r="F218" s="32">
        <v>5</v>
      </c>
      <c r="G218" s="32">
        <v>2</v>
      </c>
      <c r="H218" s="32" t="s">
        <v>48</v>
      </c>
      <c r="I218" s="32">
        <v>54</v>
      </c>
      <c r="J218" s="32">
        <v>3385.43</v>
      </c>
      <c r="K218" s="32">
        <v>6770.86</v>
      </c>
    </row>
    <row r="219" spans="1:11" ht="15.5" hidden="1" x14ac:dyDescent="0.35">
      <c r="A219" s="31">
        <v>44941</v>
      </c>
      <c r="B219" s="32" t="s">
        <v>12</v>
      </c>
      <c r="C219" s="32" t="s">
        <v>13</v>
      </c>
      <c r="D219" s="32" t="s">
        <v>26</v>
      </c>
      <c r="E219" s="32" t="s">
        <v>15</v>
      </c>
      <c r="F219" s="32">
        <v>1</v>
      </c>
      <c r="G219" s="32">
        <v>7</v>
      </c>
      <c r="H219" s="32" t="s">
        <v>49</v>
      </c>
      <c r="I219" s="32">
        <v>16</v>
      </c>
      <c r="J219" s="32">
        <v>3070.09</v>
      </c>
      <c r="K219" s="32">
        <v>21490.63</v>
      </c>
    </row>
    <row r="220" spans="1:11" ht="15.5" hidden="1" x14ac:dyDescent="0.35">
      <c r="A220" s="31">
        <v>44929</v>
      </c>
      <c r="B220" s="32" t="s">
        <v>8</v>
      </c>
      <c r="C220" s="32" t="s">
        <v>28</v>
      </c>
      <c r="D220" s="32" t="s">
        <v>32</v>
      </c>
      <c r="E220" s="32" t="s">
        <v>15</v>
      </c>
      <c r="F220" s="32">
        <v>1</v>
      </c>
      <c r="G220" s="32">
        <v>12</v>
      </c>
      <c r="H220" s="32" t="s">
        <v>50</v>
      </c>
      <c r="I220" s="32">
        <v>55</v>
      </c>
      <c r="J220" s="32">
        <v>1169.8399999999999</v>
      </c>
      <c r="K220" s="32">
        <v>14038.08</v>
      </c>
    </row>
    <row r="221" spans="1:11" ht="15.5" hidden="1" x14ac:dyDescent="0.35">
      <c r="A221" s="31">
        <v>45134</v>
      </c>
      <c r="B221" s="32" t="s">
        <v>8</v>
      </c>
      <c r="C221" s="32" t="s">
        <v>9</v>
      </c>
      <c r="D221" s="32" t="s">
        <v>23</v>
      </c>
      <c r="E221" s="32" t="s">
        <v>27</v>
      </c>
      <c r="F221" s="32">
        <v>2</v>
      </c>
      <c r="G221" s="32">
        <v>12</v>
      </c>
      <c r="H221" s="32" t="s">
        <v>51</v>
      </c>
      <c r="I221" s="32">
        <v>23</v>
      </c>
      <c r="J221" s="32">
        <v>1333.81</v>
      </c>
      <c r="K221" s="32">
        <v>16005.72</v>
      </c>
    </row>
    <row r="222" spans="1:11" ht="15.5" hidden="1" x14ac:dyDescent="0.35">
      <c r="A222" s="31">
        <v>44966</v>
      </c>
      <c r="B222" s="32" t="s">
        <v>12</v>
      </c>
      <c r="C222" s="32" t="s">
        <v>16</v>
      </c>
      <c r="D222" s="32" t="s">
        <v>19</v>
      </c>
      <c r="E222" s="32" t="s">
        <v>18</v>
      </c>
      <c r="F222" s="32">
        <v>4</v>
      </c>
      <c r="G222" s="32">
        <v>1</v>
      </c>
      <c r="H222" s="32" t="s">
        <v>52</v>
      </c>
      <c r="I222" s="32">
        <v>43</v>
      </c>
      <c r="J222" s="32">
        <v>3964.37</v>
      </c>
      <c r="K222" s="32">
        <v>3964.37</v>
      </c>
    </row>
    <row r="223" spans="1:11" ht="15.5" hidden="1" x14ac:dyDescent="0.35">
      <c r="A223" s="31">
        <v>45104</v>
      </c>
      <c r="B223" s="32" t="s">
        <v>12</v>
      </c>
      <c r="C223" s="32" t="s">
        <v>13</v>
      </c>
      <c r="D223" s="32" t="s">
        <v>26</v>
      </c>
      <c r="E223" s="32" t="s">
        <v>27</v>
      </c>
      <c r="F223" s="32">
        <v>2</v>
      </c>
      <c r="G223" s="32">
        <v>8</v>
      </c>
      <c r="H223" s="32" t="s">
        <v>53</v>
      </c>
      <c r="I223" s="32">
        <v>25</v>
      </c>
      <c r="J223" s="32">
        <v>720.07</v>
      </c>
      <c r="K223" s="32">
        <v>5760.56</v>
      </c>
    </row>
    <row r="224" spans="1:11" ht="15.5" hidden="1" x14ac:dyDescent="0.35">
      <c r="A224" s="31">
        <v>45177</v>
      </c>
      <c r="B224" s="32" t="s">
        <v>20</v>
      </c>
      <c r="C224" s="32" t="s">
        <v>21</v>
      </c>
      <c r="D224" s="32" t="s">
        <v>22</v>
      </c>
      <c r="E224" s="32" t="s">
        <v>24</v>
      </c>
      <c r="F224" s="32">
        <v>3</v>
      </c>
      <c r="G224" s="32">
        <v>17</v>
      </c>
      <c r="H224" s="32" t="s">
        <v>54</v>
      </c>
      <c r="I224" s="32">
        <v>49</v>
      </c>
      <c r="J224" s="32">
        <v>4033.84</v>
      </c>
      <c r="K224" s="32">
        <v>68575.28</v>
      </c>
    </row>
    <row r="225" spans="1:11" ht="15.5" hidden="1" x14ac:dyDescent="0.35">
      <c r="A225" s="31">
        <v>44935</v>
      </c>
      <c r="B225" s="32" t="s">
        <v>20</v>
      </c>
      <c r="C225" s="32" t="s">
        <v>21</v>
      </c>
      <c r="D225" s="32" t="s">
        <v>22</v>
      </c>
      <c r="E225" s="32" t="s">
        <v>27</v>
      </c>
      <c r="F225" s="32">
        <v>2</v>
      </c>
      <c r="G225" s="32">
        <v>16</v>
      </c>
      <c r="H225" s="32" t="s">
        <v>55</v>
      </c>
      <c r="I225" s="32">
        <v>29</v>
      </c>
      <c r="J225" s="32">
        <v>3625.28</v>
      </c>
      <c r="K225" s="32">
        <v>58004.480000000003</v>
      </c>
    </row>
    <row r="226" spans="1:11" ht="15.5" hidden="1" x14ac:dyDescent="0.35">
      <c r="A226" s="31">
        <v>45118</v>
      </c>
      <c r="B226" s="32" t="s">
        <v>12</v>
      </c>
      <c r="C226" s="32" t="s">
        <v>13</v>
      </c>
      <c r="D226" s="32" t="s">
        <v>14</v>
      </c>
      <c r="E226" s="32" t="s">
        <v>27</v>
      </c>
      <c r="F226" s="32">
        <v>2</v>
      </c>
      <c r="G226" s="32">
        <v>9</v>
      </c>
      <c r="H226" s="32" t="s">
        <v>56</v>
      </c>
      <c r="I226" s="32">
        <v>21</v>
      </c>
      <c r="J226" s="32">
        <v>773.71</v>
      </c>
      <c r="K226" s="32">
        <v>6963.39</v>
      </c>
    </row>
    <row r="227" spans="1:11" ht="15.5" hidden="1" x14ac:dyDescent="0.35">
      <c r="A227" s="31">
        <v>45055</v>
      </c>
      <c r="B227" s="32" t="s">
        <v>12</v>
      </c>
      <c r="C227" s="32" t="s">
        <v>13</v>
      </c>
      <c r="D227" s="32" t="s">
        <v>26</v>
      </c>
      <c r="E227" s="32" t="s">
        <v>27</v>
      </c>
      <c r="F227" s="32">
        <v>2</v>
      </c>
      <c r="G227" s="32">
        <v>18</v>
      </c>
      <c r="H227" s="32" t="s">
        <v>57</v>
      </c>
      <c r="I227" s="32">
        <v>27</v>
      </c>
      <c r="J227" s="32">
        <v>696.83</v>
      </c>
      <c r="K227" s="32">
        <v>12542.94</v>
      </c>
    </row>
    <row r="228" spans="1:11" ht="15.5" hidden="1" x14ac:dyDescent="0.35">
      <c r="A228" s="31">
        <v>45031</v>
      </c>
      <c r="B228" s="32" t="s">
        <v>12</v>
      </c>
      <c r="C228" s="32" t="s">
        <v>16</v>
      </c>
      <c r="D228" s="32" t="s">
        <v>19</v>
      </c>
      <c r="E228" s="32" t="s">
        <v>24</v>
      </c>
      <c r="F228" s="32">
        <v>3</v>
      </c>
      <c r="G228" s="32">
        <v>13</v>
      </c>
      <c r="H228" s="32" t="s">
        <v>58</v>
      </c>
      <c r="I228" s="32">
        <v>39</v>
      </c>
      <c r="J228" s="32">
        <v>1466.66</v>
      </c>
      <c r="K228" s="32">
        <v>19066.580000000002</v>
      </c>
    </row>
    <row r="229" spans="1:11" ht="15.5" hidden="1" x14ac:dyDescent="0.35">
      <c r="A229" s="31">
        <v>45146</v>
      </c>
      <c r="B229" s="32" t="s">
        <v>8</v>
      </c>
      <c r="C229" s="32" t="s">
        <v>28</v>
      </c>
      <c r="D229" s="32" t="s">
        <v>30</v>
      </c>
      <c r="E229" s="32" t="s">
        <v>18</v>
      </c>
      <c r="F229" s="32">
        <v>4</v>
      </c>
      <c r="G229" s="32">
        <v>8</v>
      </c>
      <c r="H229" s="32" t="s">
        <v>59</v>
      </c>
      <c r="I229" s="32">
        <v>46</v>
      </c>
      <c r="J229" s="32">
        <v>1927.88</v>
      </c>
      <c r="K229" s="32">
        <v>15423.04</v>
      </c>
    </row>
    <row r="230" spans="1:11" ht="15.5" hidden="1" x14ac:dyDescent="0.35">
      <c r="A230" s="31">
        <v>45187</v>
      </c>
      <c r="B230" s="32" t="s">
        <v>12</v>
      </c>
      <c r="C230" s="32" t="s">
        <v>16</v>
      </c>
      <c r="D230" s="32" t="s">
        <v>19</v>
      </c>
      <c r="E230" s="32" t="s">
        <v>18</v>
      </c>
      <c r="F230" s="32">
        <v>4</v>
      </c>
      <c r="G230" s="32">
        <v>12</v>
      </c>
      <c r="H230" s="32" t="s">
        <v>48</v>
      </c>
      <c r="I230" s="32">
        <v>27</v>
      </c>
      <c r="J230" s="32">
        <v>1947.14</v>
      </c>
      <c r="K230" s="32">
        <v>23365.68</v>
      </c>
    </row>
    <row r="231" spans="1:11" ht="15.5" hidden="1" x14ac:dyDescent="0.35">
      <c r="A231" s="31">
        <v>45029</v>
      </c>
      <c r="B231" s="32" t="s">
        <v>12</v>
      </c>
      <c r="C231" s="32" t="s">
        <v>16</v>
      </c>
      <c r="D231" s="32" t="s">
        <v>25</v>
      </c>
      <c r="E231" s="32" t="s">
        <v>24</v>
      </c>
      <c r="F231" s="32">
        <v>3</v>
      </c>
      <c r="G231" s="32">
        <v>1</v>
      </c>
      <c r="H231" s="32" t="s">
        <v>49</v>
      </c>
      <c r="I231" s="32">
        <v>31</v>
      </c>
      <c r="J231" s="32">
        <v>632.39</v>
      </c>
      <c r="K231" s="32">
        <v>632.39</v>
      </c>
    </row>
    <row r="232" spans="1:11" ht="15.5" hidden="1" x14ac:dyDescent="0.35">
      <c r="A232" s="31">
        <v>45059</v>
      </c>
      <c r="B232" s="32" t="s">
        <v>20</v>
      </c>
      <c r="C232" s="32" t="s">
        <v>21</v>
      </c>
      <c r="D232" s="32" t="s">
        <v>22</v>
      </c>
      <c r="E232" s="32" t="s">
        <v>18</v>
      </c>
      <c r="F232" s="32">
        <v>4</v>
      </c>
      <c r="G232" s="32">
        <v>10</v>
      </c>
      <c r="H232" s="32" t="s">
        <v>50</v>
      </c>
      <c r="I232" s="32">
        <v>30</v>
      </c>
      <c r="J232" s="32">
        <v>4092.05</v>
      </c>
      <c r="K232" s="32">
        <v>40920.5</v>
      </c>
    </row>
    <row r="233" spans="1:11" ht="15.5" hidden="1" x14ac:dyDescent="0.35">
      <c r="A233" s="31">
        <v>44986</v>
      </c>
      <c r="B233" s="32" t="s">
        <v>8</v>
      </c>
      <c r="C233" s="32" t="s">
        <v>28</v>
      </c>
      <c r="D233" s="32" t="s">
        <v>30</v>
      </c>
      <c r="E233" s="32" t="s">
        <v>27</v>
      </c>
      <c r="F233" s="32">
        <v>2</v>
      </c>
      <c r="G233" s="32">
        <v>6</v>
      </c>
      <c r="H233" s="32" t="s">
        <v>51</v>
      </c>
      <c r="I233" s="32">
        <v>44</v>
      </c>
      <c r="J233" s="32">
        <v>2609.65</v>
      </c>
      <c r="K233" s="32">
        <v>15657.9</v>
      </c>
    </row>
    <row r="234" spans="1:11" ht="15.5" hidden="1" x14ac:dyDescent="0.35">
      <c r="A234" s="31">
        <v>44978</v>
      </c>
      <c r="B234" s="32" t="s">
        <v>20</v>
      </c>
      <c r="C234" s="32" t="s">
        <v>21</v>
      </c>
      <c r="D234" s="32" t="s">
        <v>22</v>
      </c>
      <c r="E234" s="32" t="s">
        <v>18</v>
      </c>
      <c r="F234" s="32">
        <v>4</v>
      </c>
      <c r="G234" s="32">
        <v>6</v>
      </c>
      <c r="H234" s="32" t="s">
        <v>52</v>
      </c>
      <c r="I234" s="32">
        <v>36</v>
      </c>
      <c r="J234" s="32">
        <v>4219.6099999999997</v>
      </c>
      <c r="K234" s="32">
        <v>25317.66</v>
      </c>
    </row>
    <row r="235" spans="1:11" ht="15.5" hidden="1" x14ac:dyDescent="0.35">
      <c r="A235" s="31">
        <v>45081</v>
      </c>
      <c r="B235" s="32" t="s">
        <v>12</v>
      </c>
      <c r="C235" s="32" t="s">
        <v>16</v>
      </c>
      <c r="D235" s="32" t="s">
        <v>19</v>
      </c>
      <c r="E235" s="32" t="s">
        <v>15</v>
      </c>
      <c r="F235" s="32">
        <v>1</v>
      </c>
      <c r="G235" s="32">
        <v>11</v>
      </c>
      <c r="H235" s="32" t="s">
        <v>53</v>
      </c>
      <c r="I235" s="32">
        <v>42</v>
      </c>
      <c r="J235" s="32">
        <v>1703.12</v>
      </c>
      <c r="K235" s="32">
        <v>18734.32</v>
      </c>
    </row>
    <row r="236" spans="1:11" ht="15.5" hidden="1" x14ac:dyDescent="0.35">
      <c r="A236" s="31">
        <v>44928</v>
      </c>
      <c r="B236" s="32" t="s">
        <v>8</v>
      </c>
      <c r="C236" s="32" t="s">
        <v>28</v>
      </c>
      <c r="D236" s="32" t="s">
        <v>29</v>
      </c>
      <c r="E236" s="32" t="s">
        <v>18</v>
      </c>
      <c r="F236" s="32">
        <v>4</v>
      </c>
      <c r="G236" s="32">
        <v>11</v>
      </c>
      <c r="H236" s="32" t="s">
        <v>54</v>
      </c>
      <c r="I236" s="32">
        <v>44</v>
      </c>
      <c r="J236" s="32">
        <v>548.91999999999996</v>
      </c>
      <c r="K236" s="32">
        <v>6038.12</v>
      </c>
    </row>
    <row r="237" spans="1:11" ht="15.5" hidden="1" x14ac:dyDescent="0.35">
      <c r="A237" s="31">
        <v>45092</v>
      </c>
      <c r="B237" s="32" t="s">
        <v>12</v>
      </c>
      <c r="C237" s="32" t="s">
        <v>16</v>
      </c>
      <c r="D237" s="32" t="s">
        <v>19</v>
      </c>
      <c r="E237" s="32" t="s">
        <v>18</v>
      </c>
      <c r="F237" s="32">
        <v>4</v>
      </c>
      <c r="G237" s="32">
        <v>20</v>
      </c>
      <c r="H237" s="32" t="s">
        <v>55</v>
      </c>
      <c r="I237" s="32">
        <v>38</v>
      </c>
      <c r="J237" s="32">
        <v>3684.86</v>
      </c>
      <c r="K237" s="32">
        <v>73697.2</v>
      </c>
    </row>
    <row r="238" spans="1:11" ht="15.5" hidden="1" x14ac:dyDescent="0.35">
      <c r="A238" s="31">
        <v>45021</v>
      </c>
      <c r="B238" s="32" t="s">
        <v>8</v>
      </c>
      <c r="C238" s="32" t="s">
        <v>28</v>
      </c>
      <c r="D238" s="32" t="s">
        <v>30</v>
      </c>
      <c r="E238" s="32" t="s">
        <v>24</v>
      </c>
      <c r="F238" s="32">
        <v>3</v>
      </c>
      <c r="G238" s="32">
        <v>13</v>
      </c>
      <c r="H238" s="32" t="s">
        <v>56</v>
      </c>
      <c r="I238" s="32">
        <v>22</v>
      </c>
      <c r="J238" s="32">
        <v>2351.59</v>
      </c>
      <c r="K238" s="32">
        <v>30570.67</v>
      </c>
    </row>
    <row r="239" spans="1:11" ht="15.5" hidden="1" x14ac:dyDescent="0.35">
      <c r="A239" s="31">
        <v>45173</v>
      </c>
      <c r="B239" s="32" t="s">
        <v>12</v>
      </c>
      <c r="C239" s="32" t="s">
        <v>16</v>
      </c>
      <c r="D239" s="32" t="s">
        <v>25</v>
      </c>
      <c r="E239" s="32" t="s">
        <v>24</v>
      </c>
      <c r="F239" s="32">
        <v>3</v>
      </c>
      <c r="G239" s="32">
        <v>8</v>
      </c>
      <c r="H239" s="32" t="s">
        <v>57</v>
      </c>
      <c r="I239" s="32">
        <v>22</v>
      </c>
      <c r="J239" s="32">
        <v>1410.46</v>
      </c>
      <c r="K239" s="32">
        <v>11283.68</v>
      </c>
    </row>
    <row r="240" spans="1:11" ht="15.5" hidden="1" x14ac:dyDescent="0.35">
      <c r="A240" s="31">
        <v>45095</v>
      </c>
      <c r="B240" s="32" t="s">
        <v>12</v>
      </c>
      <c r="C240" s="32" t="s">
        <v>13</v>
      </c>
      <c r="D240" s="32" t="s">
        <v>33</v>
      </c>
      <c r="E240" s="32" t="s">
        <v>18</v>
      </c>
      <c r="F240" s="32">
        <v>4</v>
      </c>
      <c r="G240" s="32">
        <v>2</v>
      </c>
      <c r="H240" s="32" t="s">
        <v>58</v>
      </c>
      <c r="I240" s="32">
        <v>36</v>
      </c>
      <c r="J240" s="32">
        <v>4032.05</v>
      </c>
      <c r="K240" s="32">
        <v>8064.1</v>
      </c>
    </row>
    <row r="241" spans="1:11" ht="15.5" hidden="1" x14ac:dyDescent="0.35">
      <c r="A241" s="31">
        <v>45061</v>
      </c>
      <c r="B241" s="32" t="s">
        <v>12</v>
      </c>
      <c r="C241" s="32" t="s">
        <v>16</v>
      </c>
      <c r="D241" s="32" t="s">
        <v>19</v>
      </c>
      <c r="E241" s="32" t="s">
        <v>27</v>
      </c>
      <c r="F241" s="32">
        <v>2</v>
      </c>
      <c r="G241" s="32">
        <v>16</v>
      </c>
      <c r="H241" s="32" t="s">
        <v>59</v>
      </c>
      <c r="I241" s="32">
        <v>42</v>
      </c>
      <c r="J241" s="32">
        <v>325.52</v>
      </c>
      <c r="K241" s="32">
        <v>5208.32</v>
      </c>
    </row>
    <row r="242" spans="1:11" ht="15.5" x14ac:dyDescent="0.35">
      <c r="A242" s="31">
        <v>45112</v>
      </c>
      <c r="B242" s="32" t="s">
        <v>8</v>
      </c>
      <c r="C242" s="32" t="s">
        <v>28</v>
      </c>
      <c r="D242" s="32" t="s">
        <v>29</v>
      </c>
      <c r="E242" s="32" t="s">
        <v>11</v>
      </c>
      <c r="F242" s="32">
        <v>5</v>
      </c>
      <c r="G242" s="32">
        <v>17</v>
      </c>
      <c r="H242" s="32" t="s">
        <v>48</v>
      </c>
      <c r="I242" s="32">
        <v>43</v>
      </c>
      <c r="J242" s="32">
        <v>4427.79</v>
      </c>
      <c r="K242" s="32">
        <v>75272.429999999993</v>
      </c>
    </row>
    <row r="243" spans="1:11" ht="15.5" hidden="1" x14ac:dyDescent="0.35">
      <c r="A243" s="31">
        <v>45004</v>
      </c>
      <c r="B243" s="32" t="s">
        <v>12</v>
      </c>
      <c r="C243" s="32" t="s">
        <v>16</v>
      </c>
      <c r="D243" s="32" t="s">
        <v>25</v>
      </c>
      <c r="E243" s="32" t="s">
        <v>18</v>
      </c>
      <c r="F243" s="32">
        <v>4</v>
      </c>
      <c r="G243" s="32">
        <v>6</v>
      </c>
      <c r="H243" s="32" t="s">
        <v>49</v>
      </c>
      <c r="I243" s="32">
        <v>55</v>
      </c>
      <c r="J243" s="32">
        <v>484.95</v>
      </c>
      <c r="K243" s="32">
        <v>2909.7</v>
      </c>
    </row>
    <row r="244" spans="1:11" ht="15.5" hidden="1" x14ac:dyDescent="0.35">
      <c r="A244" s="31">
        <v>45047</v>
      </c>
      <c r="B244" s="32" t="s">
        <v>8</v>
      </c>
      <c r="C244" s="32" t="s">
        <v>9</v>
      </c>
      <c r="D244" s="32" t="s">
        <v>10</v>
      </c>
      <c r="E244" s="32" t="s">
        <v>18</v>
      </c>
      <c r="F244" s="32">
        <v>4</v>
      </c>
      <c r="G244" s="32">
        <v>5</v>
      </c>
      <c r="H244" s="32" t="s">
        <v>50</v>
      </c>
      <c r="I244" s="32">
        <v>49</v>
      </c>
      <c r="J244" s="32">
        <v>1204.6400000000001</v>
      </c>
      <c r="K244" s="32">
        <v>6023.2</v>
      </c>
    </row>
    <row r="245" spans="1:11" ht="15.5" hidden="1" x14ac:dyDescent="0.35">
      <c r="A245" s="31">
        <v>45042</v>
      </c>
      <c r="B245" s="32" t="s">
        <v>12</v>
      </c>
      <c r="C245" s="32" t="s">
        <v>13</v>
      </c>
      <c r="D245" s="32" t="s">
        <v>26</v>
      </c>
      <c r="E245" s="32" t="s">
        <v>15</v>
      </c>
      <c r="F245" s="32">
        <v>1</v>
      </c>
      <c r="G245" s="32">
        <v>18</v>
      </c>
      <c r="H245" s="32" t="s">
        <v>51</v>
      </c>
      <c r="I245" s="32">
        <v>47</v>
      </c>
      <c r="J245" s="32">
        <v>1576.88</v>
      </c>
      <c r="K245" s="32">
        <v>28383.84</v>
      </c>
    </row>
    <row r="246" spans="1:11" ht="15.5" hidden="1" x14ac:dyDescent="0.35">
      <c r="A246" s="31">
        <v>45265</v>
      </c>
      <c r="B246" s="32" t="s">
        <v>12</v>
      </c>
      <c r="C246" s="32" t="s">
        <v>16</v>
      </c>
      <c r="D246" s="32" t="s">
        <v>25</v>
      </c>
      <c r="E246" s="32" t="s">
        <v>27</v>
      </c>
      <c r="F246" s="32">
        <v>2</v>
      </c>
      <c r="G246" s="32">
        <v>13</v>
      </c>
      <c r="H246" s="32" t="s">
        <v>52</v>
      </c>
      <c r="I246" s="32">
        <v>52</v>
      </c>
      <c r="J246" s="32">
        <v>3190.8</v>
      </c>
      <c r="K246" s="32">
        <v>41480.400000000001</v>
      </c>
    </row>
    <row r="247" spans="1:11" ht="15.5" hidden="1" x14ac:dyDescent="0.35">
      <c r="A247" s="31">
        <v>45258</v>
      </c>
      <c r="B247" s="32" t="s">
        <v>12</v>
      </c>
      <c r="C247" s="32" t="s">
        <v>16</v>
      </c>
      <c r="D247" s="32" t="s">
        <v>19</v>
      </c>
      <c r="E247" s="32" t="s">
        <v>18</v>
      </c>
      <c r="F247" s="32">
        <v>4</v>
      </c>
      <c r="G247" s="32">
        <v>13</v>
      </c>
      <c r="H247" s="32" t="s">
        <v>53</v>
      </c>
      <c r="I247" s="32">
        <v>38</v>
      </c>
      <c r="J247" s="32">
        <v>2347.66</v>
      </c>
      <c r="K247" s="32">
        <v>30519.58</v>
      </c>
    </row>
    <row r="248" spans="1:11" ht="15.5" hidden="1" x14ac:dyDescent="0.35">
      <c r="A248" s="31">
        <v>44942</v>
      </c>
      <c r="B248" s="32" t="s">
        <v>8</v>
      </c>
      <c r="C248" s="32" t="s">
        <v>28</v>
      </c>
      <c r="D248" s="32" t="s">
        <v>30</v>
      </c>
      <c r="E248" s="32" t="s">
        <v>24</v>
      </c>
      <c r="F248" s="32">
        <v>3</v>
      </c>
      <c r="G248" s="32">
        <v>18</v>
      </c>
      <c r="H248" s="32" t="s">
        <v>54</v>
      </c>
      <c r="I248" s="32">
        <v>44</v>
      </c>
      <c r="J248" s="32">
        <v>3524.11</v>
      </c>
      <c r="K248" s="32">
        <v>63433.98</v>
      </c>
    </row>
    <row r="249" spans="1:11" ht="15.5" hidden="1" x14ac:dyDescent="0.35">
      <c r="A249" s="31">
        <v>45015</v>
      </c>
      <c r="B249" s="32" t="s">
        <v>8</v>
      </c>
      <c r="C249" s="32" t="s">
        <v>28</v>
      </c>
      <c r="D249" s="32" t="s">
        <v>30</v>
      </c>
      <c r="E249" s="32" t="s">
        <v>18</v>
      </c>
      <c r="F249" s="32">
        <v>4</v>
      </c>
      <c r="G249" s="32">
        <v>9</v>
      </c>
      <c r="H249" s="32" t="s">
        <v>55</v>
      </c>
      <c r="I249" s="32">
        <v>29</v>
      </c>
      <c r="J249" s="32">
        <v>888.33</v>
      </c>
      <c r="K249" s="32">
        <v>7994.97</v>
      </c>
    </row>
    <row r="250" spans="1:11" ht="15.5" hidden="1" x14ac:dyDescent="0.35">
      <c r="A250" s="31">
        <v>45113</v>
      </c>
      <c r="B250" s="32" t="s">
        <v>8</v>
      </c>
      <c r="C250" s="32" t="s">
        <v>28</v>
      </c>
      <c r="D250" s="32" t="s">
        <v>29</v>
      </c>
      <c r="E250" s="32" t="s">
        <v>18</v>
      </c>
      <c r="F250" s="32">
        <v>4</v>
      </c>
      <c r="G250" s="32">
        <v>8</v>
      </c>
      <c r="H250" s="32" t="s">
        <v>56</v>
      </c>
      <c r="I250" s="32">
        <v>33</v>
      </c>
      <c r="J250" s="32">
        <v>1484.56</v>
      </c>
      <c r="K250" s="32">
        <v>11876.48</v>
      </c>
    </row>
    <row r="251" spans="1:11" ht="15.5" hidden="1" x14ac:dyDescent="0.35">
      <c r="A251" s="31">
        <v>45177</v>
      </c>
      <c r="B251" s="32" t="s">
        <v>8</v>
      </c>
      <c r="C251" s="32" t="s">
        <v>9</v>
      </c>
      <c r="D251" s="32" t="s">
        <v>10</v>
      </c>
      <c r="E251" s="32" t="s">
        <v>27</v>
      </c>
      <c r="F251" s="32">
        <v>2</v>
      </c>
      <c r="G251" s="32">
        <v>4</v>
      </c>
      <c r="H251" s="32" t="s">
        <v>57</v>
      </c>
      <c r="I251" s="32">
        <v>44</v>
      </c>
      <c r="J251" s="32">
        <v>3725.78</v>
      </c>
      <c r="K251" s="32">
        <v>14903.12</v>
      </c>
    </row>
    <row r="252" spans="1:11" ht="15.5" x14ac:dyDescent="0.35">
      <c r="A252" s="31">
        <v>44939</v>
      </c>
      <c r="B252" s="32" t="s">
        <v>8</v>
      </c>
      <c r="C252" s="32" t="s">
        <v>9</v>
      </c>
      <c r="D252" s="32" t="s">
        <v>31</v>
      </c>
      <c r="E252" s="32" t="s">
        <v>11</v>
      </c>
      <c r="F252" s="32">
        <v>5</v>
      </c>
      <c r="G252" s="32">
        <v>18</v>
      </c>
      <c r="H252" s="32" t="s">
        <v>58</v>
      </c>
      <c r="I252" s="32">
        <v>42</v>
      </c>
      <c r="J252" s="32">
        <v>4721.4399999999996</v>
      </c>
      <c r="K252" s="32">
        <v>84985.919999999998</v>
      </c>
    </row>
    <row r="253" spans="1:11" ht="15.5" hidden="1" x14ac:dyDescent="0.35">
      <c r="A253" s="31">
        <v>45171</v>
      </c>
      <c r="B253" s="32" t="s">
        <v>12</v>
      </c>
      <c r="C253" s="32" t="s">
        <v>16</v>
      </c>
      <c r="D253" s="32" t="s">
        <v>19</v>
      </c>
      <c r="E253" s="32" t="s">
        <v>24</v>
      </c>
      <c r="F253" s="32">
        <v>3</v>
      </c>
      <c r="G253" s="32">
        <v>15</v>
      </c>
      <c r="H253" s="32" t="s">
        <v>59</v>
      </c>
      <c r="I253" s="32">
        <v>19</v>
      </c>
      <c r="J253" s="32">
        <v>4426.4399999999996</v>
      </c>
      <c r="K253" s="32">
        <v>66396.600000000006</v>
      </c>
    </row>
    <row r="254" spans="1:11" ht="15.5" hidden="1" x14ac:dyDescent="0.35">
      <c r="A254" s="31">
        <v>45052</v>
      </c>
      <c r="B254" s="32" t="s">
        <v>12</v>
      </c>
      <c r="C254" s="32" t="s">
        <v>13</v>
      </c>
      <c r="D254" s="32" t="s">
        <v>33</v>
      </c>
      <c r="E254" s="32" t="s">
        <v>15</v>
      </c>
      <c r="F254" s="32">
        <v>1</v>
      </c>
      <c r="G254" s="32">
        <v>1</v>
      </c>
      <c r="H254" s="32" t="s">
        <v>48</v>
      </c>
      <c r="I254" s="32">
        <v>39</v>
      </c>
      <c r="J254" s="32">
        <v>1219.0999999999999</v>
      </c>
      <c r="K254" s="32">
        <v>1219.0999999999999</v>
      </c>
    </row>
    <row r="255" spans="1:11" ht="15.5" hidden="1" x14ac:dyDescent="0.35">
      <c r="A255" s="31">
        <v>45152</v>
      </c>
      <c r="B255" s="32" t="s">
        <v>20</v>
      </c>
      <c r="C255" s="32" t="s">
        <v>21</v>
      </c>
      <c r="D255" s="32" t="s">
        <v>35</v>
      </c>
      <c r="E255" s="32" t="s">
        <v>15</v>
      </c>
      <c r="F255" s="32">
        <v>1</v>
      </c>
      <c r="G255" s="32">
        <v>8</v>
      </c>
      <c r="H255" s="32" t="s">
        <v>49</v>
      </c>
      <c r="I255" s="32">
        <v>45</v>
      </c>
      <c r="J255" s="32">
        <v>2628.31</v>
      </c>
      <c r="K255" s="32">
        <v>21026.48</v>
      </c>
    </row>
    <row r="256" spans="1:11" ht="15.5" hidden="1" x14ac:dyDescent="0.35">
      <c r="A256" s="31">
        <v>45272</v>
      </c>
      <c r="B256" s="32" t="s">
        <v>12</v>
      </c>
      <c r="C256" s="32" t="s">
        <v>13</v>
      </c>
      <c r="D256" s="32" t="s">
        <v>14</v>
      </c>
      <c r="E256" s="32" t="s">
        <v>27</v>
      </c>
      <c r="F256" s="32">
        <v>2</v>
      </c>
      <c r="G256" s="32">
        <v>18</v>
      </c>
      <c r="H256" s="32" t="s">
        <v>50</v>
      </c>
      <c r="I256" s="32">
        <v>27</v>
      </c>
      <c r="J256" s="32">
        <v>2784.49</v>
      </c>
      <c r="K256" s="32">
        <v>50120.82</v>
      </c>
    </row>
    <row r="257" spans="1:11" ht="15.5" hidden="1" x14ac:dyDescent="0.35">
      <c r="A257" s="31">
        <v>45156</v>
      </c>
      <c r="B257" s="32" t="s">
        <v>8</v>
      </c>
      <c r="C257" s="32" t="s">
        <v>28</v>
      </c>
      <c r="D257" s="32" t="s">
        <v>30</v>
      </c>
      <c r="E257" s="32" t="s">
        <v>18</v>
      </c>
      <c r="F257" s="32">
        <v>4</v>
      </c>
      <c r="G257" s="32">
        <v>16</v>
      </c>
      <c r="H257" s="32" t="s">
        <v>51</v>
      </c>
      <c r="I257" s="32">
        <v>31</v>
      </c>
      <c r="J257" s="32">
        <v>1907.95</v>
      </c>
      <c r="K257" s="32">
        <v>30527.200000000001</v>
      </c>
    </row>
    <row r="258" spans="1:11" ht="15.5" hidden="1" x14ac:dyDescent="0.35">
      <c r="A258" s="31">
        <v>45047</v>
      </c>
      <c r="B258" s="32" t="s">
        <v>12</v>
      </c>
      <c r="C258" s="32" t="s">
        <v>13</v>
      </c>
      <c r="D258" s="32" t="s">
        <v>26</v>
      </c>
      <c r="E258" s="32" t="s">
        <v>15</v>
      </c>
      <c r="F258" s="32">
        <v>1</v>
      </c>
      <c r="G258" s="32">
        <v>15</v>
      </c>
      <c r="H258" s="32" t="s">
        <v>52</v>
      </c>
      <c r="I258" s="32">
        <v>33</v>
      </c>
      <c r="J258" s="32">
        <v>1712.05</v>
      </c>
      <c r="K258" s="32">
        <v>25680.75</v>
      </c>
    </row>
    <row r="259" spans="1:11" ht="15.5" hidden="1" x14ac:dyDescent="0.35">
      <c r="A259" s="31">
        <v>44945</v>
      </c>
      <c r="B259" s="32" t="s">
        <v>8</v>
      </c>
      <c r="C259" s="32" t="s">
        <v>28</v>
      </c>
      <c r="D259" s="32" t="s">
        <v>30</v>
      </c>
      <c r="E259" s="32" t="s">
        <v>24</v>
      </c>
      <c r="F259" s="32">
        <v>3</v>
      </c>
      <c r="G259" s="32">
        <v>15</v>
      </c>
      <c r="H259" s="32" t="s">
        <v>53</v>
      </c>
      <c r="I259" s="32">
        <v>26</v>
      </c>
      <c r="J259" s="32">
        <v>2167.91</v>
      </c>
      <c r="K259" s="32">
        <v>32518.65</v>
      </c>
    </row>
    <row r="260" spans="1:11" ht="15.5" hidden="1" x14ac:dyDescent="0.35">
      <c r="A260" s="31">
        <v>45232</v>
      </c>
      <c r="B260" s="32" t="s">
        <v>12</v>
      </c>
      <c r="C260" s="32" t="s">
        <v>13</v>
      </c>
      <c r="D260" s="32" t="s">
        <v>14</v>
      </c>
      <c r="E260" s="32" t="s">
        <v>15</v>
      </c>
      <c r="F260" s="32">
        <v>1</v>
      </c>
      <c r="G260" s="32">
        <v>9</v>
      </c>
      <c r="H260" s="32" t="s">
        <v>54</v>
      </c>
      <c r="I260" s="32">
        <v>52</v>
      </c>
      <c r="J260" s="32">
        <v>228.49</v>
      </c>
      <c r="K260" s="32">
        <v>2056.41</v>
      </c>
    </row>
    <row r="261" spans="1:11" ht="15.5" hidden="1" x14ac:dyDescent="0.35">
      <c r="A261" s="31">
        <v>44953</v>
      </c>
      <c r="B261" s="32" t="s">
        <v>20</v>
      </c>
      <c r="C261" s="32" t="s">
        <v>21</v>
      </c>
      <c r="D261" s="32" t="s">
        <v>34</v>
      </c>
      <c r="E261" s="32" t="s">
        <v>24</v>
      </c>
      <c r="F261" s="32">
        <v>3</v>
      </c>
      <c r="G261" s="32">
        <v>9</v>
      </c>
      <c r="H261" s="32" t="s">
        <v>55</v>
      </c>
      <c r="I261" s="32">
        <v>40</v>
      </c>
      <c r="J261" s="32">
        <v>3095.35</v>
      </c>
      <c r="K261" s="32">
        <v>27858.15</v>
      </c>
    </row>
    <row r="262" spans="1:11" ht="15.5" hidden="1" x14ac:dyDescent="0.35">
      <c r="A262" s="31">
        <v>44955</v>
      </c>
      <c r="B262" s="32" t="s">
        <v>8</v>
      </c>
      <c r="C262" s="32" t="s">
        <v>28</v>
      </c>
      <c r="D262" s="32" t="s">
        <v>32</v>
      </c>
      <c r="E262" s="32" t="s">
        <v>27</v>
      </c>
      <c r="F262" s="32">
        <v>2</v>
      </c>
      <c r="G262" s="32">
        <v>5</v>
      </c>
      <c r="H262" s="32" t="s">
        <v>56</v>
      </c>
      <c r="I262" s="32">
        <v>33</v>
      </c>
      <c r="J262" s="32">
        <v>714.68</v>
      </c>
      <c r="K262" s="32">
        <v>3573.4</v>
      </c>
    </row>
    <row r="263" spans="1:11" ht="15.5" x14ac:dyDescent="0.35">
      <c r="A263" s="31">
        <v>45226</v>
      </c>
      <c r="B263" s="32" t="s">
        <v>12</v>
      </c>
      <c r="C263" s="32" t="s">
        <v>13</v>
      </c>
      <c r="D263" s="32" t="s">
        <v>14</v>
      </c>
      <c r="E263" s="32" t="s">
        <v>11</v>
      </c>
      <c r="F263" s="32">
        <v>5</v>
      </c>
      <c r="G263" s="32">
        <v>15</v>
      </c>
      <c r="H263" s="32" t="s">
        <v>57</v>
      </c>
      <c r="I263" s="32">
        <v>20</v>
      </c>
      <c r="J263" s="32">
        <v>4545.26</v>
      </c>
      <c r="K263" s="32">
        <v>68178.899999999994</v>
      </c>
    </row>
    <row r="264" spans="1:11" ht="15.5" hidden="1" x14ac:dyDescent="0.35">
      <c r="A264" s="31">
        <v>45212</v>
      </c>
      <c r="B264" s="32" t="s">
        <v>8</v>
      </c>
      <c r="C264" s="32" t="s">
        <v>28</v>
      </c>
      <c r="D264" s="32" t="s">
        <v>29</v>
      </c>
      <c r="E264" s="32" t="s">
        <v>27</v>
      </c>
      <c r="F264" s="32">
        <v>2</v>
      </c>
      <c r="G264" s="32">
        <v>20</v>
      </c>
      <c r="H264" s="32" t="s">
        <v>58</v>
      </c>
      <c r="I264" s="32">
        <v>32</v>
      </c>
      <c r="J264" s="32">
        <v>2133.5300000000002</v>
      </c>
      <c r="K264" s="32">
        <v>42670.6</v>
      </c>
    </row>
    <row r="265" spans="1:11" ht="15.5" hidden="1" x14ac:dyDescent="0.35">
      <c r="A265" s="31">
        <v>45033</v>
      </c>
      <c r="B265" s="32" t="s">
        <v>20</v>
      </c>
      <c r="C265" s="32" t="s">
        <v>21</v>
      </c>
      <c r="D265" s="32" t="s">
        <v>34</v>
      </c>
      <c r="E265" s="32" t="s">
        <v>15</v>
      </c>
      <c r="F265" s="32">
        <v>1</v>
      </c>
      <c r="G265" s="32">
        <v>13</v>
      </c>
      <c r="H265" s="32" t="s">
        <v>59</v>
      </c>
      <c r="I265" s="32">
        <v>44</v>
      </c>
      <c r="J265" s="32">
        <v>993.43</v>
      </c>
      <c r="K265" s="32">
        <v>12914.59</v>
      </c>
    </row>
    <row r="266" spans="1:11" ht="15.5" x14ac:dyDescent="0.35">
      <c r="A266" s="31">
        <v>45255</v>
      </c>
      <c r="B266" s="32" t="s">
        <v>12</v>
      </c>
      <c r="C266" s="32" t="s">
        <v>13</v>
      </c>
      <c r="D266" s="32" t="s">
        <v>26</v>
      </c>
      <c r="E266" s="32" t="s">
        <v>11</v>
      </c>
      <c r="F266" s="32">
        <v>5</v>
      </c>
      <c r="G266" s="32">
        <v>15</v>
      </c>
      <c r="H266" s="32" t="s">
        <v>48</v>
      </c>
      <c r="I266" s="32">
        <v>25</v>
      </c>
      <c r="J266" s="32">
        <v>2081.27</v>
      </c>
      <c r="K266" s="32">
        <v>31219.05</v>
      </c>
    </row>
    <row r="267" spans="1:11" ht="15.5" hidden="1" x14ac:dyDescent="0.35">
      <c r="A267" s="31">
        <v>45275</v>
      </c>
      <c r="B267" s="32" t="s">
        <v>12</v>
      </c>
      <c r="C267" s="32" t="s">
        <v>16</v>
      </c>
      <c r="D267" s="32" t="s">
        <v>19</v>
      </c>
      <c r="E267" s="32" t="s">
        <v>15</v>
      </c>
      <c r="F267" s="32">
        <v>1</v>
      </c>
      <c r="G267" s="32">
        <v>12</v>
      </c>
      <c r="H267" s="32" t="s">
        <v>49</v>
      </c>
      <c r="I267" s="32">
        <v>18</v>
      </c>
      <c r="J267" s="32">
        <v>2882.46</v>
      </c>
      <c r="K267" s="32">
        <v>34589.519999999997</v>
      </c>
    </row>
    <row r="268" spans="1:11" ht="15.5" hidden="1" x14ac:dyDescent="0.35">
      <c r="A268" s="31">
        <v>45254</v>
      </c>
      <c r="B268" s="32" t="s">
        <v>8</v>
      </c>
      <c r="C268" s="32" t="s">
        <v>28</v>
      </c>
      <c r="D268" s="32" t="s">
        <v>32</v>
      </c>
      <c r="E268" s="32" t="s">
        <v>24</v>
      </c>
      <c r="F268" s="32">
        <v>3</v>
      </c>
      <c r="G268" s="32">
        <v>8</v>
      </c>
      <c r="H268" s="32" t="s">
        <v>50</v>
      </c>
      <c r="I268" s="32">
        <v>49</v>
      </c>
      <c r="J268" s="32">
        <v>4169.8999999999996</v>
      </c>
      <c r="K268" s="32">
        <v>33359.199999999997</v>
      </c>
    </row>
    <row r="269" spans="1:11" ht="15.5" hidden="1" x14ac:dyDescent="0.35">
      <c r="A269" s="31">
        <v>45000</v>
      </c>
      <c r="B269" s="32" t="s">
        <v>20</v>
      </c>
      <c r="C269" s="32" t="s">
        <v>21</v>
      </c>
      <c r="D269" s="32" t="s">
        <v>34</v>
      </c>
      <c r="E269" s="32" t="s">
        <v>18</v>
      </c>
      <c r="F269" s="32">
        <v>4</v>
      </c>
      <c r="G269" s="32">
        <v>6</v>
      </c>
      <c r="H269" s="32" t="s">
        <v>51</v>
      </c>
      <c r="I269" s="32">
        <v>34</v>
      </c>
      <c r="J269" s="32">
        <v>4364.67</v>
      </c>
      <c r="K269" s="32">
        <v>26188.02</v>
      </c>
    </row>
    <row r="270" spans="1:11" ht="15.5" hidden="1" x14ac:dyDescent="0.35">
      <c r="A270" s="31">
        <v>44987</v>
      </c>
      <c r="B270" s="32" t="s">
        <v>12</v>
      </c>
      <c r="C270" s="32" t="s">
        <v>13</v>
      </c>
      <c r="D270" s="32" t="s">
        <v>33</v>
      </c>
      <c r="E270" s="32" t="s">
        <v>15</v>
      </c>
      <c r="F270" s="32">
        <v>1</v>
      </c>
      <c r="G270" s="32">
        <v>17</v>
      </c>
      <c r="H270" s="32" t="s">
        <v>52</v>
      </c>
      <c r="I270" s="32">
        <v>39</v>
      </c>
      <c r="J270" s="32">
        <v>2924.72</v>
      </c>
      <c r="K270" s="32">
        <v>49720.24</v>
      </c>
    </row>
    <row r="271" spans="1:11" ht="15.5" x14ac:dyDescent="0.35">
      <c r="A271" s="31">
        <v>44961</v>
      </c>
      <c r="B271" s="32" t="s">
        <v>8</v>
      </c>
      <c r="C271" s="32" t="s">
        <v>9</v>
      </c>
      <c r="D271" s="32" t="s">
        <v>23</v>
      </c>
      <c r="E271" s="32" t="s">
        <v>11</v>
      </c>
      <c r="F271" s="32">
        <v>5</v>
      </c>
      <c r="G271" s="32">
        <v>8</v>
      </c>
      <c r="H271" s="32" t="s">
        <v>53</v>
      </c>
      <c r="I271" s="32">
        <v>49</v>
      </c>
      <c r="J271" s="32">
        <v>4290.04</v>
      </c>
      <c r="K271" s="32">
        <v>34320.32</v>
      </c>
    </row>
    <row r="272" spans="1:11" ht="15.5" hidden="1" x14ac:dyDescent="0.35">
      <c r="A272" s="31">
        <v>45161</v>
      </c>
      <c r="B272" s="32" t="s">
        <v>12</v>
      </c>
      <c r="C272" s="32" t="s">
        <v>16</v>
      </c>
      <c r="D272" s="32" t="s">
        <v>25</v>
      </c>
      <c r="E272" s="32" t="s">
        <v>27</v>
      </c>
      <c r="F272" s="32">
        <v>2</v>
      </c>
      <c r="G272" s="32">
        <v>19</v>
      </c>
      <c r="H272" s="32" t="s">
        <v>54</v>
      </c>
      <c r="I272" s="32">
        <v>17</v>
      </c>
      <c r="J272" s="32">
        <v>3336.46</v>
      </c>
      <c r="K272" s="32">
        <v>63392.74</v>
      </c>
    </row>
    <row r="273" spans="1:11" ht="15.5" hidden="1" x14ac:dyDescent="0.35">
      <c r="A273" s="31">
        <v>45139</v>
      </c>
      <c r="B273" s="32" t="s">
        <v>12</v>
      </c>
      <c r="C273" s="32" t="s">
        <v>13</v>
      </c>
      <c r="D273" s="32" t="s">
        <v>26</v>
      </c>
      <c r="E273" s="32" t="s">
        <v>27</v>
      </c>
      <c r="F273" s="32">
        <v>2</v>
      </c>
      <c r="G273" s="32">
        <v>20</v>
      </c>
      <c r="H273" s="32" t="s">
        <v>55</v>
      </c>
      <c r="I273" s="32">
        <v>20</v>
      </c>
      <c r="J273" s="32">
        <v>3728.46</v>
      </c>
      <c r="K273" s="32">
        <v>74569.2</v>
      </c>
    </row>
    <row r="274" spans="1:11" ht="15.5" hidden="1" x14ac:dyDescent="0.35">
      <c r="A274" s="31">
        <v>45187</v>
      </c>
      <c r="B274" s="32" t="s">
        <v>20</v>
      </c>
      <c r="C274" s="32" t="s">
        <v>21</v>
      </c>
      <c r="D274" s="32" t="s">
        <v>34</v>
      </c>
      <c r="E274" s="32" t="s">
        <v>24</v>
      </c>
      <c r="F274" s="32">
        <v>3</v>
      </c>
      <c r="G274" s="32">
        <v>20</v>
      </c>
      <c r="H274" s="32" t="s">
        <v>56</v>
      </c>
      <c r="I274" s="32">
        <v>24</v>
      </c>
      <c r="J274" s="32">
        <v>1592.52</v>
      </c>
      <c r="K274" s="32">
        <v>31850.400000000001</v>
      </c>
    </row>
    <row r="275" spans="1:11" ht="15.5" hidden="1" x14ac:dyDescent="0.35">
      <c r="A275" s="31">
        <v>45117</v>
      </c>
      <c r="B275" s="32" t="s">
        <v>8</v>
      </c>
      <c r="C275" s="32" t="s">
        <v>9</v>
      </c>
      <c r="D275" s="32" t="s">
        <v>23</v>
      </c>
      <c r="E275" s="32" t="s">
        <v>18</v>
      </c>
      <c r="F275" s="32">
        <v>4</v>
      </c>
      <c r="G275" s="32">
        <v>20</v>
      </c>
      <c r="H275" s="32" t="s">
        <v>57</v>
      </c>
      <c r="I275" s="32">
        <v>31</v>
      </c>
      <c r="J275" s="32">
        <v>2415.86</v>
      </c>
      <c r="K275" s="32">
        <v>48317.2</v>
      </c>
    </row>
    <row r="276" spans="1:11" ht="15.5" x14ac:dyDescent="0.35">
      <c r="A276" s="31">
        <v>44971</v>
      </c>
      <c r="B276" s="32" t="s">
        <v>12</v>
      </c>
      <c r="C276" s="32" t="s">
        <v>16</v>
      </c>
      <c r="D276" s="32" t="s">
        <v>19</v>
      </c>
      <c r="E276" s="32" t="s">
        <v>11</v>
      </c>
      <c r="F276" s="32">
        <v>5</v>
      </c>
      <c r="G276" s="32">
        <v>12</v>
      </c>
      <c r="H276" s="32" t="s">
        <v>58</v>
      </c>
      <c r="I276" s="32">
        <v>20</v>
      </c>
      <c r="J276" s="32">
        <v>2733.87</v>
      </c>
      <c r="K276" s="32">
        <v>32806.44</v>
      </c>
    </row>
    <row r="277" spans="1:11" ht="15.5" hidden="1" x14ac:dyDescent="0.35">
      <c r="A277" s="31">
        <v>45081</v>
      </c>
      <c r="B277" s="32" t="s">
        <v>12</v>
      </c>
      <c r="C277" s="32" t="s">
        <v>16</v>
      </c>
      <c r="D277" s="32" t="s">
        <v>17</v>
      </c>
      <c r="E277" s="32" t="s">
        <v>15</v>
      </c>
      <c r="F277" s="32">
        <v>1</v>
      </c>
      <c r="G277" s="32">
        <v>20</v>
      </c>
      <c r="H277" s="32" t="s">
        <v>59</v>
      </c>
      <c r="I277" s="32">
        <v>26</v>
      </c>
      <c r="J277" s="32">
        <v>4398.47</v>
      </c>
      <c r="K277" s="32">
        <v>87969.4</v>
      </c>
    </row>
    <row r="278" spans="1:11" ht="15.5" x14ac:dyDescent="0.35">
      <c r="A278" s="31">
        <v>45068</v>
      </c>
      <c r="B278" s="32" t="s">
        <v>20</v>
      </c>
      <c r="C278" s="32" t="s">
        <v>21</v>
      </c>
      <c r="D278" s="32" t="s">
        <v>22</v>
      </c>
      <c r="E278" s="32" t="s">
        <v>11</v>
      </c>
      <c r="F278" s="32">
        <v>5</v>
      </c>
      <c r="G278" s="32">
        <v>6</v>
      </c>
      <c r="H278" s="32" t="s">
        <v>48</v>
      </c>
      <c r="I278" s="32">
        <v>34</v>
      </c>
      <c r="J278" s="32">
        <v>1537.45</v>
      </c>
      <c r="K278" s="32">
        <v>9224.7000000000007</v>
      </c>
    </row>
    <row r="279" spans="1:11" ht="15.5" hidden="1" x14ac:dyDescent="0.35">
      <c r="A279" s="31">
        <v>45247</v>
      </c>
      <c r="B279" s="32" t="s">
        <v>8</v>
      </c>
      <c r="C279" s="32" t="s">
        <v>28</v>
      </c>
      <c r="D279" s="32" t="s">
        <v>32</v>
      </c>
      <c r="E279" s="32" t="s">
        <v>15</v>
      </c>
      <c r="F279" s="32">
        <v>1</v>
      </c>
      <c r="G279" s="32">
        <v>3</v>
      </c>
      <c r="H279" s="32" t="s">
        <v>49</v>
      </c>
      <c r="I279" s="32">
        <v>50</v>
      </c>
      <c r="J279" s="32">
        <v>1818.3</v>
      </c>
      <c r="K279" s="32">
        <v>5454.9</v>
      </c>
    </row>
    <row r="280" spans="1:11" ht="15.5" hidden="1" x14ac:dyDescent="0.35">
      <c r="A280" s="31">
        <v>45228</v>
      </c>
      <c r="B280" s="32" t="s">
        <v>12</v>
      </c>
      <c r="C280" s="32" t="s">
        <v>16</v>
      </c>
      <c r="D280" s="32" t="s">
        <v>19</v>
      </c>
      <c r="E280" s="32" t="s">
        <v>18</v>
      </c>
      <c r="F280" s="32">
        <v>4</v>
      </c>
      <c r="G280" s="32">
        <v>1</v>
      </c>
      <c r="H280" s="32" t="s">
        <v>50</v>
      </c>
      <c r="I280" s="32">
        <v>50</v>
      </c>
      <c r="J280" s="32">
        <v>1239.25</v>
      </c>
      <c r="K280" s="32">
        <v>1239.25</v>
      </c>
    </row>
    <row r="281" spans="1:11" ht="15.5" hidden="1" x14ac:dyDescent="0.35">
      <c r="A281" s="31">
        <v>44961</v>
      </c>
      <c r="B281" s="32" t="s">
        <v>20</v>
      </c>
      <c r="C281" s="32" t="s">
        <v>21</v>
      </c>
      <c r="D281" s="32" t="s">
        <v>35</v>
      </c>
      <c r="E281" s="32" t="s">
        <v>27</v>
      </c>
      <c r="F281" s="32">
        <v>2</v>
      </c>
      <c r="G281" s="32">
        <v>5</v>
      </c>
      <c r="H281" s="32" t="s">
        <v>51</v>
      </c>
      <c r="I281" s="32">
        <v>44</v>
      </c>
      <c r="J281" s="32">
        <v>968.86</v>
      </c>
      <c r="K281" s="32">
        <v>4844.3</v>
      </c>
    </row>
    <row r="282" spans="1:11" ht="15.5" hidden="1" x14ac:dyDescent="0.35">
      <c r="A282" s="31">
        <v>45273</v>
      </c>
      <c r="B282" s="32" t="s">
        <v>8</v>
      </c>
      <c r="C282" s="32" t="s">
        <v>9</v>
      </c>
      <c r="D282" s="32" t="s">
        <v>10</v>
      </c>
      <c r="E282" s="32" t="s">
        <v>15</v>
      </c>
      <c r="F282" s="32">
        <v>1</v>
      </c>
      <c r="G282" s="32">
        <v>11</v>
      </c>
      <c r="H282" s="32" t="s">
        <v>52</v>
      </c>
      <c r="I282" s="32">
        <v>47</v>
      </c>
      <c r="J282" s="32">
        <v>2097.48</v>
      </c>
      <c r="K282" s="32">
        <v>23072.28</v>
      </c>
    </row>
    <row r="283" spans="1:11" ht="15.5" hidden="1" x14ac:dyDescent="0.35">
      <c r="A283" s="31">
        <v>45211</v>
      </c>
      <c r="B283" s="32" t="s">
        <v>20</v>
      </c>
      <c r="C283" s="32" t="s">
        <v>21</v>
      </c>
      <c r="D283" s="32" t="s">
        <v>35</v>
      </c>
      <c r="E283" s="32" t="s">
        <v>24</v>
      </c>
      <c r="F283" s="32">
        <v>3</v>
      </c>
      <c r="G283" s="32">
        <v>14</v>
      </c>
      <c r="H283" s="32" t="s">
        <v>53</v>
      </c>
      <c r="I283" s="32">
        <v>43</v>
      </c>
      <c r="J283" s="32">
        <v>188.94</v>
      </c>
      <c r="K283" s="32">
        <v>2645.16</v>
      </c>
    </row>
    <row r="284" spans="1:11" ht="15.5" hidden="1" x14ac:dyDescent="0.35">
      <c r="A284" s="31">
        <v>45026</v>
      </c>
      <c r="B284" s="32" t="s">
        <v>20</v>
      </c>
      <c r="C284" s="32" t="s">
        <v>21</v>
      </c>
      <c r="D284" s="32" t="s">
        <v>22</v>
      </c>
      <c r="E284" s="32" t="s">
        <v>27</v>
      </c>
      <c r="F284" s="32">
        <v>2</v>
      </c>
      <c r="G284" s="32">
        <v>3</v>
      </c>
      <c r="H284" s="32" t="s">
        <v>54</v>
      </c>
      <c r="I284" s="32">
        <v>51</v>
      </c>
      <c r="J284" s="32">
        <v>4201.09</v>
      </c>
      <c r="K284" s="32">
        <v>12603.27</v>
      </c>
    </row>
    <row r="285" spans="1:11" ht="15.5" hidden="1" x14ac:dyDescent="0.35">
      <c r="A285" s="31">
        <v>45050</v>
      </c>
      <c r="B285" s="32" t="s">
        <v>8</v>
      </c>
      <c r="C285" s="32" t="s">
        <v>9</v>
      </c>
      <c r="D285" s="32" t="s">
        <v>23</v>
      </c>
      <c r="E285" s="32" t="s">
        <v>18</v>
      </c>
      <c r="F285" s="32">
        <v>4</v>
      </c>
      <c r="G285" s="32">
        <v>19</v>
      </c>
      <c r="H285" s="32" t="s">
        <v>55</v>
      </c>
      <c r="I285" s="32">
        <v>30</v>
      </c>
      <c r="J285" s="32">
        <v>430.16</v>
      </c>
      <c r="K285" s="32">
        <v>8173.04</v>
      </c>
    </row>
    <row r="286" spans="1:11" ht="15.5" hidden="1" x14ac:dyDescent="0.35">
      <c r="A286" s="31">
        <v>45274</v>
      </c>
      <c r="B286" s="32" t="s">
        <v>20</v>
      </c>
      <c r="C286" s="32" t="s">
        <v>21</v>
      </c>
      <c r="D286" s="32" t="s">
        <v>22</v>
      </c>
      <c r="E286" s="32" t="s">
        <v>24</v>
      </c>
      <c r="F286" s="32">
        <v>3</v>
      </c>
      <c r="G286" s="32">
        <v>5</v>
      </c>
      <c r="H286" s="32" t="s">
        <v>56</v>
      </c>
      <c r="I286" s="32">
        <v>36</v>
      </c>
      <c r="J286" s="32">
        <v>2957.2</v>
      </c>
      <c r="K286" s="32">
        <v>14786</v>
      </c>
    </row>
    <row r="287" spans="1:11" ht="15.5" hidden="1" x14ac:dyDescent="0.35">
      <c r="A287" s="31">
        <v>44960</v>
      </c>
      <c r="B287" s="32" t="s">
        <v>12</v>
      </c>
      <c r="C287" s="32" t="s">
        <v>13</v>
      </c>
      <c r="D287" s="32" t="s">
        <v>33</v>
      </c>
      <c r="E287" s="32" t="s">
        <v>27</v>
      </c>
      <c r="F287" s="32">
        <v>2</v>
      </c>
      <c r="G287" s="32">
        <v>7</v>
      </c>
      <c r="H287" s="32" t="s">
        <v>57</v>
      </c>
      <c r="I287" s="32">
        <v>53</v>
      </c>
      <c r="J287" s="32">
        <v>1164.5999999999999</v>
      </c>
      <c r="K287" s="32">
        <v>8152.2</v>
      </c>
    </row>
    <row r="288" spans="1:11" ht="15.5" hidden="1" x14ac:dyDescent="0.35">
      <c r="A288" s="31">
        <v>44955</v>
      </c>
      <c r="B288" s="32" t="s">
        <v>12</v>
      </c>
      <c r="C288" s="32" t="s">
        <v>13</v>
      </c>
      <c r="D288" s="32" t="s">
        <v>26</v>
      </c>
      <c r="E288" s="32" t="s">
        <v>27</v>
      </c>
      <c r="F288" s="32">
        <v>2</v>
      </c>
      <c r="G288" s="32">
        <v>2</v>
      </c>
      <c r="H288" s="32" t="s">
        <v>58</v>
      </c>
      <c r="I288" s="32">
        <v>34</v>
      </c>
      <c r="J288" s="32">
        <v>161.19</v>
      </c>
      <c r="K288" s="32">
        <v>322.38</v>
      </c>
    </row>
    <row r="289" spans="1:11" ht="15.5" hidden="1" x14ac:dyDescent="0.35">
      <c r="A289" s="31">
        <v>45069</v>
      </c>
      <c r="B289" s="32" t="s">
        <v>12</v>
      </c>
      <c r="C289" s="32" t="s">
        <v>13</v>
      </c>
      <c r="D289" s="32" t="s">
        <v>14</v>
      </c>
      <c r="E289" s="32" t="s">
        <v>24</v>
      </c>
      <c r="F289" s="32">
        <v>3</v>
      </c>
      <c r="G289" s="32">
        <v>4</v>
      </c>
      <c r="H289" s="32" t="s">
        <v>59</v>
      </c>
      <c r="I289" s="32">
        <v>33</v>
      </c>
      <c r="J289" s="32">
        <v>2689.7</v>
      </c>
      <c r="K289" s="32">
        <v>10758.8</v>
      </c>
    </row>
    <row r="290" spans="1:11" ht="15.5" hidden="1" x14ac:dyDescent="0.35">
      <c r="A290" s="31">
        <v>45036</v>
      </c>
      <c r="B290" s="32" t="s">
        <v>8</v>
      </c>
      <c r="C290" s="32" t="s">
        <v>28</v>
      </c>
      <c r="D290" s="32" t="s">
        <v>30</v>
      </c>
      <c r="E290" s="32" t="s">
        <v>27</v>
      </c>
      <c r="F290" s="32">
        <v>2</v>
      </c>
      <c r="G290" s="32">
        <v>16</v>
      </c>
      <c r="H290" s="32" t="s">
        <v>48</v>
      </c>
      <c r="I290" s="32">
        <v>48</v>
      </c>
      <c r="J290" s="32">
        <v>523.29999999999995</v>
      </c>
      <c r="K290" s="32">
        <v>8372.7999999999993</v>
      </c>
    </row>
    <row r="291" spans="1:11" ht="15.5" hidden="1" x14ac:dyDescent="0.35">
      <c r="A291" s="31">
        <v>45233</v>
      </c>
      <c r="B291" s="32" t="s">
        <v>8</v>
      </c>
      <c r="C291" s="32" t="s">
        <v>28</v>
      </c>
      <c r="D291" s="32" t="s">
        <v>29</v>
      </c>
      <c r="E291" s="32" t="s">
        <v>27</v>
      </c>
      <c r="F291" s="32">
        <v>2</v>
      </c>
      <c r="G291" s="32">
        <v>3</v>
      </c>
      <c r="H291" s="32" t="s">
        <v>49</v>
      </c>
      <c r="I291" s="32">
        <v>41</v>
      </c>
      <c r="J291" s="32">
        <v>884.5</v>
      </c>
      <c r="K291" s="32">
        <v>2653.5</v>
      </c>
    </row>
    <row r="292" spans="1:11" ht="15.5" hidden="1" x14ac:dyDescent="0.35">
      <c r="A292" s="31">
        <v>45174</v>
      </c>
      <c r="B292" s="32" t="s">
        <v>20</v>
      </c>
      <c r="C292" s="32" t="s">
        <v>21</v>
      </c>
      <c r="D292" s="32" t="s">
        <v>34</v>
      </c>
      <c r="E292" s="32" t="s">
        <v>15</v>
      </c>
      <c r="F292" s="32">
        <v>1</v>
      </c>
      <c r="G292" s="32">
        <v>13</v>
      </c>
      <c r="H292" s="32" t="s">
        <v>50</v>
      </c>
      <c r="I292" s="32">
        <v>42</v>
      </c>
      <c r="J292" s="32">
        <v>3724.27</v>
      </c>
      <c r="K292" s="32">
        <v>48415.51</v>
      </c>
    </row>
    <row r="293" spans="1:11" ht="15.5" hidden="1" x14ac:dyDescent="0.35">
      <c r="A293" s="31">
        <v>45215</v>
      </c>
      <c r="B293" s="32" t="s">
        <v>8</v>
      </c>
      <c r="C293" s="32" t="s">
        <v>9</v>
      </c>
      <c r="D293" s="32" t="s">
        <v>23</v>
      </c>
      <c r="E293" s="32" t="s">
        <v>24</v>
      </c>
      <c r="F293" s="32">
        <v>3</v>
      </c>
      <c r="G293" s="32">
        <v>9</v>
      </c>
      <c r="H293" s="32" t="s">
        <v>51</v>
      </c>
      <c r="I293" s="32">
        <v>48</v>
      </c>
      <c r="J293" s="32">
        <v>3678.86</v>
      </c>
      <c r="K293" s="32">
        <v>33109.74</v>
      </c>
    </row>
    <row r="294" spans="1:11" ht="15.5" hidden="1" x14ac:dyDescent="0.35">
      <c r="A294" s="31">
        <v>45039</v>
      </c>
      <c r="B294" s="32" t="s">
        <v>12</v>
      </c>
      <c r="C294" s="32" t="s">
        <v>16</v>
      </c>
      <c r="D294" s="32" t="s">
        <v>19</v>
      </c>
      <c r="E294" s="32" t="s">
        <v>27</v>
      </c>
      <c r="F294" s="32">
        <v>2</v>
      </c>
      <c r="G294" s="32">
        <v>3</v>
      </c>
      <c r="H294" s="32" t="s">
        <v>52</v>
      </c>
      <c r="I294" s="32">
        <v>52</v>
      </c>
      <c r="J294" s="32">
        <v>938.33</v>
      </c>
      <c r="K294" s="32">
        <v>2814.99</v>
      </c>
    </row>
    <row r="295" spans="1:11" ht="15.5" hidden="1" x14ac:dyDescent="0.35">
      <c r="A295" s="31">
        <v>45015</v>
      </c>
      <c r="B295" s="32" t="s">
        <v>12</v>
      </c>
      <c r="C295" s="32" t="s">
        <v>16</v>
      </c>
      <c r="D295" s="32" t="s">
        <v>25</v>
      </c>
      <c r="E295" s="32" t="s">
        <v>27</v>
      </c>
      <c r="F295" s="32">
        <v>2</v>
      </c>
      <c r="G295" s="32">
        <v>17</v>
      </c>
      <c r="H295" s="32" t="s">
        <v>53</v>
      </c>
      <c r="I295" s="32">
        <v>43</v>
      </c>
      <c r="J295" s="32">
        <v>2664.62</v>
      </c>
      <c r="K295" s="32">
        <v>45298.54</v>
      </c>
    </row>
    <row r="296" spans="1:11" ht="15.5" x14ac:dyDescent="0.35">
      <c r="A296" s="31">
        <v>45121</v>
      </c>
      <c r="B296" s="32" t="s">
        <v>8</v>
      </c>
      <c r="C296" s="32" t="s">
        <v>9</v>
      </c>
      <c r="D296" s="32" t="s">
        <v>23</v>
      </c>
      <c r="E296" s="32" t="s">
        <v>11</v>
      </c>
      <c r="F296" s="32">
        <v>5</v>
      </c>
      <c r="G296" s="32">
        <v>5</v>
      </c>
      <c r="H296" s="32" t="s">
        <v>54</v>
      </c>
      <c r="I296" s="32">
        <v>45</v>
      </c>
      <c r="J296" s="32">
        <v>4035.07</v>
      </c>
      <c r="K296" s="32">
        <v>20175.349999999999</v>
      </c>
    </row>
    <row r="297" spans="1:11" ht="15.5" hidden="1" x14ac:dyDescent="0.35">
      <c r="A297" s="31">
        <v>45018</v>
      </c>
      <c r="B297" s="32" t="s">
        <v>20</v>
      </c>
      <c r="C297" s="32" t="s">
        <v>21</v>
      </c>
      <c r="D297" s="32" t="s">
        <v>35</v>
      </c>
      <c r="E297" s="32" t="s">
        <v>18</v>
      </c>
      <c r="F297" s="32">
        <v>4</v>
      </c>
      <c r="G297" s="32">
        <v>20</v>
      </c>
      <c r="H297" s="32" t="s">
        <v>55</v>
      </c>
      <c r="I297" s="32">
        <v>43</v>
      </c>
      <c r="J297" s="32">
        <v>605.86</v>
      </c>
      <c r="K297" s="32">
        <v>12117.2</v>
      </c>
    </row>
    <row r="298" spans="1:11" ht="15.5" hidden="1" x14ac:dyDescent="0.35">
      <c r="A298" s="31">
        <v>45070</v>
      </c>
      <c r="B298" s="32" t="s">
        <v>8</v>
      </c>
      <c r="C298" s="32" t="s">
        <v>9</v>
      </c>
      <c r="D298" s="32" t="s">
        <v>23</v>
      </c>
      <c r="E298" s="32" t="s">
        <v>24</v>
      </c>
      <c r="F298" s="32">
        <v>3</v>
      </c>
      <c r="G298" s="32">
        <v>3</v>
      </c>
      <c r="H298" s="32" t="s">
        <v>56</v>
      </c>
      <c r="I298" s="32">
        <v>43</v>
      </c>
      <c r="J298" s="32">
        <v>2082</v>
      </c>
      <c r="K298" s="32">
        <v>6246</v>
      </c>
    </row>
    <row r="299" spans="1:11" ht="15.5" hidden="1" x14ac:dyDescent="0.35">
      <c r="A299" s="31">
        <v>45185</v>
      </c>
      <c r="B299" s="32" t="s">
        <v>8</v>
      </c>
      <c r="C299" s="32" t="s">
        <v>9</v>
      </c>
      <c r="D299" s="32" t="s">
        <v>23</v>
      </c>
      <c r="E299" s="32" t="s">
        <v>18</v>
      </c>
      <c r="F299" s="32">
        <v>4</v>
      </c>
      <c r="G299" s="32">
        <v>8</v>
      </c>
      <c r="H299" s="32" t="s">
        <v>57</v>
      </c>
      <c r="I299" s="32">
        <v>35</v>
      </c>
      <c r="J299" s="32">
        <v>3372.86</v>
      </c>
      <c r="K299" s="32">
        <v>26982.880000000001</v>
      </c>
    </row>
    <row r="300" spans="1:11" ht="15.5" hidden="1" x14ac:dyDescent="0.35">
      <c r="A300" s="31">
        <v>45150</v>
      </c>
      <c r="B300" s="32" t="s">
        <v>20</v>
      </c>
      <c r="C300" s="32" t="s">
        <v>21</v>
      </c>
      <c r="D300" s="32" t="s">
        <v>34</v>
      </c>
      <c r="E300" s="32" t="s">
        <v>15</v>
      </c>
      <c r="F300" s="32">
        <v>1</v>
      </c>
      <c r="G300" s="32">
        <v>15</v>
      </c>
      <c r="H300" s="32" t="s">
        <v>58</v>
      </c>
      <c r="I300" s="32">
        <v>37</v>
      </c>
      <c r="J300" s="32">
        <v>318.32</v>
      </c>
      <c r="K300" s="32">
        <v>4774.8</v>
      </c>
    </row>
    <row r="301" spans="1:11" ht="15.5" hidden="1" x14ac:dyDescent="0.35">
      <c r="A301" s="31">
        <v>45253</v>
      </c>
      <c r="B301" s="32" t="s">
        <v>20</v>
      </c>
      <c r="C301" s="32" t="s">
        <v>21</v>
      </c>
      <c r="D301" s="32" t="s">
        <v>35</v>
      </c>
      <c r="E301" s="32" t="s">
        <v>24</v>
      </c>
      <c r="F301" s="32">
        <v>3</v>
      </c>
      <c r="G301" s="32">
        <v>5</v>
      </c>
      <c r="H301" s="32" t="s">
        <v>59</v>
      </c>
      <c r="I301" s="32">
        <v>50</v>
      </c>
      <c r="J301" s="32">
        <v>3900.9</v>
      </c>
      <c r="K301" s="32">
        <v>19504.5</v>
      </c>
    </row>
    <row r="302" spans="1:11" ht="15.5" hidden="1" x14ac:dyDescent="0.35">
      <c r="A302" s="31">
        <v>45229</v>
      </c>
      <c r="B302" s="32" t="s">
        <v>8</v>
      </c>
      <c r="C302" s="32" t="s">
        <v>9</v>
      </c>
      <c r="D302" s="32" t="s">
        <v>10</v>
      </c>
      <c r="E302" s="32" t="s">
        <v>27</v>
      </c>
      <c r="F302" s="32">
        <v>2</v>
      </c>
      <c r="G302" s="32">
        <v>15</v>
      </c>
      <c r="H302" s="32" t="s">
        <v>48</v>
      </c>
      <c r="I302" s="32">
        <v>49</v>
      </c>
      <c r="J302" s="32">
        <v>1113.76</v>
      </c>
      <c r="K302" s="32">
        <v>16706.400000000001</v>
      </c>
    </row>
    <row r="303" spans="1:11" ht="15.5" hidden="1" x14ac:dyDescent="0.35">
      <c r="A303" s="31">
        <v>45195</v>
      </c>
      <c r="B303" s="32" t="s">
        <v>20</v>
      </c>
      <c r="C303" s="32" t="s">
        <v>21</v>
      </c>
      <c r="D303" s="32" t="s">
        <v>22</v>
      </c>
      <c r="E303" s="32" t="s">
        <v>18</v>
      </c>
      <c r="F303" s="32">
        <v>4</v>
      </c>
      <c r="G303" s="32">
        <v>9</v>
      </c>
      <c r="H303" s="32" t="s">
        <v>49</v>
      </c>
      <c r="I303" s="32">
        <v>54</v>
      </c>
      <c r="J303" s="32">
        <v>3458</v>
      </c>
      <c r="K303" s="32">
        <v>31122</v>
      </c>
    </row>
    <row r="304" spans="1:11" ht="15.5" hidden="1" x14ac:dyDescent="0.35">
      <c r="A304" s="31">
        <v>45228</v>
      </c>
      <c r="B304" s="32" t="s">
        <v>20</v>
      </c>
      <c r="C304" s="32" t="s">
        <v>21</v>
      </c>
      <c r="D304" s="32" t="s">
        <v>34</v>
      </c>
      <c r="E304" s="32" t="s">
        <v>15</v>
      </c>
      <c r="F304" s="32">
        <v>1</v>
      </c>
      <c r="G304" s="32">
        <v>7</v>
      </c>
      <c r="H304" s="32" t="s">
        <v>50</v>
      </c>
      <c r="I304" s="32">
        <v>24</v>
      </c>
      <c r="J304" s="32">
        <v>3415.15</v>
      </c>
      <c r="K304" s="32">
        <v>23906.05</v>
      </c>
    </row>
    <row r="305" spans="1:11" ht="15.5" x14ac:dyDescent="0.35">
      <c r="A305" s="31">
        <v>45217</v>
      </c>
      <c r="B305" s="32" t="s">
        <v>12</v>
      </c>
      <c r="C305" s="32" t="s">
        <v>13</v>
      </c>
      <c r="D305" s="32" t="s">
        <v>33</v>
      </c>
      <c r="E305" s="32" t="s">
        <v>11</v>
      </c>
      <c r="F305" s="32">
        <v>5</v>
      </c>
      <c r="G305" s="32">
        <v>15</v>
      </c>
      <c r="H305" s="32" t="s">
        <v>51</v>
      </c>
      <c r="I305" s="32">
        <v>19</v>
      </c>
      <c r="J305" s="32">
        <v>2920.62</v>
      </c>
      <c r="K305" s="32">
        <v>43809.3</v>
      </c>
    </row>
    <row r="306" spans="1:11" ht="15.5" hidden="1" x14ac:dyDescent="0.35">
      <c r="A306" s="31">
        <v>45161</v>
      </c>
      <c r="B306" s="32" t="s">
        <v>8</v>
      </c>
      <c r="C306" s="32" t="s">
        <v>9</v>
      </c>
      <c r="D306" s="32" t="s">
        <v>10</v>
      </c>
      <c r="E306" s="32" t="s">
        <v>18</v>
      </c>
      <c r="F306" s="32">
        <v>4</v>
      </c>
      <c r="G306" s="32">
        <v>20</v>
      </c>
      <c r="H306" s="32" t="s">
        <v>52</v>
      </c>
      <c r="I306" s="32">
        <v>45</v>
      </c>
      <c r="J306" s="32">
        <v>1100.3800000000001</v>
      </c>
      <c r="K306" s="32">
        <v>22007.599999999999</v>
      </c>
    </row>
    <row r="307" spans="1:11" ht="15.5" hidden="1" x14ac:dyDescent="0.35">
      <c r="A307" s="31">
        <v>45284</v>
      </c>
      <c r="B307" s="32" t="s">
        <v>12</v>
      </c>
      <c r="C307" s="32" t="s">
        <v>16</v>
      </c>
      <c r="D307" s="32" t="s">
        <v>17</v>
      </c>
      <c r="E307" s="32" t="s">
        <v>27</v>
      </c>
      <c r="F307" s="32">
        <v>2</v>
      </c>
      <c r="G307" s="32">
        <v>15</v>
      </c>
      <c r="H307" s="32" t="s">
        <v>53</v>
      </c>
      <c r="I307" s="32">
        <v>42</v>
      </c>
      <c r="J307" s="32">
        <v>170.6</v>
      </c>
      <c r="K307" s="32">
        <v>2559</v>
      </c>
    </row>
    <row r="308" spans="1:11" ht="15.5" hidden="1" x14ac:dyDescent="0.35">
      <c r="A308" s="31">
        <v>44932</v>
      </c>
      <c r="B308" s="32" t="s">
        <v>12</v>
      </c>
      <c r="C308" s="32" t="s">
        <v>13</v>
      </c>
      <c r="D308" s="32" t="s">
        <v>14</v>
      </c>
      <c r="E308" s="32" t="s">
        <v>18</v>
      </c>
      <c r="F308" s="32">
        <v>4</v>
      </c>
      <c r="G308" s="32">
        <v>18</v>
      </c>
      <c r="H308" s="32" t="s">
        <v>54</v>
      </c>
      <c r="I308" s="32">
        <v>28</v>
      </c>
      <c r="J308" s="32">
        <v>1073</v>
      </c>
      <c r="K308" s="32">
        <v>19314</v>
      </c>
    </row>
    <row r="309" spans="1:11" ht="15.5" x14ac:dyDescent="0.35">
      <c r="A309" s="31">
        <v>44985</v>
      </c>
      <c r="B309" s="32" t="s">
        <v>8</v>
      </c>
      <c r="C309" s="32" t="s">
        <v>28</v>
      </c>
      <c r="D309" s="32" t="s">
        <v>30</v>
      </c>
      <c r="E309" s="32" t="s">
        <v>11</v>
      </c>
      <c r="F309" s="32">
        <v>5</v>
      </c>
      <c r="G309" s="32">
        <v>9</v>
      </c>
      <c r="H309" s="32" t="s">
        <v>55</v>
      </c>
      <c r="I309" s="32">
        <v>41</v>
      </c>
      <c r="J309" s="32">
        <v>3276.04</v>
      </c>
      <c r="K309" s="32">
        <v>29484.36</v>
      </c>
    </row>
    <row r="310" spans="1:11" ht="15.5" hidden="1" x14ac:dyDescent="0.35">
      <c r="A310" s="31">
        <v>45167</v>
      </c>
      <c r="B310" s="32" t="s">
        <v>12</v>
      </c>
      <c r="C310" s="32" t="s">
        <v>16</v>
      </c>
      <c r="D310" s="32" t="s">
        <v>25</v>
      </c>
      <c r="E310" s="32" t="s">
        <v>24</v>
      </c>
      <c r="F310" s="32">
        <v>3</v>
      </c>
      <c r="G310" s="32">
        <v>1</v>
      </c>
      <c r="H310" s="32" t="s">
        <v>56</v>
      </c>
      <c r="I310" s="32">
        <v>38</v>
      </c>
      <c r="J310" s="32">
        <v>3734.74</v>
      </c>
      <c r="K310" s="32">
        <v>3734.74</v>
      </c>
    </row>
    <row r="311" spans="1:11" ht="15.5" hidden="1" x14ac:dyDescent="0.35">
      <c r="A311" s="31">
        <v>44982</v>
      </c>
      <c r="B311" s="32" t="s">
        <v>8</v>
      </c>
      <c r="C311" s="32" t="s">
        <v>9</v>
      </c>
      <c r="D311" s="32" t="s">
        <v>10</v>
      </c>
      <c r="E311" s="32" t="s">
        <v>15</v>
      </c>
      <c r="F311" s="32">
        <v>1</v>
      </c>
      <c r="G311" s="32">
        <v>5</v>
      </c>
      <c r="H311" s="32" t="s">
        <v>57</v>
      </c>
      <c r="I311" s="32">
        <v>26</v>
      </c>
      <c r="J311" s="32">
        <v>3926.26</v>
      </c>
      <c r="K311" s="32">
        <v>19631.3</v>
      </c>
    </row>
    <row r="312" spans="1:11" ht="15.5" hidden="1" x14ac:dyDescent="0.35">
      <c r="A312" s="31">
        <v>45220</v>
      </c>
      <c r="B312" s="32" t="s">
        <v>12</v>
      </c>
      <c r="C312" s="32" t="s">
        <v>13</v>
      </c>
      <c r="D312" s="32" t="s">
        <v>33</v>
      </c>
      <c r="E312" s="32" t="s">
        <v>18</v>
      </c>
      <c r="F312" s="32">
        <v>4</v>
      </c>
      <c r="G312" s="32">
        <v>7</v>
      </c>
      <c r="H312" s="32" t="s">
        <v>58</v>
      </c>
      <c r="I312" s="32">
        <v>40</v>
      </c>
      <c r="J312" s="32">
        <v>2048.48</v>
      </c>
      <c r="K312" s="32">
        <v>14339.36</v>
      </c>
    </row>
    <row r="313" spans="1:11" ht="15.5" x14ac:dyDescent="0.35">
      <c r="A313" s="31">
        <v>45202</v>
      </c>
      <c r="B313" s="32" t="s">
        <v>8</v>
      </c>
      <c r="C313" s="32" t="s">
        <v>9</v>
      </c>
      <c r="D313" s="32" t="s">
        <v>10</v>
      </c>
      <c r="E313" s="32" t="s">
        <v>11</v>
      </c>
      <c r="F313" s="32">
        <v>5</v>
      </c>
      <c r="G313" s="32">
        <v>11</v>
      </c>
      <c r="H313" s="32" t="s">
        <v>59</v>
      </c>
      <c r="I313" s="32">
        <v>48</v>
      </c>
      <c r="J313" s="32">
        <v>1316.18</v>
      </c>
      <c r="K313" s="32">
        <v>14477.98</v>
      </c>
    </row>
    <row r="314" spans="1:11" ht="15.5" x14ac:dyDescent="0.35">
      <c r="A314" s="31">
        <v>45016</v>
      </c>
      <c r="B314" s="32" t="s">
        <v>20</v>
      </c>
      <c r="C314" s="32" t="s">
        <v>21</v>
      </c>
      <c r="D314" s="32" t="s">
        <v>34</v>
      </c>
      <c r="E314" s="32" t="s">
        <v>11</v>
      </c>
      <c r="F314" s="32">
        <v>5</v>
      </c>
      <c r="G314" s="32">
        <v>10</v>
      </c>
      <c r="H314" s="32" t="s">
        <v>48</v>
      </c>
      <c r="I314" s="32">
        <v>35</v>
      </c>
      <c r="J314" s="32">
        <v>2027.97</v>
      </c>
      <c r="K314" s="32">
        <v>20279.7</v>
      </c>
    </row>
    <row r="315" spans="1:11" ht="15.5" hidden="1" x14ac:dyDescent="0.35">
      <c r="A315" s="31">
        <v>45119</v>
      </c>
      <c r="B315" s="32" t="s">
        <v>8</v>
      </c>
      <c r="C315" s="32" t="s">
        <v>9</v>
      </c>
      <c r="D315" s="32" t="s">
        <v>10</v>
      </c>
      <c r="E315" s="32" t="s">
        <v>27</v>
      </c>
      <c r="F315" s="32">
        <v>2</v>
      </c>
      <c r="G315" s="32">
        <v>9</v>
      </c>
      <c r="H315" s="32" t="s">
        <v>49</v>
      </c>
      <c r="I315" s="32">
        <v>27</v>
      </c>
      <c r="J315" s="32">
        <v>4757.53</v>
      </c>
      <c r="K315" s="32">
        <v>42817.77</v>
      </c>
    </row>
    <row r="316" spans="1:11" ht="15.5" hidden="1" x14ac:dyDescent="0.35">
      <c r="A316" s="31">
        <v>45001</v>
      </c>
      <c r="B316" s="32" t="s">
        <v>8</v>
      </c>
      <c r="C316" s="32" t="s">
        <v>9</v>
      </c>
      <c r="D316" s="32" t="s">
        <v>23</v>
      </c>
      <c r="E316" s="32" t="s">
        <v>15</v>
      </c>
      <c r="F316" s="32">
        <v>1</v>
      </c>
      <c r="G316" s="32">
        <v>4</v>
      </c>
      <c r="H316" s="32" t="s">
        <v>50</v>
      </c>
      <c r="I316" s="32">
        <v>52</v>
      </c>
      <c r="J316" s="32">
        <v>1256.3399999999999</v>
      </c>
      <c r="K316" s="32">
        <v>5025.3599999999997</v>
      </c>
    </row>
    <row r="317" spans="1:11" ht="15.5" hidden="1" x14ac:dyDescent="0.35">
      <c r="A317" s="31">
        <v>45191</v>
      </c>
      <c r="B317" s="32" t="s">
        <v>20</v>
      </c>
      <c r="C317" s="32" t="s">
        <v>21</v>
      </c>
      <c r="D317" s="32" t="s">
        <v>34</v>
      </c>
      <c r="E317" s="32" t="s">
        <v>27</v>
      </c>
      <c r="F317" s="32">
        <v>2</v>
      </c>
      <c r="G317" s="32">
        <v>11</v>
      </c>
      <c r="H317" s="32" t="s">
        <v>51</v>
      </c>
      <c r="I317" s="32">
        <v>53</v>
      </c>
      <c r="J317" s="32">
        <v>1065.6400000000001</v>
      </c>
      <c r="K317" s="32">
        <v>11722.04</v>
      </c>
    </row>
    <row r="318" spans="1:11" ht="15.5" hidden="1" x14ac:dyDescent="0.35">
      <c r="A318" s="31">
        <v>44994</v>
      </c>
      <c r="B318" s="32" t="s">
        <v>8</v>
      </c>
      <c r="C318" s="32" t="s">
        <v>28</v>
      </c>
      <c r="D318" s="32" t="s">
        <v>32</v>
      </c>
      <c r="E318" s="32" t="s">
        <v>24</v>
      </c>
      <c r="F318" s="32">
        <v>3</v>
      </c>
      <c r="G318" s="32">
        <v>15</v>
      </c>
      <c r="H318" s="32" t="s">
        <v>52</v>
      </c>
      <c r="I318" s="32">
        <v>35</v>
      </c>
      <c r="J318" s="32">
        <v>961.23</v>
      </c>
      <c r="K318" s="32">
        <v>14418.45</v>
      </c>
    </row>
    <row r="319" spans="1:11" ht="15.5" x14ac:dyDescent="0.35">
      <c r="A319" s="31">
        <v>45071</v>
      </c>
      <c r="B319" s="32" t="s">
        <v>8</v>
      </c>
      <c r="C319" s="32" t="s">
        <v>28</v>
      </c>
      <c r="D319" s="32" t="s">
        <v>29</v>
      </c>
      <c r="E319" s="32" t="s">
        <v>11</v>
      </c>
      <c r="F319" s="32">
        <v>5</v>
      </c>
      <c r="G319" s="32">
        <v>2</v>
      </c>
      <c r="H319" s="32" t="s">
        <v>53</v>
      </c>
      <c r="I319" s="32">
        <v>33</v>
      </c>
      <c r="J319" s="32">
        <v>2238.46</v>
      </c>
      <c r="K319" s="32">
        <v>4476.92</v>
      </c>
    </row>
    <row r="320" spans="1:11" ht="15.5" hidden="1" x14ac:dyDescent="0.35">
      <c r="A320" s="31">
        <v>45107</v>
      </c>
      <c r="B320" s="32" t="s">
        <v>20</v>
      </c>
      <c r="C320" s="32" t="s">
        <v>21</v>
      </c>
      <c r="D320" s="32" t="s">
        <v>35</v>
      </c>
      <c r="E320" s="32" t="s">
        <v>24</v>
      </c>
      <c r="F320" s="32">
        <v>3</v>
      </c>
      <c r="G320" s="32">
        <v>17</v>
      </c>
      <c r="H320" s="32" t="s">
        <v>54</v>
      </c>
      <c r="I320" s="32">
        <v>23</v>
      </c>
      <c r="J320" s="32">
        <v>1538.4</v>
      </c>
      <c r="K320" s="32">
        <v>26152.799999999999</v>
      </c>
    </row>
    <row r="321" spans="1:11" ht="15.5" hidden="1" x14ac:dyDescent="0.35">
      <c r="A321" s="31">
        <v>45214</v>
      </c>
      <c r="B321" s="32" t="s">
        <v>8</v>
      </c>
      <c r="C321" s="32" t="s">
        <v>9</v>
      </c>
      <c r="D321" s="32" t="s">
        <v>31</v>
      </c>
      <c r="E321" s="32" t="s">
        <v>15</v>
      </c>
      <c r="F321" s="32">
        <v>1</v>
      </c>
      <c r="G321" s="32">
        <v>17</v>
      </c>
      <c r="H321" s="32" t="s">
        <v>55</v>
      </c>
      <c r="I321" s="32">
        <v>19</v>
      </c>
      <c r="J321" s="32">
        <v>1307.24</v>
      </c>
      <c r="K321" s="32">
        <v>22223.08</v>
      </c>
    </row>
    <row r="322" spans="1:11" ht="15.5" hidden="1" x14ac:dyDescent="0.35">
      <c r="A322" s="31">
        <v>45097</v>
      </c>
      <c r="B322" s="32" t="s">
        <v>20</v>
      </c>
      <c r="C322" s="32" t="s">
        <v>21</v>
      </c>
      <c r="D322" s="32" t="s">
        <v>22</v>
      </c>
      <c r="E322" s="32" t="s">
        <v>18</v>
      </c>
      <c r="F322" s="32">
        <v>4</v>
      </c>
      <c r="G322" s="32">
        <v>1</v>
      </c>
      <c r="H322" s="32" t="s">
        <v>56</v>
      </c>
      <c r="I322" s="32">
        <v>26</v>
      </c>
      <c r="J322" s="32">
        <v>840.65</v>
      </c>
      <c r="K322" s="32">
        <v>840.65</v>
      </c>
    </row>
    <row r="323" spans="1:11" ht="15.5" hidden="1" x14ac:dyDescent="0.35">
      <c r="A323" s="31">
        <v>44971</v>
      </c>
      <c r="B323" s="32" t="s">
        <v>8</v>
      </c>
      <c r="C323" s="32" t="s">
        <v>9</v>
      </c>
      <c r="D323" s="32" t="s">
        <v>10</v>
      </c>
      <c r="E323" s="32" t="s">
        <v>15</v>
      </c>
      <c r="F323" s="32">
        <v>1</v>
      </c>
      <c r="G323" s="32">
        <v>15</v>
      </c>
      <c r="H323" s="32" t="s">
        <v>57</v>
      </c>
      <c r="I323" s="32">
        <v>22</v>
      </c>
      <c r="J323" s="32">
        <v>4822.26</v>
      </c>
      <c r="K323" s="32">
        <v>72333.899999999994</v>
      </c>
    </row>
    <row r="324" spans="1:11" ht="15.5" x14ac:dyDescent="0.35">
      <c r="A324" s="31">
        <v>44989</v>
      </c>
      <c r="B324" s="32" t="s">
        <v>20</v>
      </c>
      <c r="C324" s="32" t="s">
        <v>21</v>
      </c>
      <c r="D324" s="32" t="s">
        <v>34</v>
      </c>
      <c r="E324" s="32" t="s">
        <v>11</v>
      </c>
      <c r="F324" s="32">
        <v>5</v>
      </c>
      <c r="G324" s="32">
        <v>1</v>
      </c>
      <c r="H324" s="32" t="s">
        <v>58</v>
      </c>
      <c r="I324" s="32">
        <v>35</v>
      </c>
      <c r="J324" s="32">
        <v>3781.47</v>
      </c>
      <c r="K324" s="32">
        <v>3781.47</v>
      </c>
    </row>
    <row r="325" spans="1:11" ht="15.5" hidden="1" x14ac:dyDescent="0.35">
      <c r="A325" s="31">
        <v>45083</v>
      </c>
      <c r="B325" s="32" t="s">
        <v>8</v>
      </c>
      <c r="C325" s="32" t="s">
        <v>28</v>
      </c>
      <c r="D325" s="32" t="s">
        <v>30</v>
      </c>
      <c r="E325" s="32" t="s">
        <v>24</v>
      </c>
      <c r="F325" s="32">
        <v>3</v>
      </c>
      <c r="G325" s="32">
        <v>6</v>
      </c>
      <c r="H325" s="32" t="s">
        <v>59</v>
      </c>
      <c r="I325" s="32">
        <v>55</v>
      </c>
      <c r="J325" s="32">
        <v>3051.1</v>
      </c>
      <c r="K325" s="32">
        <v>18306.599999999999</v>
      </c>
    </row>
    <row r="326" spans="1:11" ht="15.5" hidden="1" x14ac:dyDescent="0.35">
      <c r="A326" s="31">
        <v>45270</v>
      </c>
      <c r="B326" s="32" t="s">
        <v>12</v>
      </c>
      <c r="C326" s="32" t="s">
        <v>13</v>
      </c>
      <c r="D326" s="32" t="s">
        <v>26</v>
      </c>
      <c r="E326" s="32" t="s">
        <v>18</v>
      </c>
      <c r="F326" s="32">
        <v>4</v>
      </c>
      <c r="G326" s="32">
        <v>10</v>
      </c>
      <c r="H326" s="32" t="s">
        <v>48</v>
      </c>
      <c r="I326" s="32">
        <v>39</v>
      </c>
      <c r="J326" s="32">
        <v>642.49</v>
      </c>
      <c r="K326" s="32">
        <v>6424.9</v>
      </c>
    </row>
    <row r="327" spans="1:11" ht="15.5" hidden="1" x14ac:dyDescent="0.35">
      <c r="A327" s="31">
        <v>45264</v>
      </c>
      <c r="B327" s="32" t="s">
        <v>12</v>
      </c>
      <c r="C327" s="32" t="s">
        <v>13</v>
      </c>
      <c r="D327" s="32" t="s">
        <v>26</v>
      </c>
      <c r="E327" s="32" t="s">
        <v>18</v>
      </c>
      <c r="F327" s="32">
        <v>4</v>
      </c>
      <c r="G327" s="32">
        <v>15</v>
      </c>
      <c r="H327" s="32" t="s">
        <v>49</v>
      </c>
      <c r="I327" s="32">
        <v>21</v>
      </c>
      <c r="J327" s="32">
        <v>2346.4</v>
      </c>
      <c r="K327" s="32">
        <v>35196</v>
      </c>
    </row>
    <row r="328" spans="1:11" ht="15.5" x14ac:dyDescent="0.35">
      <c r="A328" s="31">
        <v>44958</v>
      </c>
      <c r="B328" s="32" t="s">
        <v>12</v>
      </c>
      <c r="C328" s="32" t="s">
        <v>13</v>
      </c>
      <c r="D328" s="32" t="s">
        <v>26</v>
      </c>
      <c r="E328" s="32" t="s">
        <v>11</v>
      </c>
      <c r="F328" s="32">
        <v>5</v>
      </c>
      <c r="G328" s="32">
        <v>20</v>
      </c>
      <c r="H328" s="32" t="s">
        <v>50</v>
      </c>
      <c r="I328" s="32">
        <v>52</v>
      </c>
      <c r="J328" s="32">
        <v>1514.3</v>
      </c>
      <c r="K328" s="32">
        <v>30286</v>
      </c>
    </row>
    <row r="329" spans="1:11" ht="15.5" hidden="1" x14ac:dyDescent="0.35">
      <c r="A329" s="31">
        <v>45105</v>
      </c>
      <c r="B329" s="32" t="s">
        <v>20</v>
      </c>
      <c r="C329" s="32" t="s">
        <v>21</v>
      </c>
      <c r="D329" s="32" t="s">
        <v>22</v>
      </c>
      <c r="E329" s="32" t="s">
        <v>24</v>
      </c>
      <c r="F329" s="32">
        <v>3</v>
      </c>
      <c r="G329" s="32">
        <v>16</v>
      </c>
      <c r="H329" s="32" t="s">
        <v>51</v>
      </c>
      <c r="I329" s="32">
        <v>37</v>
      </c>
      <c r="J329" s="32">
        <v>4364.8999999999996</v>
      </c>
      <c r="K329" s="32">
        <v>69838.399999999994</v>
      </c>
    </row>
    <row r="330" spans="1:11" ht="15.5" hidden="1" x14ac:dyDescent="0.35">
      <c r="A330" s="31">
        <v>45171</v>
      </c>
      <c r="B330" s="32" t="s">
        <v>8</v>
      </c>
      <c r="C330" s="32" t="s">
        <v>9</v>
      </c>
      <c r="D330" s="32" t="s">
        <v>23</v>
      </c>
      <c r="E330" s="32" t="s">
        <v>24</v>
      </c>
      <c r="F330" s="32">
        <v>3</v>
      </c>
      <c r="G330" s="32">
        <v>2</v>
      </c>
      <c r="H330" s="32" t="s">
        <v>52</v>
      </c>
      <c r="I330" s="32">
        <v>27</v>
      </c>
      <c r="J330" s="32">
        <v>1695.6</v>
      </c>
      <c r="K330" s="32">
        <v>3391.2</v>
      </c>
    </row>
    <row r="331" spans="1:11" ht="15.5" x14ac:dyDescent="0.35">
      <c r="A331" s="31">
        <v>45110</v>
      </c>
      <c r="B331" s="32" t="s">
        <v>12</v>
      </c>
      <c r="C331" s="32" t="s">
        <v>13</v>
      </c>
      <c r="D331" s="32" t="s">
        <v>14</v>
      </c>
      <c r="E331" s="32" t="s">
        <v>11</v>
      </c>
      <c r="F331" s="32">
        <v>5</v>
      </c>
      <c r="G331" s="32">
        <v>18</v>
      </c>
      <c r="H331" s="32" t="s">
        <v>53</v>
      </c>
      <c r="I331" s="32">
        <v>45</v>
      </c>
      <c r="J331" s="32">
        <v>1968.87</v>
      </c>
      <c r="K331" s="32">
        <v>35439.660000000003</v>
      </c>
    </row>
    <row r="332" spans="1:11" ht="15.5" x14ac:dyDescent="0.35">
      <c r="A332" s="31">
        <v>44978</v>
      </c>
      <c r="B332" s="32" t="s">
        <v>12</v>
      </c>
      <c r="C332" s="32" t="s">
        <v>13</v>
      </c>
      <c r="D332" s="32" t="s">
        <v>26</v>
      </c>
      <c r="E332" s="32" t="s">
        <v>11</v>
      </c>
      <c r="F332" s="32">
        <v>5</v>
      </c>
      <c r="G332" s="32">
        <v>17</v>
      </c>
      <c r="H332" s="32" t="s">
        <v>54</v>
      </c>
      <c r="I332" s="32">
        <v>16</v>
      </c>
      <c r="J332" s="32">
        <v>1777.42</v>
      </c>
      <c r="K332" s="32">
        <v>30216.14</v>
      </c>
    </row>
    <row r="333" spans="1:11" ht="15.5" x14ac:dyDescent="0.35">
      <c r="A333" s="31">
        <v>45201</v>
      </c>
      <c r="B333" s="32" t="s">
        <v>12</v>
      </c>
      <c r="C333" s="32" t="s">
        <v>13</v>
      </c>
      <c r="D333" s="32" t="s">
        <v>14</v>
      </c>
      <c r="E333" s="32" t="s">
        <v>11</v>
      </c>
      <c r="F333" s="32">
        <v>5</v>
      </c>
      <c r="G333" s="32">
        <v>19</v>
      </c>
      <c r="H333" s="32" t="s">
        <v>55</v>
      </c>
      <c r="I333" s="32">
        <v>35</v>
      </c>
      <c r="J333" s="32">
        <v>1564.94</v>
      </c>
      <c r="K333" s="32">
        <v>29733.86</v>
      </c>
    </row>
    <row r="334" spans="1:11" ht="15.5" hidden="1" x14ac:dyDescent="0.35">
      <c r="A334" s="31">
        <v>45022</v>
      </c>
      <c r="B334" s="32" t="s">
        <v>8</v>
      </c>
      <c r="C334" s="32" t="s">
        <v>28</v>
      </c>
      <c r="D334" s="32" t="s">
        <v>30</v>
      </c>
      <c r="E334" s="32" t="s">
        <v>27</v>
      </c>
      <c r="F334" s="32">
        <v>2</v>
      </c>
      <c r="G334" s="32">
        <v>7</v>
      </c>
      <c r="H334" s="32" t="s">
        <v>56</v>
      </c>
      <c r="I334" s="32">
        <v>53</v>
      </c>
      <c r="J334" s="32">
        <v>1205.8900000000001</v>
      </c>
      <c r="K334" s="32">
        <v>8441.23</v>
      </c>
    </row>
    <row r="335" spans="1:11" ht="15.5" x14ac:dyDescent="0.35">
      <c r="A335" s="31">
        <v>45051</v>
      </c>
      <c r="B335" s="32" t="s">
        <v>12</v>
      </c>
      <c r="C335" s="32" t="s">
        <v>16</v>
      </c>
      <c r="D335" s="32" t="s">
        <v>25</v>
      </c>
      <c r="E335" s="32" t="s">
        <v>11</v>
      </c>
      <c r="F335" s="32">
        <v>5</v>
      </c>
      <c r="G335" s="32">
        <v>7</v>
      </c>
      <c r="H335" s="32" t="s">
        <v>57</v>
      </c>
      <c r="I335" s="32">
        <v>20</v>
      </c>
      <c r="J335" s="32">
        <v>4530.8100000000004</v>
      </c>
      <c r="K335" s="32">
        <v>31715.67</v>
      </c>
    </row>
    <row r="336" spans="1:11" ht="15.5" hidden="1" x14ac:dyDescent="0.35">
      <c r="A336" s="31">
        <v>45008</v>
      </c>
      <c r="B336" s="32" t="s">
        <v>12</v>
      </c>
      <c r="C336" s="32" t="s">
        <v>16</v>
      </c>
      <c r="D336" s="32" t="s">
        <v>19</v>
      </c>
      <c r="E336" s="32" t="s">
        <v>15</v>
      </c>
      <c r="F336" s="32">
        <v>1</v>
      </c>
      <c r="G336" s="32">
        <v>13</v>
      </c>
      <c r="H336" s="32" t="s">
        <v>58</v>
      </c>
      <c r="I336" s="32">
        <v>51</v>
      </c>
      <c r="J336" s="32">
        <v>3568.86</v>
      </c>
      <c r="K336" s="32">
        <v>46395.18</v>
      </c>
    </row>
    <row r="337" spans="1:11" ht="15.5" hidden="1" x14ac:dyDescent="0.35">
      <c r="A337" s="31">
        <v>45164</v>
      </c>
      <c r="B337" s="32" t="s">
        <v>12</v>
      </c>
      <c r="C337" s="32" t="s">
        <v>16</v>
      </c>
      <c r="D337" s="32" t="s">
        <v>17</v>
      </c>
      <c r="E337" s="32" t="s">
        <v>24</v>
      </c>
      <c r="F337" s="32">
        <v>3</v>
      </c>
      <c r="G337" s="32">
        <v>10</v>
      </c>
      <c r="H337" s="32" t="s">
        <v>59</v>
      </c>
      <c r="I337" s="32">
        <v>34</v>
      </c>
      <c r="J337" s="32">
        <v>2349.2399999999998</v>
      </c>
      <c r="K337" s="32">
        <v>23492.400000000001</v>
      </c>
    </row>
    <row r="338" spans="1:11" ht="15.5" hidden="1" x14ac:dyDescent="0.35">
      <c r="A338" s="31">
        <v>44992</v>
      </c>
      <c r="B338" s="32" t="s">
        <v>8</v>
      </c>
      <c r="C338" s="32" t="s">
        <v>28</v>
      </c>
      <c r="D338" s="32" t="s">
        <v>30</v>
      </c>
      <c r="E338" s="32" t="s">
        <v>15</v>
      </c>
      <c r="F338" s="32">
        <v>1</v>
      </c>
      <c r="G338" s="32">
        <v>16</v>
      </c>
      <c r="H338" s="32" t="s">
        <v>48</v>
      </c>
      <c r="I338" s="32">
        <v>50</v>
      </c>
      <c r="J338" s="32">
        <v>1025.8</v>
      </c>
      <c r="K338" s="32">
        <v>16412.8</v>
      </c>
    </row>
    <row r="339" spans="1:11" ht="15.5" hidden="1" x14ac:dyDescent="0.35">
      <c r="A339" s="31">
        <v>45015</v>
      </c>
      <c r="B339" s="32" t="s">
        <v>20</v>
      </c>
      <c r="C339" s="32" t="s">
        <v>21</v>
      </c>
      <c r="D339" s="32" t="s">
        <v>22</v>
      </c>
      <c r="E339" s="32" t="s">
        <v>27</v>
      </c>
      <c r="F339" s="32">
        <v>2</v>
      </c>
      <c r="G339" s="32">
        <v>3</v>
      </c>
      <c r="H339" s="32" t="s">
        <v>49</v>
      </c>
      <c r="I339" s="32">
        <v>16</v>
      </c>
      <c r="J339" s="32">
        <v>4608.8900000000003</v>
      </c>
      <c r="K339" s="32">
        <v>13826.67</v>
      </c>
    </row>
    <row r="340" spans="1:11" ht="15.5" hidden="1" x14ac:dyDescent="0.35">
      <c r="A340" s="31">
        <v>45003</v>
      </c>
      <c r="B340" s="32" t="s">
        <v>20</v>
      </c>
      <c r="C340" s="32" t="s">
        <v>21</v>
      </c>
      <c r="D340" s="32" t="s">
        <v>35</v>
      </c>
      <c r="E340" s="32" t="s">
        <v>15</v>
      </c>
      <c r="F340" s="32">
        <v>1</v>
      </c>
      <c r="G340" s="32">
        <v>5</v>
      </c>
      <c r="H340" s="32" t="s">
        <v>50</v>
      </c>
      <c r="I340" s="32">
        <v>19</v>
      </c>
      <c r="J340" s="32">
        <v>2681.34</v>
      </c>
      <c r="K340" s="32">
        <v>13406.7</v>
      </c>
    </row>
    <row r="341" spans="1:11" ht="15.5" hidden="1" x14ac:dyDescent="0.35">
      <c r="A341" s="31">
        <v>45254</v>
      </c>
      <c r="B341" s="32" t="s">
        <v>12</v>
      </c>
      <c r="C341" s="32" t="s">
        <v>16</v>
      </c>
      <c r="D341" s="32" t="s">
        <v>25</v>
      </c>
      <c r="E341" s="32" t="s">
        <v>24</v>
      </c>
      <c r="F341" s="32">
        <v>3</v>
      </c>
      <c r="G341" s="32">
        <v>5</v>
      </c>
      <c r="H341" s="32" t="s">
        <v>51</v>
      </c>
      <c r="I341" s="32">
        <v>29</v>
      </c>
      <c r="J341" s="32">
        <v>2481.2199999999998</v>
      </c>
      <c r="K341" s="32">
        <v>12406.1</v>
      </c>
    </row>
    <row r="342" spans="1:11" ht="15.5" hidden="1" x14ac:dyDescent="0.35">
      <c r="A342" s="31">
        <v>45035</v>
      </c>
      <c r="B342" s="32" t="s">
        <v>12</v>
      </c>
      <c r="C342" s="32" t="s">
        <v>16</v>
      </c>
      <c r="D342" s="32" t="s">
        <v>19</v>
      </c>
      <c r="E342" s="32" t="s">
        <v>24</v>
      </c>
      <c r="F342" s="32">
        <v>3</v>
      </c>
      <c r="G342" s="32">
        <v>13</v>
      </c>
      <c r="H342" s="32" t="s">
        <v>52</v>
      </c>
      <c r="I342" s="32">
        <v>55</v>
      </c>
      <c r="J342" s="32">
        <v>4911.57</v>
      </c>
      <c r="K342" s="32">
        <v>63850.41</v>
      </c>
    </row>
    <row r="343" spans="1:11" ht="15.5" x14ac:dyDescent="0.35">
      <c r="A343" s="31">
        <v>44964</v>
      </c>
      <c r="B343" s="32" t="s">
        <v>12</v>
      </c>
      <c r="C343" s="32" t="s">
        <v>13</v>
      </c>
      <c r="D343" s="32" t="s">
        <v>33</v>
      </c>
      <c r="E343" s="32" t="s">
        <v>11</v>
      </c>
      <c r="F343" s="32">
        <v>5</v>
      </c>
      <c r="G343" s="32">
        <v>4</v>
      </c>
      <c r="H343" s="32" t="s">
        <v>53</v>
      </c>
      <c r="I343" s="32">
        <v>51</v>
      </c>
      <c r="J343" s="32">
        <v>4337.09</v>
      </c>
      <c r="K343" s="32">
        <v>17348.36</v>
      </c>
    </row>
    <row r="344" spans="1:11" ht="15.5" hidden="1" x14ac:dyDescent="0.35">
      <c r="A344" s="31">
        <v>45205</v>
      </c>
      <c r="B344" s="32" t="s">
        <v>8</v>
      </c>
      <c r="C344" s="32" t="s">
        <v>28</v>
      </c>
      <c r="D344" s="32" t="s">
        <v>30</v>
      </c>
      <c r="E344" s="32" t="s">
        <v>18</v>
      </c>
      <c r="F344" s="32">
        <v>4</v>
      </c>
      <c r="G344" s="32">
        <v>4</v>
      </c>
      <c r="H344" s="32" t="s">
        <v>54</v>
      </c>
      <c r="I344" s="32">
        <v>50</v>
      </c>
      <c r="J344" s="32">
        <v>4317.2</v>
      </c>
      <c r="K344" s="32">
        <v>17268.8</v>
      </c>
    </row>
    <row r="345" spans="1:11" ht="15.5" hidden="1" x14ac:dyDescent="0.35">
      <c r="A345" s="31">
        <v>44989</v>
      </c>
      <c r="B345" s="32" t="s">
        <v>12</v>
      </c>
      <c r="C345" s="32" t="s">
        <v>16</v>
      </c>
      <c r="D345" s="32" t="s">
        <v>17</v>
      </c>
      <c r="E345" s="32" t="s">
        <v>27</v>
      </c>
      <c r="F345" s="32">
        <v>2</v>
      </c>
      <c r="G345" s="32">
        <v>13</v>
      </c>
      <c r="H345" s="32" t="s">
        <v>55</v>
      </c>
      <c r="I345" s="32">
        <v>36</v>
      </c>
      <c r="J345" s="32">
        <v>2693.09</v>
      </c>
      <c r="K345" s="32">
        <v>35010.17</v>
      </c>
    </row>
    <row r="346" spans="1:11" ht="15.5" x14ac:dyDescent="0.35">
      <c r="A346" s="31">
        <v>45090</v>
      </c>
      <c r="B346" s="32" t="s">
        <v>12</v>
      </c>
      <c r="C346" s="32" t="s">
        <v>13</v>
      </c>
      <c r="D346" s="32" t="s">
        <v>14</v>
      </c>
      <c r="E346" s="32" t="s">
        <v>11</v>
      </c>
      <c r="F346" s="32">
        <v>5</v>
      </c>
      <c r="G346" s="32">
        <v>5</v>
      </c>
      <c r="H346" s="32" t="s">
        <v>56</v>
      </c>
      <c r="I346" s="32">
        <v>16</v>
      </c>
      <c r="J346" s="32">
        <v>3701.17</v>
      </c>
      <c r="K346" s="32">
        <v>18505.849999999999</v>
      </c>
    </row>
    <row r="347" spans="1:11" ht="15.5" hidden="1" x14ac:dyDescent="0.35">
      <c r="A347" s="31">
        <v>45236</v>
      </c>
      <c r="B347" s="32" t="s">
        <v>12</v>
      </c>
      <c r="C347" s="32" t="s">
        <v>16</v>
      </c>
      <c r="D347" s="32" t="s">
        <v>19</v>
      </c>
      <c r="E347" s="32" t="s">
        <v>27</v>
      </c>
      <c r="F347" s="32">
        <v>2</v>
      </c>
      <c r="G347" s="32">
        <v>1</v>
      </c>
      <c r="H347" s="32" t="s">
        <v>57</v>
      </c>
      <c r="I347" s="32">
        <v>48</v>
      </c>
      <c r="J347" s="32">
        <v>585.58000000000004</v>
      </c>
      <c r="K347" s="32">
        <v>585.58000000000004</v>
      </c>
    </row>
    <row r="348" spans="1:11" ht="15.5" hidden="1" x14ac:dyDescent="0.35">
      <c r="A348" s="31">
        <v>45201</v>
      </c>
      <c r="B348" s="32" t="s">
        <v>12</v>
      </c>
      <c r="C348" s="32" t="s">
        <v>13</v>
      </c>
      <c r="D348" s="32" t="s">
        <v>26</v>
      </c>
      <c r="E348" s="32" t="s">
        <v>27</v>
      </c>
      <c r="F348" s="32">
        <v>2</v>
      </c>
      <c r="G348" s="32">
        <v>16</v>
      </c>
      <c r="H348" s="32" t="s">
        <v>58</v>
      </c>
      <c r="I348" s="32">
        <v>49</v>
      </c>
      <c r="J348" s="32">
        <v>4720.2299999999996</v>
      </c>
      <c r="K348" s="32">
        <v>75523.679999999993</v>
      </c>
    </row>
    <row r="349" spans="1:11" ht="15.5" hidden="1" x14ac:dyDescent="0.35">
      <c r="A349" s="31">
        <v>45085</v>
      </c>
      <c r="B349" s="32" t="s">
        <v>8</v>
      </c>
      <c r="C349" s="32" t="s">
        <v>28</v>
      </c>
      <c r="D349" s="32" t="s">
        <v>29</v>
      </c>
      <c r="E349" s="32" t="s">
        <v>27</v>
      </c>
      <c r="F349" s="32">
        <v>2</v>
      </c>
      <c r="G349" s="32">
        <v>15</v>
      </c>
      <c r="H349" s="32" t="s">
        <v>59</v>
      </c>
      <c r="I349" s="32">
        <v>32</v>
      </c>
      <c r="J349" s="32">
        <v>2514.9499999999998</v>
      </c>
      <c r="K349" s="32">
        <v>37724.25</v>
      </c>
    </row>
    <row r="350" spans="1:11" ht="15.5" hidden="1" x14ac:dyDescent="0.35">
      <c r="A350" s="31">
        <v>44931</v>
      </c>
      <c r="B350" s="32" t="s">
        <v>12</v>
      </c>
      <c r="C350" s="32" t="s">
        <v>16</v>
      </c>
      <c r="D350" s="32" t="s">
        <v>19</v>
      </c>
      <c r="E350" s="32" t="s">
        <v>15</v>
      </c>
      <c r="F350" s="32">
        <v>1</v>
      </c>
      <c r="G350" s="32">
        <v>10</v>
      </c>
      <c r="H350" s="32" t="s">
        <v>48</v>
      </c>
      <c r="I350" s="32">
        <v>44</v>
      </c>
      <c r="J350" s="32">
        <v>772.21</v>
      </c>
      <c r="K350" s="32">
        <v>7722.1</v>
      </c>
    </row>
    <row r="351" spans="1:11" ht="15.5" hidden="1" x14ac:dyDescent="0.35">
      <c r="A351" s="31">
        <v>45209</v>
      </c>
      <c r="B351" s="32" t="s">
        <v>12</v>
      </c>
      <c r="C351" s="32" t="s">
        <v>13</v>
      </c>
      <c r="D351" s="32" t="s">
        <v>14</v>
      </c>
      <c r="E351" s="32" t="s">
        <v>27</v>
      </c>
      <c r="F351" s="32">
        <v>2</v>
      </c>
      <c r="G351" s="32">
        <v>7</v>
      </c>
      <c r="H351" s="32" t="s">
        <v>49</v>
      </c>
      <c r="I351" s="32">
        <v>36</v>
      </c>
      <c r="J351" s="32">
        <v>702.24</v>
      </c>
      <c r="K351" s="32">
        <v>4915.68</v>
      </c>
    </row>
    <row r="352" spans="1:11" ht="15.5" hidden="1" x14ac:dyDescent="0.35">
      <c r="A352" s="31">
        <v>44978</v>
      </c>
      <c r="B352" s="32" t="s">
        <v>8</v>
      </c>
      <c r="C352" s="32" t="s">
        <v>9</v>
      </c>
      <c r="D352" s="32" t="s">
        <v>10</v>
      </c>
      <c r="E352" s="32" t="s">
        <v>24</v>
      </c>
      <c r="F352" s="32">
        <v>3</v>
      </c>
      <c r="G352" s="32">
        <v>4</v>
      </c>
      <c r="H352" s="32" t="s">
        <v>50</v>
      </c>
      <c r="I352" s="32">
        <v>44</v>
      </c>
      <c r="J352" s="32">
        <v>1831.79</v>
      </c>
      <c r="K352" s="32">
        <v>7327.16</v>
      </c>
    </row>
    <row r="353" spans="1:11" ht="15.5" hidden="1" x14ac:dyDescent="0.35">
      <c r="A353" s="31">
        <v>45199</v>
      </c>
      <c r="B353" s="32" t="s">
        <v>8</v>
      </c>
      <c r="C353" s="32" t="s">
        <v>9</v>
      </c>
      <c r="D353" s="32" t="s">
        <v>31</v>
      </c>
      <c r="E353" s="32" t="s">
        <v>18</v>
      </c>
      <c r="F353" s="32">
        <v>4</v>
      </c>
      <c r="G353" s="32">
        <v>12</v>
      </c>
      <c r="H353" s="32" t="s">
        <v>51</v>
      </c>
      <c r="I353" s="32">
        <v>38</v>
      </c>
      <c r="J353" s="32">
        <v>3895.88</v>
      </c>
      <c r="K353" s="32">
        <v>46750.559999999998</v>
      </c>
    </row>
    <row r="354" spans="1:11" ht="15.5" x14ac:dyDescent="0.35">
      <c r="A354" s="31">
        <v>45219</v>
      </c>
      <c r="B354" s="32" t="s">
        <v>8</v>
      </c>
      <c r="C354" s="32" t="s">
        <v>28</v>
      </c>
      <c r="D354" s="32" t="s">
        <v>30</v>
      </c>
      <c r="E354" s="32" t="s">
        <v>11</v>
      </c>
      <c r="F354" s="32">
        <v>5</v>
      </c>
      <c r="G354" s="32">
        <v>12</v>
      </c>
      <c r="H354" s="32" t="s">
        <v>52</v>
      </c>
      <c r="I354" s="32">
        <v>22</v>
      </c>
      <c r="J354" s="32">
        <v>2208.4899999999998</v>
      </c>
      <c r="K354" s="32">
        <v>26501.88</v>
      </c>
    </row>
    <row r="355" spans="1:11" ht="15.5" hidden="1" x14ac:dyDescent="0.35">
      <c r="A355" s="31">
        <v>45180</v>
      </c>
      <c r="B355" s="32" t="s">
        <v>8</v>
      </c>
      <c r="C355" s="32" t="s">
        <v>9</v>
      </c>
      <c r="D355" s="32" t="s">
        <v>23</v>
      </c>
      <c r="E355" s="32" t="s">
        <v>15</v>
      </c>
      <c r="F355" s="32">
        <v>1</v>
      </c>
      <c r="G355" s="32">
        <v>3</v>
      </c>
      <c r="H355" s="32" t="s">
        <v>53</v>
      </c>
      <c r="I355" s="32">
        <v>51</v>
      </c>
      <c r="J355" s="32">
        <v>116.58</v>
      </c>
      <c r="K355" s="32">
        <v>349.74</v>
      </c>
    </row>
    <row r="356" spans="1:11" ht="15.5" hidden="1" x14ac:dyDescent="0.35">
      <c r="A356" s="31">
        <v>45089</v>
      </c>
      <c r="B356" s="32" t="s">
        <v>20</v>
      </c>
      <c r="C356" s="32" t="s">
        <v>21</v>
      </c>
      <c r="D356" s="32" t="s">
        <v>35</v>
      </c>
      <c r="E356" s="32" t="s">
        <v>18</v>
      </c>
      <c r="F356" s="32">
        <v>4</v>
      </c>
      <c r="G356" s="32">
        <v>3</v>
      </c>
      <c r="H356" s="32" t="s">
        <v>54</v>
      </c>
      <c r="I356" s="32">
        <v>26</v>
      </c>
      <c r="J356" s="32">
        <v>4171.91</v>
      </c>
      <c r="K356" s="32">
        <v>12515.73</v>
      </c>
    </row>
    <row r="357" spans="1:11" ht="15.5" x14ac:dyDescent="0.35">
      <c r="A357" s="31">
        <v>44933</v>
      </c>
      <c r="B357" s="32" t="s">
        <v>12</v>
      </c>
      <c r="C357" s="32" t="s">
        <v>13</v>
      </c>
      <c r="D357" s="32" t="s">
        <v>14</v>
      </c>
      <c r="E357" s="32" t="s">
        <v>11</v>
      </c>
      <c r="F357" s="32">
        <v>5</v>
      </c>
      <c r="G357" s="32">
        <v>8</v>
      </c>
      <c r="H357" s="32" t="s">
        <v>55</v>
      </c>
      <c r="I357" s="32">
        <v>53</v>
      </c>
      <c r="J357" s="32">
        <v>4201.6899999999996</v>
      </c>
      <c r="K357" s="32">
        <v>33613.519999999997</v>
      </c>
    </row>
    <row r="358" spans="1:11" ht="15.5" hidden="1" x14ac:dyDescent="0.35">
      <c r="A358" s="31">
        <v>45119</v>
      </c>
      <c r="B358" s="32" t="s">
        <v>8</v>
      </c>
      <c r="C358" s="32" t="s">
        <v>28</v>
      </c>
      <c r="D358" s="32" t="s">
        <v>32</v>
      </c>
      <c r="E358" s="32" t="s">
        <v>15</v>
      </c>
      <c r="F358" s="32">
        <v>1</v>
      </c>
      <c r="G358" s="32">
        <v>1</v>
      </c>
      <c r="H358" s="32" t="s">
        <v>56</v>
      </c>
      <c r="I358" s="32">
        <v>23</v>
      </c>
      <c r="J358" s="32">
        <v>2716.98</v>
      </c>
      <c r="K358" s="32">
        <v>2716.98</v>
      </c>
    </row>
    <row r="359" spans="1:11" ht="15.5" hidden="1" x14ac:dyDescent="0.35">
      <c r="A359" s="31">
        <v>45024</v>
      </c>
      <c r="B359" s="32" t="s">
        <v>8</v>
      </c>
      <c r="C359" s="32" t="s">
        <v>9</v>
      </c>
      <c r="D359" s="32" t="s">
        <v>10</v>
      </c>
      <c r="E359" s="32" t="s">
        <v>15</v>
      </c>
      <c r="F359" s="32">
        <v>1</v>
      </c>
      <c r="G359" s="32">
        <v>1</v>
      </c>
      <c r="H359" s="32" t="s">
        <v>57</v>
      </c>
      <c r="I359" s="32">
        <v>34</v>
      </c>
      <c r="J359" s="32">
        <v>3847.65</v>
      </c>
      <c r="K359" s="32">
        <v>3847.65</v>
      </c>
    </row>
    <row r="360" spans="1:11" ht="15.5" x14ac:dyDescent="0.35">
      <c r="A360" s="31">
        <v>45167</v>
      </c>
      <c r="B360" s="32" t="s">
        <v>8</v>
      </c>
      <c r="C360" s="32" t="s">
        <v>9</v>
      </c>
      <c r="D360" s="32" t="s">
        <v>10</v>
      </c>
      <c r="E360" s="32" t="s">
        <v>11</v>
      </c>
      <c r="F360" s="32">
        <v>5</v>
      </c>
      <c r="G360" s="32">
        <v>2</v>
      </c>
      <c r="H360" s="32" t="s">
        <v>58</v>
      </c>
      <c r="I360" s="32">
        <v>22</v>
      </c>
      <c r="J360" s="32">
        <v>816.12</v>
      </c>
      <c r="K360" s="32">
        <v>1632.24</v>
      </c>
    </row>
    <row r="361" spans="1:11" ht="15.5" hidden="1" x14ac:dyDescent="0.35">
      <c r="A361" s="31">
        <v>45144</v>
      </c>
      <c r="B361" s="32" t="s">
        <v>20</v>
      </c>
      <c r="C361" s="32" t="s">
        <v>21</v>
      </c>
      <c r="D361" s="32" t="s">
        <v>34</v>
      </c>
      <c r="E361" s="32" t="s">
        <v>27</v>
      </c>
      <c r="F361" s="32">
        <v>2</v>
      </c>
      <c r="G361" s="32">
        <v>12</v>
      </c>
      <c r="H361" s="32" t="s">
        <v>59</v>
      </c>
      <c r="I361" s="32">
        <v>16</v>
      </c>
      <c r="J361" s="32">
        <v>1304.81</v>
      </c>
      <c r="K361" s="32">
        <v>15657.72</v>
      </c>
    </row>
    <row r="362" spans="1:11" ht="15.5" hidden="1" x14ac:dyDescent="0.35">
      <c r="A362" s="31">
        <v>45243</v>
      </c>
      <c r="B362" s="32" t="s">
        <v>8</v>
      </c>
      <c r="C362" s="32" t="s">
        <v>9</v>
      </c>
      <c r="D362" s="32" t="s">
        <v>31</v>
      </c>
      <c r="E362" s="32" t="s">
        <v>18</v>
      </c>
      <c r="F362" s="32">
        <v>4</v>
      </c>
      <c r="G362" s="32">
        <v>3</v>
      </c>
      <c r="H362" s="32" t="s">
        <v>48</v>
      </c>
      <c r="I362" s="32">
        <v>23</v>
      </c>
      <c r="J362" s="32">
        <v>2214.86</v>
      </c>
      <c r="K362" s="32">
        <v>6644.58</v>
      </c>
    </row>
    <row r="363" spans="1:11" ht="15.5" hidden="1" x14ac:dyDescent="0.35">
      <c r="A363" s="31">
        <v>45165</v>
      </c>
      <c r="B363" s="32" t="s">
        <v>20</v>
      </c>
      <c r="C363" s="32" t="s">
        <v>21</v>
      </c>
      <c r="D363" s="32" t="s">
        <v>34</v>
      </c>
      <c r="E363" s="32" t="s">
        <v>24</v>
      </c>
      <c r="F363" s="32">
        <v>3</v>
      </c>
      <c r="G363" s="32">
        <v>14</v>
      </c>
      <c r="H363" s="32" t="s">
        <v>49</v>
      </c>
      <c r="I363" s="32">
        <v>24</v>
      </c>
      <c r="J363" s="32">
        <v>1094.1400000000001</v>
      </c>
      <c r="K363" s="32">
        <v>15317.96</v>
      </c>
    </row>
    <row r="364" spans="1:11" ht="15.5" hidden="1" x14ac:dyDescent="0.35">
      <c r="A364" s="31">
        <v>45195</v>
      </c>
      <c r="B364" s="32" t="s">
        <v>8</v>
      </c>
      <c r="C364" s="32" t="s">
        <v>28</v>
      </c>
      <c r="D364" s="32" t="s">
        <v>30</v>
      </c>
      <c r="E364" s="32" t="s">
        <v>15</v>
      </c>
      <c r="F364" s="32">
        <v>1</v>
      </c>
      <c r="G364" s="32">
        <v>4</v>
      </c>
      <c r="H364" s="32" t="s">
        <v>50</v>
      </c>
      <c r="I364" s="32">
        <v>17</v>
      </c>
      <c r="J364" s="32">
        <v>4697.07</v>
      </c>
      <c r="K364" s="32">
        <v>18788.28</v>
      </c>
    </row>
    <row r="365" spans="1:11" ht="15.5" hidden="1" x14ac:dyDescent="0.35">
      <c r="A365" s="31">
        <v>45213</v>
      </c>
      <c r="B365" s="32" t="s">
        <v>8</v>
      </c>
      <c r="C365" s="32" t="s">
        <v>9</v>
      </c>
      <c r="D365" s="32" t="s">
        <v>23</v>
      </c>
      <c r="E365" s="32" t="s">
        <v>18</v>
      </c>
      <c r="F365" s="32">
        <v>4</v>
      </c>
      <c r="G365" s="32">
        <v>5</v>
      </c>
      <c r="H365" s="32" t="s">
        <v>51</v>
      </c>
      <c r="I365" s="32">
        <v>42</v>
      </c>
      <c r="J365" s="32">
        <v>1141.32</v>
      </c>
      <c r="K365" s="32">
        <v>5706.6</v>
      </c>
    </row>
    <row r="366" spans="1:11" ht="15.5" hidden="1" x14ac:dyDescent="0.35">
      <c r="A366" s="31">
        <v>44991</v>
      </c>
      <c r="B366" s="32" t="s">
        <v>8</v>
      </c>
      <c r="C366" s="32" t="s">
        <v>28</v>
      </c>
      <c r="D366" s="32" t="s">
        <v>29</v>
      </c>
      <c r="E366" s="32" t="s">
        <v>24</v>
      </c>
      <c r="F366" s="32">
        <v>3</v>
      </c>
      <c r="G366" s="32">
        <v>18</v>
      </c>
      <c r="H366" s="32" t="s">
        <v>52</v>
      </c>
      <c r="I366" s="32">
        <v>38</v>
      </c>
      <c r="J366" s="32">
        <v>814.69</v>
      </c>
      <c r="K366" s="32">
        <v>14664.42</v>
      </c>
    </row>
    <row r="367" spans="1:11" ht="15.5" hidden="1" x14ac:dyDescent="0.35">
      <c r="A367" s="31">
        <v>45238</v>
      </c>
      <c r="B367" s="32" t="s">
        <v>8</v>
      </c>
      <c r="C367" s="32" t="s">
        <v>28</v>
      </c>
      <c r="D367" s="32" t="s">
        <v>29</v>
      </c>
      <c r="E367" s="32" t="s">
        <v>18</v>
      </c>
      <c r="F367" s="32">
        <v>4</v>
      </c>
      <c r="G367" s="32">
        <v>19</v>
      </c>
      <c r="H367" s="32" t="s">
        <v>53</v>
      </c>
      <c r="I367" s="32">
        <v>32</v>
      </c>
      <c r="J367" s="32">
        <v>2743.67</v>
      </c>
      <c r="K367" s="32">
        <v>52129.73</v>
      </c>
    </row>
    <row r="368" spans="1:11" ht="15.5" x14ac:dyDescent="0.35">
      <c r="A368" s="31">
        <v>45290</v>
      </c>
      <c r="B368" s="32" t="s">
        <v>12</v>
      </c>
      <c r="C368" s="32" t="s">
        <v>16</v>
      </c>
      <c r="D368" s="32" t="s">
        <v>25</v>
      </c>
      <c r="E368" s="32" t="s">
        <v>11</v>
      </c>
      <c r="F368" s="32">
        <v>5</v>
      </c>
      <c r="G368" s="32">
        <v>3</v>
      </c>
      <c r="H368" s="32" t="s">
        <v>54</v>
      </c>
      <c r="I368" s="32">
        <v>18</v>
      </c>
      <c r="J368" s="32">
        <v>2961.96</v>
      </c>
      <c r="K368" s="32">
        <v>8885.8799999999992</v>
      </c>
    </row>
    <row r="369" spans="1:11" ht="15.5" hidden="1" x14ac:dyDescent="0.35">
      <c r="A369" s="31">
        <v>45133</v>
      </c>
      <c r="B369" s="32" t="s">
        <v>8</v>
      </c>
      <c r="C369" s="32" t="s">
        <v>9</v>
      </c>
      <c r="D369" s="32" t="s">
        <v>31</v>
      </c>
      <c r="E369" s="32" t="s">
        <v>24</v>
      </c>
      <c r="F369" s="32">
        <v>3</v>
      </c>
      <c r="G369" s="32">
        <v>16</v>
      </c>
      <c r="H369" s="32" t="s">
        <v>55</v>
      </c>
      <c r="I369" s="32">
        <v>34</v>
      </c>
      <c r="J369" s="32">
        <v>2882.65</v>
      </c>
      <c r="K369" s="32">
        <v>46122.400000000001</v>
      </c>
    </row>
    <row r="370" spans="1:11" ht="15.5" hidden="1" x14ac:dyDescent="0.35">
      <c r="A370" s="31">
        <v>45040</v>
      </c>
      <c r="B370" s="32" t="s">
        <v>8</v>
      </c>
      <c r="C370" s="32" t="s">
        <v>9</v>
      </c>
      <c r="D370" s="32" t="s">
        <v>23</v>
      </c>
      <c r="E370" s="32" t="s">
        <v>24</v>
      </c>
      <c r="F370" s="32">
        <v>3</v>
      </c>
      <c r="G370" s="32">
        <v>7</v>
      </c>
      <c r="H370" s="32" t="s">
        <v>56</v>
      </c>
      <c r="I370" s="32">
        <v>40</v>
      </c>
      <c r="J370" s="32">
        <v>1905.14</v>
      </c>
      <c r="K370" s="32">
        <v>13335.98</v>
      </c>
    </row>
    <row r="371" spans="1:11" ht="15.5" hidden="1" x14ac:dyDescent="0.35">
      <c r="A371" s="31">
        <v>44994</v>
      </c>
      <c r="B371" s="32" t="s">
        <v>20</v>
      </c>
      <c r="C371" s="32" t="s">
        <v>21</v>
      </c>
      <c r="D371" s="32" t="s">
        <v>35</v>
      </c>
      <c r="E371" s="32" t="s">
        <v>27</v>
      </c>
      <c r="F371" s="32">
        <v>2</v>
      </c>
      <c r="G371" s="32">
        <v>5</v>
      </c>
      <c r="H371" s="32" t="s">
        <v>57</v>
      </c>
      <c r="I371" s="32">
        <v>33</v>
      </c>
      <c r="J371" s="32">
        <v>912.33</v>
      </c>
      <c r="K371" s="32">
        <v>4561.6499999999996</v>
      </c>
    </row>
    <row r="372" spans="1:11" ht="15.5" hidden="1" x14ac:dyDescent="0.35">
      <c r="A372" s="31">
        <v>44968</v>
      </c>
      <c r="B372" s="32" t="s">
        <v>8</v>
      </c>
      <c r="C372" s="32" t="s">
        <v>9</v>
      </c>
      <c r="D372" s="32" t="s">
        <v>31</v>
      </c>
      <c r="E372" s="32" t="s">
        <v>15</v>
      </c>
      <c r="F372" s="32">
        <v>1</v>
      </c>
      <c r="G372" s="32">
        <v>13</v>
      </c>
      <c r="H372" s="32" t="s">
        <v>58</v>
      </c>
      <c r="I372" s="32">
        <v>27</v>
      </c>
      <c r="J372" s="32">
        <v>2745.75</v>
      </c>
      <c r="K372" s="32">
        <v>35694.75</v>
      </c>
    </row>
    <row r="373" spans="1:11" ht="15.5" hidden="1" x14ac:dyDescent="0.35">
      <c r="A373" s="31">
        <v>45274</v>
      </c>
      <c r="B373" s="32" t="s">
        <v>12</v>
      </c>
      <c r="C373" s="32" t="s">
        <v>13</v>
      </c>
      <c r="D373" s="32" t="s">
        <v>33</v>
      </c>
      <c r="E373" s="32" t="s">
        <v>24</v>
      </c>
      <c r="F373" s="32">
        <v>3</v>
      </c>
      <c r="G373" s="32">
        <v>10</v>
      </c>
      <c r="H373" s="32" t="s">
        <v>59</v>
      </c>
      <c r="I373" s="32">
        <v>20</v>
      </c>
      <c r="J373" s="32">
        <v>222.55</v>
      </c>
      <c r="K373" s="32">
        <v>2225.5</v>
      </c>
    </row>
    <row r="374" spans="1:11" ht="15.5" hidden="1" x14ac:dyDescent="0.35">
      <c r="A374" s="31">
        <v>45141</v>
      </c>
      <c r="B374" s="32" t="s">
        <v>12</v>
      </c>
      <c r="C374" s="32" t="s">
        <v>13</v>
      </c>
      <c r="D374" s="32" t="s">
        <v>26</v>
      </c>
      <c r="E374" s="32" t="s">
        <v>27</v>
      </c>
      <c r="F374" s="32">
        <v>2</v>
      </c>
      <c r="G374" s="32">
        <v>15</v>
      </c>
      <c r="H374" s="32" t="s">
        <v>48</v>
      </c>
      <c r="I374" s="32">
        <v>29</v>
      </c>
      <c r="J374" s="32">
        <v>624.87</v>
      </c>
      <c r="K374" s="32">
        <v>9373.0499999999993</v>
      </c>
    </row>
    <row r="375" spans="1:11" ht="15.5" hidden="1" x14ac:dyDescent="0.35">
      <c r="A375" s="31">
        <v>44993</v>
      </c>
      <c r="B375" s="32" t="s">
        <v>8</v>
      </c>
      <c r="C375" s="32" t="s">
        <v>28</v>
      </c>
      <c r="D375" s="32" t="s">
        <v>29</v>
      </c>
      <c r="E375" s="32" t="s">
        <v>15</v>
      </c>
      <c r="F375" s="32">
        <v>1</v>
      </c>
      <c r="G375" s="32">
        <v>2</v>
      </c>
      <c r="H375" s="32" t="s">
        <v>49</v>
      </c>
      <c r="I375" s="32">
        <v>39</v>
      </c>
      <c r="J375" s="32">
        <v>3825.5</v>
      </c>
      <c r="K375" s="32">
        <v>7651</v>
      </c>
    </row>
    <row r="376" spans="1:11" ht="15.5" hidden="1" x14ac:dyDescent="0.35">
      <c r="A376" s="31">
        <v>45016</v>
      </c>
      <c r="B376" s="32" t="s">
        <v>20</v>
      </c>
      <c r="C376" s="32" t="s">
        <v>21</v>
      </c>
      <c r="D376" s="32" t="s">
        <v>22</v>
      </c>
      <c r="E376" s="32" t="s">
        <v>15</v>
      </c>
      <c r="F376" s="32">
        <v>1</v>
      </c>
      <c r="G376" s="32">
        <v>5</v>
      </c>
      <c r="H376" s="32" t="s">
        <v>50</v>
      </c>
      <c r="I376" s="32">
        <v>19</v>
      </c>
      <c r="J376" s="32">
        <v>2846.34</v>
      </c>
      <c r="K376" s="32">
        <v>14231.7</v>
      </c>
    </row>
    <row r="377" spans="1:11" ht="15.5" hidden="1" x14ac:dyDescent="0.35">
      <c r="A377" s="31">
        <v>45060</v>
      </c>
      <c r="B377" s="32" t="s">
        <v>12</v>
      </c>
      <c r="C377" s="32" t="s">
        <v>16</v>
      </c>
      <c r="D377" s="32" t="s">
        <v>17</v>
      </c>
      <c r="E377" s="32" t="s">
        <v>15</v>
      </c>
      <c r="F377" s="32">
        <v>1</v>
      </c>
      <c r="G377" s="32">
        <v>3</v>
      </c>
      <c r="H377" s="32" t="s">
        <v>51</v>
      </c>
      <c r="I377" s="32">
        <v>49</v>
      </c>
      <c r="J377" s="32">
        <v>1205.6199999999999</v>
      </c>
      <c r="K377" s="32">
        <v>3616.86</v>
      </c>
    </row>
    <row r="378" spans="1:11" ht="15.5" hidden="1" x14ac:dyDescent="0.35">
      <c r="A378" s="31">
        <v>45253</v>
      </c>
      <c r="B378" s="32" t="s">
        <v>8</v>
      </c>
      <c r="C378" s="32" t="s">
        <v>28</v>
      </c>
      <c r="D378" s="32" t="s">
        <v>30</v>
      </c>
      <c r="E378" s="32" t="s">
        <v>18</v>
      </c>
      <c r="F378" s="32">
        <v>4</v>
      </c>
      <c r="G378" s="32">
        <v>9</v>
      </c>
      <c r="H378" s="32" t="s">
        <v>52</v>
      </c>
      <c r="I378" s="32">
        <v>31</v>
      </c>
      <c r="J378" s="32">
        <v>851.87</v>
      </c>
      <c r="K378" s="32">
        <v>7666.83</v>
      </c>
    </row>
    <row r="379" spans="1:11" ht="15.5" hidden="1" x14ac:dyDescent="0.35">
      <c r="A379" s="31">
        <v>45023</v>
      </c>
      <c r="B379" s="32" t="s">
        <v>12</v>
      </c>
      <c r="C379" s="32" t="s">
        <v>13</v>
      </c>
      <c r="D379" s="32" t="s">
        <v>14</v>
      </c>
      <c r="E379" s="32" t="s">
        <v>15</v>
      </c>
      <c r="F379" s="32">
        <v>1</v>
      </c>
      <c r="G379" s="32">
        <v>7</v>
      </c>
      <c r="H379" s="32" t="s">
        <v>53</v>
      </c>
      <c r="I379" s="32">
        <v>55</v>
      </c>
      <c r="J379" s="32">
        <v>1849.17</v>
      </c>
      <c r="K379" s="32">
        <v>12944.19</v>
      </c>
    </row>
    <row r="380" spans="1:11" ht="15.5" hidden="1" x14ac:dyDescent="0.35">
      <c r="A380" s="31">
        <v>45076</v>
      </c>
      <c r="B380" s="32" t="s">
        <v>20</v>
      </c>
      <c r="C380" s="32" t="s">
        <v>21</v>
      </c>
      <c r="D380" s="32" t="s">
        <v>34</v>
      </c>
      <c r="E380" s="32" t="s">
        <v>27</v>
      </c>
      <c r="F380" s="32">
        <v>2</v>
      </c>
      <c r="G380" s="32">
        <v>2</v>
      </c>
      <c r="H380" s="32" t="s">
        <v>54</v>
      </c>
      <c r="I380" s="32">
        <v>50</v>
      </c>
      <c r="J380" s="32">
        <v>2119.5100000000002</v>
      </c>
      <c r="K380" s="32">
        <v>4239.0200000000004</v>
      </c>
    </row>
    <row r="381" spans="1:11" ht="15.5" hidden="1" x14ac:dyDescent="0.35">
      <c r="A381" s="31">
        <v>45159</v>
      </c>
      <c r="B381" s="32" t="s">
        <v>12</v>
      </c>
      <c r="C381" s="32" t="s">
        <v>16</v>
      </c>
      <c r="D381" s="32" t="s">
        <v>17</v>
      </c>
      <c r="E381" s="32" t="s">
        <v>15</v>
      </c>
      <c r="F381" s="32">
        <v>1</v>
      </c>
      <c r="G381" s="32">
        <v>1</v>
      </c>
      <c r="H381" s="32" t="s">
        <v>55</v>
      </c>
      <c r="I381" s="32">
        <v>41</v>
      </c>
      <c r="J381" s="32">
        <v>421.27</v>
      </c>
      <c r="K381" s="32">
        <v>421.27</v>
      </c>
    </row>
    <row r="382" spans="1:11" ht="15.5" x14ac:dyDescent="0.35">
      <c r="A382" s="31">
        <v>45003</v>
      </c>
      <c r="B382" s="32" t="s">
        <v>12</v>
      </c>
      <c r="C382" s="32" t="s">
        <v>13</v>
      </c>
      <c r="D382" s="32" t="s">
        <v>26</v>
      </c>
      <c r="E382" s="32" t="s">
        <v>11</v>
      </c>
      <c r="F382" s="32">
        <v>5</v>
      </c>
      <c r="G382" s="32">
        <v>14</v>
      </c>
      <c r="H382" s="32" t="s">
        <v>56</v>
      </c>
      <c r="I382" s="32">
        <v>46</v>
      </c>
      <c r="J382" s="32">
        <v>2746.27</v>
      </c>
      <c r="K382" s="32">
        <v>38447.78</v>
      </c>
    </row>
    <row r="383" spans="1:11" ht="15.5" hidden="1" x14ac:dyDescent="0.35">
      <c r="A383" s="31">
        <v>45214</v>
      </c>
      <c r="B383" s="32" t="s">
        <v>8</v>
      </c>
      <c r="C383" s="32" t="s">
        <v>28</v>
      </c>
      <c r="D383" s="32" t="s">
        <v>29</v>
      </c>
      <c r="E383" s="32" t="s">
        <v>24</v>
      </c>
      <c r="F383" s="32">
        <v>3</v>
      </c>
      <c r="G383" s="32">
        <v>18</v>
      </c>
      <c r="H383" s="32" t="s">
        <v>57</v>
      </c>
      <c r="I383" s="32">
        <v>16</v>
      </c>
      <c r="J383" s="32">
        <v>3602.65</v>
      </c>
      <c r="K383" s="32">
        <v>64847.7</v>
      </c>
    </row>
    <row r="384" spans="1:11" ht="15.5" hidden="1" x14ac:dyDescent="0.35">
      <c r="A384" s="31">
        <v>44998</v>
      </c>
      <c r="B384" s="32" t="s">
        <v>8</v>
      </c>
      <c r="C384" s="32" t="s">
        <v>9</v>
      </c>
      <c r="D384" s="32" t="s">
        <v>31</v>
      </c>
      <c r="E384" s="32" t="s">
        <v>27</v>
      </c>
      <c r="F384" s="32">
        <v>2</v>
      </c>
      <c r="G384" s="32">
        <v>11</v>
      </c>
      <c r="H384" s="32" t="s">
        <v>58</v>
      </c>
      <c r="I384" s="32">
        <v>35</v>
      </c>
      <c r="J384" s="32">
        <v>4681.04</v>
      </c>
      <c r="K384" s="32">
        <v>51491.44</v>
      </c>
    </row>
    <row r="385" spans="1:11" ht="15.5" hidden="1" x14ac:dyDescent="0.35">
      <c r="A385" s="31">
        <v>45173</v>
      </c>
      <c r="B385" s="32" t="s">
        <v>12</v>
      </c>
      <c r="C385" s="32" t="s">
        <v>13</v>
      </c>
      <c r="D385" s="32" t="s">
        <v>14</v>
      </c>
      <c r="E385" s="32" t="s">
        <v>18</v>
      </c>
      <c r="F385" s="32">
        <v>4</v>
      </c>
      <c r="G385" s="32">
        <v>4</v>
      </c>
      <c r="H385" s="32" t="s">
        <v>59</v>
      </c>
      <c r="I385" s="32">
        <v>16</v>
      </c>
      <c r="J385" s="32">
        <v>1381.71</v>
      </c>
      <c r="K385" s="32">
        <v>5526.84</v>
      </c>
    </row>
    <row r="386" spans="1:11" ht="15.5" x14ac:dyDescent="0.35">
      <c r="A386" s="31">
        <v>45106</v>
      </c>
      <c r="B386" s="32" t="s">
        <v>8</v>
      </c>
      <c r="C386" s="32" t="s">
        <v>9</v>
      </c>
      <c r="D386" s="32" t="s">
        <v>31</v>
      </c>
      <c r="E386" s="32" t="s">
        <v>11</v>
      </c>
      <c r="F386" s="32">
        <v>5</v>
      </c>
      <c r="G386" s="32">
        <v>20</v>
      </c>
      <c r="H386" s="32" t="s">
        <v>48</v>
      </c>
      <c r="I386" s="32">
        <v>21</v>
      </c>
      <c r="J386" s="32">
        <v>1536.73</v>
      </c>
      <c r="K386" s="32">
        <v>30734.6</v>
      </c>
    </row>
    <row r="387" spans="1:11" ht="15.5" hidden="1" x14ac:dyDescent="0.35">
      <c r="A387" s="31">
        <v>45289</v>
      </c>
      <c r="B387" s="32" t="s">
        <v>12</v>
      </c>
      <c r="C387" s="32" t="s">
        <v>13</v>
      </c>
      <c r="D387" s="32" t="s">
        <v>26</v>
      </c>
      <c r="E387" s="32" t="s">
        <v>15</v>
      </c>
      <c r="F387" s="32">
        <v>1</v>
      </c>
      <c r="G387" s="32">
        <v>13</v>
      </c>
      <c r="H387" s="32" t="s">
        <v>49</v>
      </c>
      <c r="I387" s="32">
        <v>31</v>
      </c>
      <c r="J387" s="32">
        <v>1929.55</v>
      </c>
      <c r="K387" s="32">
        <v>25084.15</v>
      </c>
    </row>
    <row r="388" spans="1:11" ht="15.5" x14ac:dyDescent="0.35">
      <c r="A388" s="31">
        <v>45023</v>
      </c>
      <c r="B388" s="32" t="s">
        <v>12</v>
      </c>
      <c r="C388" s="32" t="s">
        <v>16</v>
      </c>
      <c r="D388" s="32" t="s">
        <v>19</v>
      </c>
      <c r="E388" s="32" t="s">
        <v>11</v>
      </c>
      <c r="F388" s="32">
        <v>5</v>
      </c>
      <c r="G388" s="32">
        <v>17</v>
      </c>
      <c r="H388" s="32" t="s">
        <v>50</v>
      </c>
      <c r="I388" s="32">
        <v>43</v>
      </c>
      <c r="J388" s="32">
        <v>3233.82</v>
      </c>
      <c r="K388" s="32">
        <v>54974.94</v>
      </c>
    </row>
    <row r="389" spans="1:11" ht="15.5" hidden="1" x14ac:dyDescent="0.35">
      <c r="A389" s="31">
        <v>45235</v>
      </c>
      <c r="B389" s="32" t="s">
        <v>8</v>
      </c>
      <c r="C389" s="32" t="s">
        <v>9</v>
      </c>
      <c r="D389" s="32" t="s">
        <v>23</v>
      </c>
      <c r="E389" s="32" t="s">
        <v>15</v>
      </c>
      <c r="F389" s="32">
        <v>1</v>
      </c>
      <c r="G389" s="32">
        <v>17</v>
      </c>
      <c r="H389" s="32" t="s">
        <v>51</v>
      </c>
      <c r="I389" s="32">
        <v>46</v>
      </c>
      <c r="J389" s="32">
        <v>4082.38</v>
      </c>
      <c r="K389" s="32">
        <v>69400.460000000006</v>
      </c>
    </row>
    <row r="390" spans="1:11" ht="15.5" x14ac:dyDescent="0.35">
      <c r="A390" s="31">
        <v>45124</v>
      </c>
      <c r="B390" s="32" t="s">
        <v>8</v>
      </c>
      <c r="C390" s="32" t="s">
        <v>28</v>
      </c>
      <c r="D390" s="32" t="s">
        <v>29</v>
      </c>
      <c r="E390" s="32" t="s">
        <v>11</v>
      </c>
      <c r="F390" s="32">
        <v>5</v>
      </c>
      <c r="G390" s="32">
        <v>12</v>
      </c>
      <c r="H390" s="32" t="s">
        <v>52</v>
      </c>
      <c r="I390" s="32">
        <v>40</v>
      </c>
      <c r="J390" s="32">
        <v>3650.3</v>
      </c>
      <c r="K390" s="32">
        <v>43803.6</v>
      </c>
    </row>
    <row r="391" spans="1:11" ht="15.5" x14ac:dyDescent="0.35">
      <c r="A391" s="31">
        <v>45218</v>
      </c>
      <c r="B391" s="32" t="s">
        <v>12</v>
      </c>
      <c r="C391" s="32" t="s">
        <v>16</v>
      </c>
      <c r="D391" s="32" t="s">
        <v>19</v>
      </c>
      <c r="E391" s="32" t="s">
        <v>11</v>
      </c>
      <c r="F391" s="32">
        <v>5</v>
      </c>
      <c r="G391" s="32">
        <v>18</v>
      </c>
      <c r="H391" s="32" t="s">
        <v>53</v>
      </c>
      <c r="I391" s="32">
        <v>49</v>
      </c>
      <c r="J391" s="32">
        <v>532.4</v>
      </c>
      <c r="K391" s="32">
        <v>9583.2000000000007</v>
      </c>
    </row>
    <row r="392" spans="1:11" ht="15.5" hidden="1" x14ac:dyDescent="0.35">
      <c r="A392" s="31">
        <v>45047</v>
      </c>
      <c r="B392" s="32" t="s">
        <v>8</v>
      </c>
      <c r="C392" s="32" t="s">
        <v>9</v>
      </c>
      <c r="D392" s="32" t="s">
        <v>31</v>
      </c>
      <c r="E392" s="32" t="s">
        <v>15</v>
      </c>
      <c r="F392" s="32">
        <v>1</v>
      </c>
      <c r="G392" s="32">
        <v>7</v>
      </c>
      <c r="H392" s="32" t="s">
        <v>54</v>
      </c>
      <c r="I392" s="32">
        <v>23</v>
      </c>
      <c r="J392" s="32">
        <v>3931.73</v>
      </c>
      <c r="K392" s="32">
        <v>27522.11</v>
      </c>
    </row>
    <row r="393" spans="1:11" ht="15.5" hidden="1" x14ac:dyDescent="0.35">
      <c r="A393" s="31">
        <v>45208</v>
      </c>
      <c r="B393" s="32" t="s">
        <v>12</v>
      </c>
      <c r="C393" s="32" t="s">
        <v>13</v>
      </c>
      <c r="D393" s="32" t="s">
        <v>26</v>
      </c>
      <c r="E393" s="32" t="s">
        <v>15</v>
      </c>
      <c r="F393" s="32">
        <v>1</v>
      </c>
      <c r="G393" s="32">
        <v>9</v>
      </c>
      <c r="H393" s="32" t="s">
        <v>55</v>
      </c>
      <c r="I393" s="32">
        <v>48</v>
      </c>
      <c r="J393" s="32">
        <v>2770.27</v>
      </c>
      <c r="K393" s="32">
        <v>24932.43</v>
      </c>
    </row>
    <row r="394" spans="1:11" ht="15.5" hidden="1" x14ac:dyDescent="0.35">
      <c r="A394" s="31">
        <v>45276</v>
      </c>
      <c r="B394" s="32" t="s">
        <v>12</v>
      </c>
      <c r="C394" s="32" t="s">
        <v>13</v>
      </c>
      <c r="D394" s="32" t="s">
        <v>26</v>
      </c>
      <c r="E394" s="32" t="s">
        <v>24</v>
      </c>
      <c r="F394" s="32">
        <v>3</v>
      </c>
      <c r="G394" s="32">
        <v>7</v>
      </c>
      <c r="H394" s="32" t="s">
        <v>56</v>
      </c>
      <c r="I394" s="32">
        <v>24</v>
      </c>
      <c r="J394" s="32">
        <v>3052.99</v>
      </c>
      <c r="K394" s="32">
        <v>21370.93</v>
      </c>
    </row>
    <row r="395" spans="1:11" ht="15.5" hidden="1" x14ac:dyDescent="0.35">
      <c r="A395" s="31">
        <v>45090</v>
      </c>
      <c r="B395" s="32" t="s">
        <v>8</v>
      </c>
      <c r="C395" s="32" t="s">
        <v>28</v>
      </c>
      <c r="D395" s="32" t="s">
        <v>29</v>
      </c>
      <c r="E395" s="32" t="s">
        <v>18</v>
      </c>
      <c r="F395" s="32">
        <v>4</v>
      </c>
      <c r="G395" s="32">
        <v>14</v>
      </c>
      <c r="H395" s="32" t="s">
        <v>57</v>
      </c>
      <c r="I395" s="32">
        <v>51</v>
      </c>
      <c r="J395" s="32">
        <v>298.99</v>
      </c>
      <c r="K395" s="32">
        <v>4185.8599999999997</v>
      </c>
    </row>
    <row r="396" spans="1:11" ht="15.5" hidden="1" x14ac:dyDescent="0.35">
      <c r="A396" s="31">
        <v>45144</v>
      </c>
      <c r="B396" s="32" t="s">
        <v>12</v>
      </c>
      <c r="C396" s="32" t="s">
        <v>13</v>
      </c>
      <c r="D396" s="32" t="s">
        <v>26</v>
      </c>
      <c r="E396" s="32" t="s">
        <v>15</v>
      </c>
      <c r="F396" s="32">
        <v>1</v>
      </c>
      <c r="G396" s="32">
        <v>10</v>
      </c>
      <c r="H396" s="32" t="s">
        <v>58</v>
      </c>
      <c r="I396" s="32">
        <v>40</v>
      </c>
      <c r="J396" s="32">
        <v>812.98</v>
      </c>
      <c r="K396" s="32">
        <v>8129.8</v>
      </c>
    </row>
    <row r="397" spans="1:11" ht="15.5" x14ac:dyDescent="0.35">
      <c r="A397" s="31">
        <v>45289</v>
      </c>
      <c r="B397" s="32" t="s">
        <v>8</v>
      </c>
      <c r="C397" s="32" t="s">
        <v>28</v>
      </c>
      <c r="D397" s="32" t="s">
        <v>32</v>
      </c>
      <c r="E397" s="32" t="s">
        <v>11</v>
      </c>
      <c r="F397" s="32">
        <v>5</v>
      </c>
      <c r="G397" s="32">
        <v>14</v>
      </c>
      <c r="H397" s="32" t="s">
        <v>59</v>
      </c>
      <c r="I397" s="32">
        <v>24</v>
      </c>
      <c r="J397" s="32">
        <v>1720</v>
      </c>
      <c r="K397" s="32">
        <v>24080</v>
      </c>
    </row>
    <row r="398" spans="1:11" ht="15.5" hidden="1" x14ac:dyDescent="0.35">
      <c r="A398" s="31">
        <v>45104</v>
      </c>
      <c r="B398" s="32" t="s">
        <v>12</v>
      </c>
      <c r="C398" s="32" t="s">
        <v>13</v>
      </c>
      <c r="D398" s="32" t="s">
        <v>33</v>
      </c>
      <c r="E398" s="32" t="s">
        <v>27</v>
      </c>
      <c r="F398" s="32">
        <v>2</v>
      </c>
      <c r="G398" s="32">
        <v>3</v>
      </c>
      <c r="H398" s="32" t="s">
        <v>48</v>
      </c>
      <c r="I398" s="32">
        <v>53</v>
      </c>
      <c r="J398" s="32">
        <v>772.21</v>
      </c>
      <c r="K398" s="32">
        <v>2316.63</v>
      </c>
    </row>
    <row r="399" spans="1:11" ht="15.5" hidden="1" x14ac:dyDescent="0.35">
      <c r="A399" s="31">
        <v>45044</v>
      </c>
      <c r="B399" s="32" t="s">
        <v>12</v>
      </c>
      <c r="C399" s="32" t="s">
        <v>13</v>
      </c>
      <c r="D399" s="32" t="s">
        <v>14</v>
      </c>
      <c r="E399" s="32" t="s">
        <v>15</v>
      </c>
      <c r="F399" s="32">
        <v>1</v>
      </c>
      <c r="G399" s="32">
        <v>20</v>
      </c>
      <c r="H399" s="32" t="s">
        <v>49</v>
      </c>
      <c r="I399" s="32">
        <v>26</v>
      </c>
      <c r="J399" s="32">
        <v>3937.67</v>
      </c>
      <c r="K399" s="32">
        <v>78753.399999999994</v>
      </c>
    </row>
    <row r="400" spans="1:11" ht="15.5" x14ac:dyDescent="0.35">
      <c r="A400" s="31">
        <v>45233</v>
      </c>
      <c r="B400" s="32" t="s">
        <v>8</v>
      </c>
      <c r="C400" s="32" t="s">
        <v>9</v>
      </c>
      <c r="D400" s="32" t="s">
        <v>23</v>
      </c>
      <c r="E400" s="32" t="s">
        <v>11</v>
      </c>
      <c r="F400" s="32">
        <v>5</v>
      </c>
      <c r="G400" s="32">
        <v>5</v>
      </c>
      <c r="H400" s="32" t="s">
        <v>50</v>
      </c>
      <c r="I400" s="32">
        <v>25</v>
      </c>
      <c r="J400" s="32">
        <v>3259.3</v>
      </c>
      <c r="K400" s="32">
        <v>16296.5</v>
      </c>
    </row>
    <row r="401" spans="1:11" ht="15.5" hidden="1" x14ac:dyDescent="0.35">
      <c r="A401" s="31">
        <v>45186</v>
      </c>
      <c r="B401" s="32" t="s">
        <v>20</v>
      </c>
      <c r="C401" s="32" t="s">
        <v>21</v>
      </c>
      <c r="D401" s="32" t="s">
        <v>22</v>
      </c>
      <c r="E401" s="32" t="s">
        <v>15</v>
      </c>
      <c r="F401" s="32">
        <v>1</v>
      </c>
      <c r="G401" s="32">
        <v>7</v>
      </c>
      <c r="H401" s="32" t="s">
        <v>51</v>
      </c>
      <c r="I401" s="32">
        <v>48</v>
      </c>
      <c r="J401" s="32">
        <v>252.75</v>
      </c>
      <c r="K401" s="32">
        <v>1769.25</v>
      </c>
    </row>
    <row r="402" spans="1:11" ht="15.5" hidden="1" x14ac:dyDescent="0.35">
      <c r="A402" s="31">
        <v>45119</v>
      </c>
      <c r="B402" s="32" t="s">
        <v>8</v>
      </c>
      <c r="C402" s="32" t="s">
        <v>9</v>
      </c>
      <c r="D402" s="32" t="s">
        <v>31</v>
      </c>
      <c r="E402" s="32" t="s">
        <v>24</v>
      </c>
      <c r="F402" s="32">
        <v>3</v>
      </c>
      <c r="G402" s="32">
        <v>16</v>
      </c>
      <c r="H402" s="32" t="s">
        <v>52</v>
      </c>
      <c r="I402" s="32">
        <v>51</v>
      </c>
      <c r="J402" s="32">
        <v>1933.33</v>
      </c>
      <c r="K402" s="32">
        <v>30933.279999999999</v>
      </c>
    </row>
    <row r="403" spans="1:11" ht="15.5" hidden="1" x14ac:dyDescent="0.35">
      <c r="A403" s="31">
        <v>45024</v>
      </c>
      <c r="B403" s="32" t="s">
        <v>8</v>
      </c>
      <c r="C403" s="32" t="s">
        <v>28</v>
      </c>
      <c r="D403" s="32" t="s">
        <v>30</v>
      </c>
      <c r="E403" s="32" t="s">
        <v>27</v>
      </c>
      <c r="F403" s="32">
        <v>2</v>
      </c>
      <c r="G403" s="32">
        <v>6</v>
      </c>
      <c r="H403" s="32" t="s">
        <v>53</v>
      </c>
      <c r="I403" s="32">
        <v>26</v>
      </c>
      <c r="J403" s="32">
        <v>4541.92</v>
      </c>
      <c r="K403" s="32">
        <v>27251.52</v>
      </c>
    </row>
    <row r="404" spans="1:11" ht="15.5" hidden="1" x14ac:dyDescent="0.35">
      <c r="A404" s="31">
        <v>45051</v>
      </c>
      <c r="B404" s="32" t="s">
        <v>8</v>
      </c>
      <c r="C404" s="32" t="s">
        <v>9</v>
      </c>
      <c r="D404" s="32" t="s">
        <v>10</v>
      </c>
      <c r="E404" s="32" t="s">
        <v>24</v>
      </c>
      <c r="F404" s="32">
        <v>3</v>
      </c>
      <c r="G404" s="32">
        <v>20</v>
      </c>
      <c r="H404" s="32" t="s">
        <v>54</v>
      </c>
      <c r="I404" s="32">
        <v>45</v>
      </c>
      <c r="J404" s="32">
        <v>4270.08</v>
      </c>
      <c r="K404" s="32">
        <v>85401.600000000006</v>
      </c>
    </row>
    <row r="405" spans="1:11" ht="15.5" hidden="1" x14ac:dyDescent="0.35">
      <c r="A405" s="31">
        <v>44961</v>
      </c>
      <c r="B405" s="32" t="s">
        <v>12</v>
      </c>
      <c r="C405" s="32" t="s">
        <v>16</v>
      </c>
      <c r="D405" s="32" t="s">
        <v>25</v>
      </c>
      <c r="E405" s="32" t="s">
        <v>24</v>
      </c>
      <c r="F405" s="32">
        <v>3</v>
      </c>
      <c r="G405" s="32">
        <v>3</v>
      </c>
      <c r="H405" s="32" t="s">
        <v>55</v>
      </c>
      <c r="I405" s="32">
        <v>29</v>
      </c>
      <c r="J405" s="32">
        <v>3007.45</v>
      </c>
      <c r="K405" s="32">
        <v>9022.35</v>
      </c>
    </row>
    <row r="406" spans="1:11" ht="15.5" hidden="1" x14ac:dyDescent="0.35">
      <c r="A406" s="31">
        <v>45019</v>
      </c>
      <c r="B406" s="32" t="s">
        <v>20</v>
      </c>
      <c r="C406" s="32" t="s">
        <v>21</v>
      </c>
      <c r="D406" s="32" t="s">
        <v>35</v>
      </c>
      <c r="E406" s="32" t="s">
        <v>18</v>
      </c>
      <c r="F406" s="32">
        <v>4</v>
      </c>
      <c r="G406" s="32">
        <v>8</v>
      </c>
      <c r="H406" s="32" t="s">
        <v>56</v>
      </c>
      <c r="I406" s="32">
        <v>50</v>
      </c>
      <c r="J406" s="32">
        <v>315</v>
      </c>
      <c r="K406" s="32">
        <v>2520</v>
      </c>
    </row>
    <row r="407" spans="1:11" ht="15.5" hidden="1" x14ac:dyDescent="0.35">
      <c r="A407" s="31">
        <v>45291</v>
      </c>
      <c r="B407" s="32" t="s">
        <v>12</v>
      </c>
      <c r="C407" s="32" t="s">
        <v>16</v>
      </c>
      <c r="D407" s="32" t="s">
        <v>25</v>
      </c>
      <c r="E407" s="32" t="s">
        <v>27</v>
      </c>
      <c r="F407" s="32">
        <v>2</v>
      </c>
      <c r="G407" s="32">
        <v>13</v>
      </c>
      <c r="H407" s="32" t="s">
        <v>57</v>
      </c>
      <c r="I407" s="32">
        <v>40</v>
      </c>
      <c r="J407" s="32">
        <v>1647.87</v>
      </c>
      <c r="K407" s="32">
        <v>21422.31</v>
      </c>
    </row>
    <row r="408" spans="1:11" ht="15.5" hidden="1" x14ac:dyDescent="0.35">
      <c r="A408" s="31">
        <v>44940</v>
      </c>
      <c r="B408" s="32" t="s">
        <v>12</v>
      </c>
      <c r="C408" s="32" t="s">
        <v>13</v>
      </c>
      <c r="D408" s="32" t="s">
        <v>14</v>
      </c>
      <c r="E408" s="32" t="s">
        <v>27</v>
      </c>
      <c r="F408" s="32">
        <v>2</v>
      </c>
      <c r="G408" s="32">
        <v>2</v>
      </c>
      <c r="H408" s="32" t="s">
        <v>58</v>
      </c>
      <c r="I408" s="32">
        <v>54</v>
      </c>
      <c r="J408" s="32">
        <v>659.83</v>
      </c>
      <c r="K408" s="32">
        <v>1319.66</v>
      </c>
    </row>
    <row r="409" spans="1:11" ht="15.5" hidden="1" x14ac:dyDescent="0.35">
      <c r="A409" s="31">
        <v>45270</v>
      </c>
      <c r="B409" s="32" t="s">
        <v>12</v>
      </c>
      <c r="C409" s="32" t="s">
        <v>13</v>
      </c>
      <c r="D409" s="32" t="s">
        <v>14</v>
      </c>
      <c r="E409" s="32" t="s">
        <v>27</v>
      </c>
      <c r="F409" s="32">
        <v>2</v>
      </c>
      <c r="G409" s="32">
        <v>16</v>
      </c>
      <c r="H409" s="32" t="s">
        <v>59</v>
      </c>
      <c r="I409" s="32">
        <v>21</v>
      </c>
      <c r="J409" s="32">
        <v>4999.8999999999996</v>
      </c>
      <c r="K409" s="32">
        <v>79998.399999999994</v>
      </c>
    </row>
    <row r="410" spans="1:11" ht="15.5" hidden="1" x14ac:dyDescent="0.35">
      <c r="A410" s="31">
        <v>44986</v>
      </c>
      <c r="B410" s="32" t="s">
        <v>12</v>
      </c>
      <c r="C410" s="32" t="s">
        <v>13</v>
      </c>
      <c r="D410" s="32" t="s">
        <v>33</v>
      </c>
      <c r="E410" s="32" t="s">
        <v>15</v>
      </c>
      <c r="F410" s="32">
        <v>1</v>
      </c>
      <c r="G410" s="32">
        <v>20</v>
      </c>
      <c r="H410" s="32" t="s">
        <v>48</v>
      </c>
      <c r="I410" s="32">
        <v>18</v>
      </c>
      <c r="J410" s="32">
        <v>490.36</v>
      </c>
      <c r="K410" s="32">
        <v>9807.2000000000007</v>
      </c>
    </row>
    <row r="411" spans="1:11" ht="15.5" x14ac:dyDescent="0.35">
      <c r="A411" s="31">
        <v>45071</v>
      </c>
      <c r="B411" s="32" t="s">
        <v>8</v>
      </c>
      <c r="C411" s="32" t="s">
        <v>28</v>
      </c>
      <c r="D411" s="32" t="s">
        <v>32</v>
      </c>
      <c r="E411" s="32" t="s">
        <v>11</v>
      </c>
      <c r="F411" s="32">
        <v>5</v>
      </c>
      <c r="G411" s="32">
        <v>19</v>
      </c>
      <c r="H411" s="32" t="s">
        <v>49</v>
      </c>
      <c r="I411" s="32">
        <v>36</v>
      </c>
      <c r="J411" s="32">
        <v>2753.24</v>
      </c>
      <c r="K411" s="32">
        <v>52311.56</v>
      </c>
    </row>
    <row r="412" spans="1:11" ht="15.5" hidden="1" x14ac:dyDescent="0.35">
      <c r="A412" s="31">
        <v>45026</v>
      </c>
      <c r="B412" s="32" t="s">
        <v>20</v>
      </c>
      <c r="C412" s="32" t="s">
        <v>21</v>
      </c>
      <c r="D412" s="32" t="s">
        <v>35</v>
      </c>
      <c r="E412" s="32" t="s">
        <v>18</v>
      </c>
      <c r="F412" s="32">
        <v>4</v>
      </c>
      <c r="G412" s="32">
        <v>7</v>
      </c>
      <c r="H412" s="32" t="s">
        <v>50</v>
      </c>
      <c r="I412" s="32">
        <v>45</v>
      </c>
      <c r="J412" s="32">
        <v>4541.83</v>
      </c>
      <c r="K412" s="32">
        <v>31792.81</v>
      </c>
    </row>
    <row r="413" spans="1:11" ht="15.5" x14ac:dyDescent="0.35">
      <c r="A413" s="31">
        <v>44934</v>
      </c>
      <c r="B413" s="32" t="s">
        <v>8</v>
      </c>
      <c r="C413" s="32" t="s">
        <v>9</v>
      </c>
      <c r="D413" s="32" t="s">
        <v>31</v>
      </c>
      <c r="E413" s="32" t="s">
        <v>11</v>
      </c>
      <c r="F413" s="32">
        <v>5</v>
      </c>
      <c r="G413" s="32">
        <v>2</v>
      </c>
      <c r="H413" s="32" t="s">
        <v>51</v>
      </c>
      <c r="I413" s="32">
        <v>47</v>
      </c>
      <c r="J413" s="32">
        <v>3240.32</v>
      </c>
      <c r="K413" s="32">
        <v>6480.64</v>
      </c>
    </row>
    <row r="414" spans="1:11" ht="15.5" x14ac:dyDescent="0.35">
      <c r="A414" s="31">
        <v>45141</v>
      </c>
      <c r="B414" s="32" t="s">
        <v>20</v>
      </c>
      <c r="C414" s="32" t="s">
        <v>21</v>
      </c>
      <c r="D414" s="32" t="s">
        <v>34</v>
      </c>
      <c r="E414" s="32" t="s">
        <v>11</v>
      </c>
      <c r="F414" s="32">
        <v>5</v>
      </c>
      <c r="G414" s="32">
        <v>18</v>
      </c>
      <c r="H414" s="32" t="s">
        <v>52</v>
      </c>
      <c r="I414" s="32">
        <v>21</v>
      </c>
      <c r="J414" s="32">
        <v>3614.6</v>
      </c>
      <c r="K414" s="32">
        <v>65062.8</v>
      </c>
    </row>
    <row r="415" spans="1:11" ht="15.5" x14ac:dyDescent="0.35">
      <c r="A415" s="31">
        <v>45062</v>
      </c>
      <c r="B415" s="32" t="s">
        <v>8</v>
      </c>
      <c r="C415" s="32" t="s">
        <v>9</v>
      </c>
      <c r="D415" s="32" t="s">
        <v>23</v>
      </c>
      <c r="E415" s="32" t="s">
        <v>11</v>
      </c>
      <c r="F415" s="32">
        <v>5</v>
      </c>
      <c r="G415" s="32">
        <v>3</v>
      </c>
      <c r="H415" s="32" t="s">
        <v>53</v>
      </c>
      <c r="I415" s="32">
        <v>16</v>
      </c>
      <c r="J415" s="32">
        <v>2618.2199999999998</v>
      </c>
      <c r="K415" s="32">
        <v>7854.66</v>
      </c>
    </row>
    <row r="416" spans="1:11" ht="15.5" x14ac:dyDescent="0.35">
      <c r="A416" s="31">
        <v>45035</v>
      </c>
      <c r="B416" s="32" t="s">
        <v>8</v>
      </c>
      <c r="C416" s="32" t="s">
        <v>28</v>
      </c>
      <c r="D416" s="32" t="s">
        <v>29</v>
      </c>
      <c r="E416" s="32" t="s">
        <v>11</v>
      </c>
      <c r="F416" s="32">
        <v>5</v>
      </c>
      <c r="G416" s="32">
        <v>17</v>
      </c>
      <c r="H416" s="32" t="s">
        <v>54</v>
      </c>
      <c r="I416" s="32">
        <v>25</v>
      </c>
      <c r="J416" s="32">
        <v>1793.43</v>
      </c>
      <c r="K416" s="32">
        <v>30488.31</v>
      </c>
    </row>
    <row r="417" spans="1:11" ht="15.5" hidden="1" x14ac:dyDescent="0.35">
      <c r="A417" s="31">
        <v>45127</v>
      </c>
      <c r="B417" s="32" t="s">
        <v>20</v>
      </c>
      <c r="C417" s="32" t="s">
        <v>21</v>
      </c>
      <c r="D417" s="32" t="s">
        <v>22</v>
      </c>
      <c r="E417" s="32" t="s">
        <v>24</v>
      </c>
      <c r="F417" s="32">
        <v>3</v>
      </c>
      <c r="G417" s="32">
        <v>17</v>
      </c>
      <c r="H417" s="32" t="s">
        <v>55</v>
      </c>
      <c r="I417" s="32">
        <v>42</v>
      </c>
      <c r="J417" s="32">
        <v>758.19</v>
      </c>
      <c r="K417" s="32">
        <v>12889.23</v>
      </c>
    </row>
    <row r="418" spans="1:11" ht="15.5" x14ac:dyDescent="0.35">
      <c r="A418" s="31">
        <v>45154</v>
      </c>
      <c r="B418" s="32" t="s">
        <v>8</v>
      </c>
      <c r="C418" s="32" t="s">
        <v>28</v>
      </c>
      <c r="D418" s="32" t="s">
        <v>29</v>
      </c>
      <c r="E418" s="32" t="s">
        <v>11</v>
      </c>
      <c r="F418" s="32">
        <v>5</v>
      </c>
      <c r="G418" s="32">
        <v>18</v>
      </c>
      <c r="H418" s="32" t="s">
        <v>56</v>
      </c>
      <c r="I418" s="32">
        <v>18</v>
      </c>
      <c r="J418" s="32">
        <v>4862.63</v>
      </c>
      <c r="K418" s="32">
        <v>87527.34</v>
      </c>
    </row>
    <row r="419" spans="1:11" ht="15.5" hidden="1" x14ac:dyDescent="0.35">
      <c r="A419" s="31">
        <v>44956</v>
      </c>
      <c r="B419" s="32" t="s">
        <v>8</v>
      </c>
      <c r="C419" s="32" t="s">
        <v>9</v>
      </c>
      <c r="D419" s="32" t="s">
        <v>31</v>
      </c>
      <c r="E419" s="32" t="s">
        <v>27</v>
      </c>
      <c r="F419" s="32">
        <v>2</v>
      </c>
      <c r="G419" s="32">
        <v>20</v>
      </c>
      <c r="H419" s="32" t="s">
        <v>57</v>
      </c>
      <c r="I419" s="32">
        <v>26</v>
      </c>
      <c r="J419" s="32">
        <v>486.25</v>
      </c>
      <c r="K419" s="32">
        <v>9725</v>
      </c>
    </row>
    <row r="420" spans="1:11" ht="15.5" hidden="1" x14ac:dyDescent="0.35">
      <c r="A420" s="31">
        <v>45208</v>
      </c>
      <c r="B420" s="32" t="s">
        <v>12</v>
      </c>
      <c r="C420" s="32" t="s">
        <v>16</v>
      </c>
      <c r="D420" s="32" t="s">
        <v>17</v>
      </c>
      <c r="E420" s="32" t="s">
        <v>24</v>
      </c>
      <c r="F420" s="32">
        <v>3</v>
      </c>
      <c r="G420" s="32">
        <v>3</v>
      </c>
      <c r="H420" s="32" t="s">
        <v>58</v>
      </c>
      <c r="I420" s="32">
        <v>23</v>
      </c>
      <c r="J420" s="32">
        <v>3533.3</v>
      </c>
      <c r="K420" s="32">
        <v>10599.9</v>
      </c>
    </row>
    <row r="421" spans="1:11" ht="15.5" hidden="1" x14ac:dyDescent="0.35">
      <c r="A421" s="31">
        <v>45013</v>
      </c>
      <c r="B421" s="32" t="s">
        <v>20</v>
      </c>
      <c r="C421" s="32" t="s">
        <v>21</v>
      </c>
      <c r="D421" s="32" t="s">
        <v>35</v>
      </c>
      <c r="E421" s="32" t="s">
        <v>27</v>
      </c>
      <c r="F421" s="32">
        <v>2</v>
      </c>
      <c r="G421" s="32">
        <v>11</v>
      </c>
      <c r="H421" s="32" t="s">
        <v>59</v>
      </c>
      <c r="I421" s="32">
        <v>47</v>
      </c>
      <c r="J421" s="32">
        <v>1069.3900000000001</v>
      </c>
      <c r="K421" s="32">
        <v>11763.29</v>
      </c>
    </row>
    <row r="422" spans="1:11" ht="15.5" hidden="1" x14ac:dyDescent="0.35">
      <c r="A422" s="31">
        <v>45055</v>
      </c>
      <c r="B422" s="32" t="s">
        <v>20</v>
      </c>
      <c r="C422" s="32" t="s">
        <v>21</v>
      </c>
      <c r="D422" s="32" t="s">
        <v>34</v>
      </c>
      <c r="E422" s="32" t="s">
        <v>27</v>
      </c>
      <c r="F422" s="32">
        <v>2</v>
      </c>
      <c r="G422" s="32">
        <v>12</v>
      </c>
      <c r="H422" s="32" t="s">
        <v>48</v>
      </c>
      <c r="I422" s="32">
        <v>20</v>
      </c>
      <c r="J422" s="32">
        <v>2581.09</v>
      </c>
      <c r="K422" s="32">
        <v>30973.08</v>
      </c>
    </row>
    <row r="423" spans="1:11" ht="15.5" hidden="1" x14ac:dyDescent="0.35">
      <c r="A423" s="31">
        <v>45284</v>
      </c>
      <c r="B423" s="32" t="s">
        <v>12</v>
      </c>
      <c r="C423" s="32" t="s">
        <v>16</v>
      </c>
      <c r="D423" s="32" t="s">
        <v>19</v>
      </c>
      <c r="E423" s="32" t="s">
        <v>15</v>
      </c>
      <c r="F423" s="32">
        <v>1</v>
      </c>
      <c r="G423" s="32">
        <v>8</v>
      </c>
      <c r="H423" s="32" t="s">
        <v>49</v>
      </c>
      <c r="I423" s="32">
        <v>42</v>
      </c>
      <c r="J423" s="32">
        <v>1670.31</v>
      </c>
      <c r="K423" s="32">
        <v>13362.48</v>
      </c>
    </row>
    <row r="424" spans="1:11" ht="15.5" hidden="1" x14ac:dyDescent="0.35">
      <c r="A424" s="31">
        <v>45158</v>
      </c>
      <c r="B424" s="32" t="s">
        <v>12</v>
      </c>
      <c r="C424" s="32" t="s">
        <v>13</v>
      </c>
      <c r="D424" s="32" t="s">
        <v>14</v>
      </c>
      <c r="E424" s="32" t="s">
        <v>18</v>
      </c>
      <c r="F424" s="32">
        <v>4</v>
      </c>
      <c r="G424" s="32">
        <v>7</v>
      </c>
      <c r="H424" s="32" t="s">
        <v>50</v>
      </c>
      <c r="I424" s="32">
        <v>44</v>
      </c>
      <c r="J424" s="32">
        <v>2560.5</v>
      </c>
      <c r="K424" s="32">
        <v>17923.5</v>
      </c>
    </row>
    <row r="425" spans="1:11" ht="15.5" hidden="1" x14ac:dyDescent="0.35">
      <c r="A425" s="31">
        <v>45155</v>
      </c>
      <c r="B425" s="32" t="s">
        <v>12</v>
      </c>
      <c r="C425" s="32" t="s">
        <v>13</v>
      </c>
      <c r="D425" s="32" t="s">
        <v>33</v>
      </c>
      <c r="E425" s="32" t="s">
        <v>15</v>
      </c>
      <c r="F425" s="32">
        <v>1</v>
      </c>
      <c r="G425" s="32">
        <v>8</v>
      </c>
      <c r="H425" s="32" t="s">
        <v>51</v>
      </c>
      <c r="I425" s="32">
        <v>16</v>
      </c>
      <c r="J425" s="32">
        <v>244.6</v>
      </c>
      <c r="K425" s="32">
        <v>1956.8</v>
      </c>
    </row>
    <row r="426" spans="1:11" ht="15.5" hidden="1" x14ac:dyDescent="0.35">
      <c r="A426" s="31">
        <v>45198</v>
      </c>
      <c r="B426" s="32" t="s">
        <v>20</v>
      </c>
      <c r="C426" s="32" t="s">
        <v>21</v>
      </c>
      <c r="D426" s="32" t="s">
        <v>22</v>
      </c>
      <c r="E426" s="32" t="s">
        <v>27</v>
      </c>
      <c r="F426" s="32">
        <v>2</v>
      </c>
      <c r="G426" s="32">
        <v>13</v>
      </c>
      <c r="H426" s="32" t="s">
        <v>52</v>
      </c>
      <c r="I426" s="32">
        <v>42</v>
      </c>
      <c r="J426" s="32">
        <v>4084.32</v>
      </c>
      <c r="K426" s="32">
        <v>53096.160000000003</v>
      </c>
    </row>
    <row r="427" spans="1:11" ht="15.5" x14ac:dyDescent="0.35">
      <c r="A427" s="31">
        <v>45248</v>
      </c>
      <c r="B427" s="32" t="s">
        <v>12</v>
      </c>
      <c r="C427" s="32" t="s">
        <v>16</v>
      </c>
      <c r="D427" s="32" t="s">
        <v>19</v>
      </c>
      <c r="E427" s="32" t="s">
        <v>11</v>
      </c>
      <c r="F427" s="32">
        <v>5</v>
      </c>
      <c r="G427" s="32">
        <v>16</v>
      </c>
      <c r="H427" s="32" t="s">
        <v>53</v>
      </c>
      <c r="I427" s="32">
        <v>54</v>
      </c>
      <c r="J427" s="32">
        <v>1480.7</v>
      </c>
      <c r="K427" s="32">
        <v>23691.200000000001</v>
      </c>
    </row>
    <row r="428" spans="1:11" ht="15.5" x14ac:dyDescent="0.35">
      <c r="A428" s="31">
        <v>45015</v>
      </c>
      <c r="B428" s="32" t="s">
        <v>12</v>
      </c>
      <c r="C428" s="32" t="s">
        <v>16</v>
      </c>
      <c r="D428" s="32" t="s">
        <v>17</v>
      </c>
      <c r="E428" s="32" t="s">
        <v>11</v>
      </c>
      <c r="F428" s="32">
        <v>5</v>
      </c>
      <c r="G428" s="32">
        <v>6</v>
      </c>
      <c r="H428" s="32" t="s">
        <v>54</v>
      </c>
      <c r="I428" s="32">
        <v>22</v>
      </c>
      <c r="J428" s="32">
        <v>1979</v>
      </c>
      <c r="K428" s="32">
        <v>11874</v>
      </c>
    </row>
    <row r="429" spans="1:11" ht="15.5" hidden="1" x14ac:dyDescent="0.35">
      <c r="A429" s="31">
        <v>45188</v>
      </c>
      <c r="B429" s="32" t="s">
        <v>12</v>
      </c>
      <c r="C429" s="32" t="s">
        <v>13</v>
      </c>
      <c r="D429" s="32" t="s">
        <v>26</v>
      </c>
      <c r="E429" s="32" t="s">
        <v>24</v>
      </c>
      <c r="F429" s="32">
        <v>3</v>
      </c>
      <c r="G429" s="32">
        <v>18</v>
      </c>
      <c r="H429" s="32" t="s">
        <v>55</v>
      </c>
      <c r="I429" s="32">
        <v>35</v>
      </c>
      <c r="J429" s="32">
        <v>883.32</v>
      </c>
      <c r="K429" s="32">
        <v>15899.76</v>
      </c>
    </row>
    <row r="430" spans="1:11" ht="15.5" hidden="1" x14ac:dyDescent="0.35">
      <c r="A430" s="31">
        <v>45238</v>
      </c>
      <c r="B430" s="32" t="s">
        <v>12</v>
      </c>
      <c r="C430" s="32" t="s">
        <v>16</v>
      </c>
      <c r="D430" s="32" t="s">
        <v>17</v>
      </c>
      <c r="E430" s="32" t="s">
        <v>24</v>
      </c>
      <c r="F430" s="32">
        <v>3</v>
      </c>
      <c r="G430" s="32">
        <v>4</v>
      </c>
      <c r="H430" s="32" t="s">
        <v>56</v>
      </c>
      <c r="I430" s="32">
        <v>45</v>
      </c>
      <c r="J430" s="32">
        <v>4058.48</v>
      </c>
      <c r="K430" s="32">
        <v>16233.92</v>
      </c>
    </row>
    <row r="431" spans="1:11" ht="15.5" hidden="1" x14ac:dyDescent="0.35">
      <c r="A431" s="31">
        <v>45192</v>
      </c>
      <c r="B431" s="32" t="s">
        <v>8</v>
      </c>
      <c r="C431" s="32" t="s">
        <v>28</v>
      </c>
      <c r="D431" s="32" t="s">
        <v>30</v>
      </c>
      <c r="E431" s="32" t="s">
        <v>24</v>
      </c>
      <c r="F431" s="32">
        <v>3</v>
      </c>
      <c r="G431" s="32">
        <v>7</v>
      </c>
      <c r="H431" s="32" t="s">
        <v>57</v>
      </c>
      <c r="I431" s="32">
        <v>34</v>
      </c>
      <c r="J431" s="32">
        <v>281.29000000000002</v>
      </c>
      <c r="K431" s="32">
        <v>1969.03</v>
      </c>
    </row>
    <row r="432" spans="1:11" ht="15.5" x14ac:dyDescent="0.35">
      <c r="A432" s="31">
        <v>45124</v>
      </c>
      <c r="B432" s="32" t="s">
        <v>20</v>
      </c>
      <c r="C432" s="32" t="s">
        <v>21</v>
      </c>
      <c r="D432" s="32" t="s">
        <v>35</v>
      </c>
      <c r="E432" s="32" t="s">
        <v>11</v>
      </c>
      <c r="F432" s="32">
        <v>5</v>
      </c>
      <c r="G432" s="32">
        <v>4</v>
      </c>
      <c r="H432" s="32" t="s">
        <v>58</v>
      </c>
      <c r="I432" s="32">
        <v>37</v>
      </c>
      <c r="J432" s="32">
        <v>2978.87</v>
      </c>
      <c r="K432" s="32">
        <v>11915.48</v>
      </c>
    </row>
    <row r="433" spans="1:11" ht="15.5" hidden="1" x14ac:dyDescent="0.35">
      <c r="A433" s="31">
        <v>45064</v>
      </c>
      <c r="B433" s="32" t="s">
        <v>8</v>
      </c>
      <c r="C433" s="32" t="s">
        <v>9</v>
      </c>
      <c r="D433" s="32" t="s">
        <v>31</v>
      </c>
      <c r="E433" s="32" t="s">
        <v>18</v>
      </c>
      <c r="F433" s="32">
        <v>4</v>
      </c>
      <c r="G433" s="32">
        <v>2</v>
      </c>
      <c r="H433" s="32" t="s">
        <v>59</v>
      </c>
      <c r="I433" s="32">
        <v>44</v>
      </c>
      <c r="J433" s="32">
        <v>2402.5700000000002</v>
      </c>
      <c r="K433" s="32">
        <v>4805.1400000000003</v>
      </c>
    </row>
    <row r="434" spans="1:11" ht="15.5" hidden="1" x14ac:dyDescent="0.35">
      <c r="A434" s="31">
        <v>45187</v>
      </c>
      <c r="B434" s="32" t="s">
        <v>20</v>
      </c>
      <c r="C434" s="32" t="s">
        <v>21</v>
      </c>
      <c r="D434" s="32" t="s">
        <v>35</v>
      </c>
      <c r="E434" s="32" t="s">
        <v>27</v>
      </c>
      <c r="F434" s="32">
        <v>2</v>
      </c>
      <c r="G434" s="32">
        <v>12</v>
      </c>
      <c r="H434" s="32" t="s">
        <v>48</v>
      </c>
      <c r="I434" s="32">
        <v>39</v>
      </c>
      <c r="J434" s="32">
        <v>1673.01</v>
      </c>
      <c r="K434" s="32">
        <v>20076.12</v>
      </c>
    </row>
    <row r="435" spans="1:11" ht="15.5" hidden="1" x14ac:dyDescent="0.35">
      <c r="A435" s="31">
        <v>45050</v>
      </c>
      <c r="B435" s="32" t="s">
        <v>8</v>
      </c>
      <c r="C435" s="32" t="s">
        <v>9</v>
      </c>
      <c r="D435" s="32" t="s">
        <v>23</v>
      </c>
      <c r="E435" s="32" t="s">
        <v>18</v>
      </c>
      <c r="F435" s="32">
        <v>4</v>
      </c>
      <c r="G435" s="32">
        <v>17</v>
      </c>
      <c r="H435" s="32" t="s">
        <v>49</v>
      </c>
      <c r="I435" s="32">
        <v>17</v>
      </c>
      <c r="J435" s="32">
        <v>2031.75</v>
      </c>
      <c r="K435" s="32">
        <v>34539.75</v>
      </c>
    </row>
    <row r="436" spans="1:11" ht="15.5" hidden="1" x14ac:dyDescent="0.35">
      <c r="A436" s="31">
        <v>45178</v>
      </c>
      <c r="B436" s="32" t="s">
        <v>20</v>
      </c>
      <c r="C436" s="32" t="s">
        <v>21</v>
      </c>
      <c r="D436" s="32" t="s">
        <v>22</v>
      </c>
      <c r="E436" s="32" t="s">
        <v>27</v>
      </c>
      <c r="F436" s="32">
        <v>2</v>
      </c>
      <c r="G436" s="32">
        <v>15</v>
      </c>
      <c r="H436" s="32" t="s">
        <v>50</v>
      </c>
      <c r="I436" s="32">
        <v>44</v>
      </c>
      <c r="J436" s="32">
        <v>4667.42</v>
      </c>
      <c r="K436" s="32">
        <v>70011.3</v>
      </c>
    </row>
    <row r="437" spans="1:11" ht="15.5" hidden="1" x14ac:dyDescent="0.35">
      <c r="A437" s="31">
        <v>45289</v>
      </c>
      <c r="B437" s="32" t="s">
        <v>8</v>
      </c>
      <c r="C437" s="32" t="s">
        <v>9</v>
      </c>
      <c r="D437" s="32" t="s">
        <v>23</v>
      </c>
      <c r="E437" s="32" t="s">
        <v>27</v>
      </c>
      <c r="F437" s="32">
        <v>2</v>
      </c>
      <c r="G437" s="32">
        <v>18</v>
      </c>
      <c r="H437" s="32" t="s">
        <v>51</v>
      </c>
      <c r="I437" s="32">
        <v>31</v>
      </c>
      <c r="J437" s="32">
        <v>2494.9499999999998</v>
      </c>
      <c r="K437" s="32">
        <v>44909.1</v>
      </c>
    </row>
    <row r="438" spans="1:11" ht="15.5" hidden="1" x14ac:dyDescent="0.35">
      <c r="A438" s="31">
        <v>45275</v>
      </c>
      <c r="B438" s="32" t="s">
        <v>12</v>
      </c>
      <c r="C438" s="32" t="s">
        <v>13</v>
      </c>
      <c r="D438" s="32" t="s">
        <v>33</v>
      </c>
      <c r="E438" s="32" t="s">
        <v>18</v>
      </c>
      <c r="F438" s="32">
        <v>4</v>
      </c>
      <c r="G438" s="32">
        <v>15</v>
      </c>
      <c r="H438" s="32" t="s">
        <v>52</v>
      </c>
      <c r="I438" s="32">
        <v>52</v>
      </c>
      <c r="J438" s="32">
        <v>4659.8</v>
      </c>
      <c r="K438" s="32">
        <v>69897</v>
      </c>
    </row>
    <row r="439" spans="1:11" ht="15.5" hidden="1" x14ac:dyDescent="0.35">
      <c r="A439" s="31">
        <v>45001</v>
      </c>
      <c r="B439" s="32" t="s">
        <v>12</v>
      </c>
      <c r="C439" s="32" t="s">
        <v>16</v>
      </c>
      <c r="D439" s="32" t="s">
        <v>17</v>
      </c>
      <c r="E439" s="32" t="s">
        <v>24</v>
      </c>
      <c r="F439" s="32">
        <v>3</v>
      </c>
      <c r="G439" s="32">
        <v>9</v>
      </c>
      <c r="H439" s="32" t="s">
        <v>53</v>
      </c>
      <c r="I439" s="32">
        <v>32</v>
      </c>
      <c r="J439" s="32">
        <v>1805.32</v>
      </c>
      <c r="K439" s="32">
        <v>16247.88</v>
      </c>
    </row>
    <row r="440" spans="1:11" ht="15.5" hidden="1" x14ac:dyDescent="0.35">
      <c r="A440" s="31">
        <v>45034</v>
      </c>
      <c r="B440" s="32" t="s">
        <v>8</v>
      </c>
      <c r="C440" s="32" t="s">
        <v>28</v>
      </c>
      <c r="D440" s="32" t="s">
        <v>29</v>
      </c>
      <c r="E440" s="32" t="s">
        <v>24</v>
      </c>
      <c r="F440" s="32">
        <v>3</v>
      </c>
      <c r="G440" s="32">
        <v>11</v>
      </c>
      <c r="H440" s="32" t="s">
        <v>54</v>
      </c>
      <c r="I440" s="32">
        <v>32</v>
      </c>
      <c r="J440" s="32">
        <v>4530.5600000000004</v>
      </c>
      <c r="K440" s="32">
        <v>49836.160000000003</v>
      </c>
    </row>
    <row r="441" spans="1:11" ht="15.5" hidden="1" x14ac:dyDescent="0.35">
      <c r="A441" s="31">
        <v>45116</v>
      </c>
      <c r="B441" s="32" t="s">
        <v>20</v>
      </c>
      <c r="C441" s="32" t="s">
        <v>21</v>
      </c>
      <c r="D441" s="32" t="s">
        <v>34</v>
      </c>
      <c r="E441" s="32" t="s">
        <v>18</v>
      </c>
      <c r="F441" s="32">
        <v>4</v>
      </c>
      <c r="G441" s="32">
        <v>12</v>
      </c>
      <c r="H441" s="32" t="s">
        <v>55</v>
      </c>
      <c r="I441" s="32">
        <v>41</v>
      </c>
      <c r="J441" s="32">
        <v>4003.52</v>
      </c>
      <c r="K441" s="32">
        <v>48042.239999999998</v>
      </c>
    </row>
    <row r="442" spans="1:11" ht="15.5" hidden="1" x14ac:dyDescent="0.35">
      <c r="A442" s="31">
        <v>44990</v>
      </c>
      <c r="B442" s="32" t="s">
        <v>8</v>
      </c>
      <c r="C442" s="32" t="s">
        <v>9</v>
      </c>
      <c r="D442" s="32" t="s">
        <v>10</v>
      </c>
      <c r="E442" s="32" t="s">
        <v>24</v>
      </c>
      <c r="F442" s="32">
        <v>3</v>
      </c>
      <c r="G442" s="32">
        <v>1</v>
      </c>
      <c r="H442" s="32" t="s">
        <v>56</v>
      </c>
      <c r="I442" s="32">
        <v>35</v>
      </c>
      <c r="J442" s="32">
        <v>3059.01</v>
      </c>
      <c r="K442" s="32">
        <v>3059.01</v>
      </c>
    </row>
    <row r="443" spans="1:11" ht="15.5" x14ac:dyDescent="0.35">
      <c r="A443" s="31">
        <v>45045</v>
      </c>
      <c r="B443" s="32" t="s">
        <v>20</v>
      </c>
      <c r="C443" s="32" t="s">
        <v>21</v>
      </c>
      <c r="D443" s="32" t="s">
        <v>34</v>
      </c>
      <c r="E443" s="32" t="s">
        <v>11</v>
      </c>
      <c r="F443" s="32">
        <v>5</v>
      </c>
      <c r="G443" s="32">
        <v>1</v>
      </c>
      <c r="H443" s="32" t="s">
        <v>57</v>
      </c>
      <c r="I443" s="32">
        <v>33</v>
      </c>
      <c r="J443" s="32">
        <v>4815.0600000000004</v>
      </c>
      <c r="K443" s="32">
        <v>4815.0600000000004</v>
      </c>
    </row>
    <row r="444" spans="1:11" ht="15.5" hidden="1" x14ac:dyDescent="0.35">
      <c r="A444" s="31">
        <v>45278</v>
      </c>
      <c r="B444" s="32" t="s">
        <v>12</v>
      </c>
      <c r="C444" s="32" t="s">
        <v>13</v>
      </c>
      <c r="D444" s="32" t="s">
        <v>14</v>
      </c>
      <c r="E444" s="32" t="s">
        <v>24</v>
      </c>
      <c r="F444" s="32">
        <v>3</v>
      </c>
      <c r="G444" s="32">
        <v>3</v>
      </c>
      <c r="H444" s="32" t="s">
        <v>58</v>
      </c>
      <c r="I444" s="32">
        <v>28</v>
      </c>
      <c r="J444" s="32">
        <v>1139.5899999999999</v>
      </c>
      <c r="K444" s="32">
        <v>3418.77</v>
      </c>
    </row>
    <row r="445" spans="1:11" ht="15.5" hidden="1" x14ac:dyDescent="0.35">
      <c r="A445" s="31">
        <v>45003</v>
      </c>
      <c r="B445" s="32" t="s">
        <v>12</v>
      </c>
      <c r="C445" s="32" t="s">
        <v>13</v>
      </c>
      <c r="D445" s="32" t="s">
        <v>33</v>
      </c>
      <c r="E445" s="32" t="s">
        <v>15</v>
      </c>
      <c r="F445" s="32">
        <v>1</v>
      </c>
      <c r="G445" s="32">
        <v>12</v>
      </c>
      <c r="H445" s="32" t="s">
        <v>59</v>
      </c>
      <c r="I445" s="32">
        <v>19</v>
      </c>
      <c r="J445" s="32">
        <v>596.13</v>
      </c>
      <c r="K445" s="32">
        <v>7153.56</v>
      </c>
    </row>
    <row r="446" spans="1:11" ht="15.5" hidden="1" x14ac:dyDescent="0.35">
      <c r="A446" s="31">
        <v>45026</v>
      </c>
      <c r="B446" s="32" t="s">
        <v>12</v>
      </c>
      <c r="C446" s="32" t="s">
        <v>13</v>
      </c>
      <c r="D446" s="32" t="s">
        <v>33</v>
      </c>
      <c r="E446" s="32" t="s">
        <v>18</v>
      </c>
      <c r="F446" s="32">
        <v>4</v>
      </c>
      <c r="G446" s="32">
        <v>15</v>
      </c>
      <c r="H446" s="32" t="s">
        <v>48</v>
      </c>
      <c r="I446" s="32">
        <v>51</v>
      </c>
      <c r="J446" s="32">
        <v>4262.53</v>
      </c>
      <c r="K446" s="32">
        <v>63937.95</v>
      </c>
    </row>
    <row r="447" spans="1:11" ht="15.5" hidden="1" x14ac:dyDescent="0.35">
      <c r="A447" s="31">
        <v>45231</v>
      </c>
      <c r="B447" s="32" t="s">
        <v>20</v>
      </c>
      <c r="C447" s="32" t="s">
        <v>21</v>
      </c>
      <c r="D447" s="32" t="s">
        <v>22</v>
      </c>
      <c r="E447" s="32" t="s">
        <v>18</v>
      </c>
      <c r="F447" s="32">
        <v>4</v>
      </c>
      <c r="G447" s="32">
        <v>18</v>
      </c>
      <c r="H447" s="32" t="s">
        <v>49</v>
      </c>
      <c r="I447" s="32">
        <v>40</v>
      </c>
      <c r="J447" s="32">
        <v>4059.82</v>
      </c>
      <c r="K447" s="32">
        <v>73076.759999999995</v>
      </c>
    </row>
    <row r="448" spans="1:11" ht="15.5" hidden="1" x14ac:dyDescent="0.35">
      <c r="A448" s="31">
        <v>45274</v>
      </c>
      <c r="B448" s="32" t="s">
        <v>12</v>
      </c>
      <c r="C448" s="32" t="s">
        <v>16</v>
      </c>
      <c r="D448" s="32" t="s">
        <v>17</v>
      </c>
      <c r="E448" s="32" t="s">
        <v>24</v>
      </c>
      <c r="F448" s="32">
        <v>3</v>
      </c>
      <c r="G448" s="32">
        <v>5</v>
      </c>
      <c r="H448" s="32" t="s">
        <v>50</v>
      </c>
      <c r="I448" s="32">
        <v>45</v>
      </c>
      <c r="J448" s="32">
        <v>278.31</v>
      </c>
      <c r="K448" s="32">
        <v>1391.55</v>
      </c>
    </row>
    <row r="449" spans="1:11" ht="15.5" hidden="1" x14ac:dyDescent="0.35">
      <c r="A449" s="31">
        <v>45244</v>
      </c>
      <c r="B449" s="32" t="s">
        <v>20</v>
      </c>
      <c r="C449" s="32" t="s">
        <v>21</v>
      </c>
      <c r="D449" s="32" t="s">
        <v>22</v>
      </c>
      <c r="E449" s="32" t="s">
        <v>24</v>
      </c>
      <c r="F449" s="32">
        <v>3</v>
      </c>
      <c r="G449" s="32">
        <v>5</v>
      </c>
      <c r="H449" s="32" t="s">
        <v>51</v>
      </c>
      <c r="I449" s="32">
        <v>32</v>
      </c>
      <c r="J449" s="32">
        <v>2423.83</v>
      </c>
      <c r="K449" s="32">
        <v>12119.15</v>
      </c>
    </row>
    <row r="450" spans="1:11" ht="15.5" hidden="1" x14ac:dyDescent="0.35">
      <c r="A450" s="31">
        <v>45107</v>
      </c>
      <c r="B450" s="32" t="s">
        <v>8</v>
      </c>
      <c r="C450" s="32" t="s">
        <v>28</v>
      </c>
      <c r="D450" s="32" t="s">
        <v>29</v>
      </c>
      <c r="E450" s="32" t="s">
        <v>27</v>
      </c>
      <c r="F450" s="32">
        <v>2</v>
      </c>
      <c r="G450" s="32">
        <v>8</v>
      </c>
      <c r="H450" s="32" t="s">
        <v>52</v>
      </c>
      <c r="I450" s="32">
        <v>20</v>
      </c>
      <c r="J450" s="32">
        <v>1916.14</v>
      </c>
      <c r="K450" s="32">
        <v>15329.12</v>
      </c>
    </row>
    <row r="451" spans="1:11" ht="15.5" hidden="1" x14ac:dyDescent="0.35">
      <c r="A451" s="31">
        <v>45230</v>
      </c>
      <c r="B451" s="32" t="s">
        <v>20</v>
      </c>
      <c r="C451" s="32" t="s">
        <v>21</v>
      </c>
      <c r="D451" s="32" t="s">
        <v>22</v>
      </c>
      <c r="E451" s="32" t="s">
        <v>24</v>
      </c>
      <c r="F451" s="32">
        <v>3</v>
      </c>
      <c r="G451" s="32">
        <v>14</v>
      </c>
      <c r="H451" s="32" t="s">
        <v>53</v>
      </c>
      <c r="I451" s="32">
        <v>26</v>
      </c>
      <c r="J451" s="32">
        <v>1598.93</v>
      </c>
      <c r="K451" s="32">
        <v>22385.02</v>
      </c>
    </row>
    <row r="452" spans="1:11" ht="15.5" hidden="1" x14ac:dyDescent="0.35">
      <c r="A452" s="31">
        <v>45174</v>
      </c>
      <c r="B452" s="32" t="s">
        <v>8</v>
      </c>
      <c r="C452" s="32" t="s">
        <v>9</v>
      </c>
      <c r="D452" s="32" t="s">
        <v>23</v>
      </c>
      <c r="E452" s="32" t="s">
        <v>24</v>
      </c>
      <c r="F452" s="32">
        <v>3</v>
      </c>
      <c r="G452" s="32">
        <v>20</v>
      </c>
      <c r="H452" s="32" t="s">
        <v>54</v>
      </c>
      <c r="I452" s="32">
        <v>25</v>
      </c>
      <c r="J452" s="32">
        <v>3474.05</v>
      </c>
      <c r="K452" s="32">
        <v>69481</v>
      </c>
    </row>
    <row r="453" spans="1:11" ht="15.5" hidden="1" x14ac:dyDescent="0.35">
      <c r="A453" s="31">
        <v>44987</v>
      </c>
      <c r="B453" s="32" t="s">
        <v>8</v>
      </c>
      <c r="C453" s="32" t="s">
        <v>9</v>
      </c>
      <c r="D453" s="32" t="s">
        <v>23</v>
      </c>
      <c r="E453" s="32" t="s">
        <v>18</v>
      </c>
      <c r="F453" s="32">
        <v>4</v>
      </c>
      <c r="G453" s="32">
        <v>18</v>
      </c>
      <c r="H453" s="32" t="s">
        <v>55</v>
      </c>
      <c r="I453" s="32">
        <v>31</v>
      </c>
      <c r="J453" s="32">
        <v>1306.19</v>
      </c>
      <c r="K453" s="32">
        <v>23511.42</v>
      </c>
    </row>
    <row r="454" spans="1:11" ht="15.5" hidden="1" x14ac:dyDescent="0.35">
      <c r="A454" s="31">
        <v>45162</v>
      </c>
      <c r="B454" s="32" t="s">
        <v>12</v>
      </c>
      <c r="C454" s="32" t="s">
        <v>13</v>
      </c>
      <c r="D454" s="32" t="s">
        <v>14</v>
      </c>
      <c r="E454" s="32" t="s">
        <v>27</v>
      </c>
      <c r="F454" s="32">
        <v>2</v>
      </c>
      <c r="G454" s="32">
        <v>1</v>
      </c>
      <c r="H454" s="32" t="s">
        <v>56</v>
      </c>
      <c r="I454" s="32">
        <v>36</v>
      </c>
      <c r="J454" s="32">
        <v>2710.27</v>
      </c>
      <c r="K454" s="32">
        <v>2710.27</v>
      </c>
    </row>
    <row r="455" spans="1:11" ht="15.5" hidden="1" x14ac:dyDescent="0.35">
      <c r="A455" s="31">
        <v>45028</v>
      </c>
      <c r="B455" s="32" t="s">
        <v>8</v>
      </c>
      <c r="C455" s="32" t="s">
        <v>28</v>
      </c>
      <c r="D455" s="32" t="s">
        <v>32</v>
      </c>
      <c r="E455" s="32" t="s">
        <v>24</v>
      </c>
      <c r="F455" s="32">
        <v>3</v>
      </c>
      <c r="G455" s="32">
        <v>19</v>
      </c>
      <c r="H455" s="32" t="s">
        <v>57</v>
      </c>
      <c r="I455" s="32">
        <v>46</v>
      </c>
      <c r="J455" s="32">
        <v>713.8</v>
      </c>
      <c r="K455" s="32">
        <v>13562.2</v>
      </c>
    </row>
    <row r="456" spans="1:11" ht="15.5" hidden="1" x14ac:dyDescent="0.35">
      <c r="A456" s="31">
        <v>45038</v>
      </c>
      <c r="B456" s="32" t="s">
        <v>8</v>
      </c>
      <c r="C456" s="32" t="s">
        <v>28</v>
      </c>
      <c r="D456" s="32" t="s">
        <v>29</v>
      </c>
      <c r="E456" s="32" t="s">
        <v>15</v>
      </c>
      <c r="F456" s="32">
        <v>1</v>
      </c>
      <c r="G456" s="32">
        <v>6</v>
      </c>
      <c r="H456" s="32" t="s">
        <v>58</v>
      </c>
      <c r="I456" s="32">
        <v>51</v>
      </c>
      <c r="J456" s="32">
        <v>1016.27</v>
      </c>
      <c r="K456" s="32">
        <v>6097.62</v>
      </c>
    </row>
    <row r="457" spans="1:11" ht="15.5" hidden="1" x14ac:dyDescent="0.35">
      <c r="A457" s="31">
        <v>45148</v>
      </c>
      <c r="B457" s="32" t="s">
        <v>20</v>
      </c>
      <c r="C457" s="32" t="s">
        <v>21</v>
      </c>
      <c r="D457" s="32" t="s">
        <v>35</v>
      </c>
      <c r="E457" s="32" t="s">
        <v>15</v>
      </c>
      <c r="F457" s="32">
        <v>1</v>
      </c>
      <c r="G457" s="32">
        <v>17</v>
      </c>
      <c r="H457" s="32" t="s">
        <v>59</v>
      </c>
      <c r="I457" s="32">
        <v>55</v>
      </c>
      <c r="J457" s="32">
        <v>1645.97</v>
      </c>
      <c r="K457" s="32">
        <v>27981.49</v>
      </c>
    </row>
    <row r="458" spans="1:11" ht="15.5" hidden="1" x14ac:dyDescent="0.35">
      <c r="A458" s="31">
        <v>45220</v>
      </c>
      <c r="B458" s="32" t="s">
        <v>12</v>
      </c>
      <c r="C458" s="32" t="s">
        <v>13</v>
      </c>
      <c r="D458" s="32" t="s">
        <v>14</v>
      </c>
      <c r="E458" s="32" t="s">
        <v>18</v>
      </c>
      <c r="F458" s="32">
        <v>4</v>
      </c>
      <c r="G458" s="32">
        <v>13</v>
      </c>
      <c r="H458" s="32" t="s">
        <v>48</v>
      </c>
      <c r="I458" s="32">
        <v>30</v>
      </c>
      <c r="J458" s="32">
        <v>1976.63</v>
      </c>
      <c r="K458" s="32">
        <v>25696.19</v>
      </c>
    </row>
    <row r="459" spans="1:11" ht="15.5" hidden="1" x14ac:dyDescent="0.35">
      <c r="A459" s="31">
        <v>44996</v>
      </c>
      <c r="B459" s="32" t="s">
        <v>8</v>
      </c>
      <c r="C459" s="32" t="s">
        <v>9</v>
      </c>
      <c r="D459" s="32" t="s">
        <v>10</v>
      </c>
      <c r="E459" s="32" t="s">
        <v>15</v>
      </c>
      <c r="F459" s="32">
        <v>1</v>
      </c>
      <c r="G459" s="32">
        <v>20</v>
      </c>
      <c r="H459" s="32" t="s">
        <v>49</v>
      </c>
      <c r="I459" s="32">
        <v>19</v>
      </c>
      <c r="J459" s="32">
        <v>1222.92</v>
      </c>
      <c r="K459" s="32">
        <v>24458.400000000001</v>
      </c>
    </row>
    <row r="460" spans="1:11" ht="15.5" hidden="1" x14ac:dyDescent="0.35">
      <c r="A460" s="31">
        <v>45120</v>
      </c>
      <c r="B460" s="32" t="s">
        <v>12</v>
      </c>
      <c r="C460" s="32" t="s">
        <v>16</v>
      </c>
      <c r="D460" s="32" t="s">
        <v>25</v>
      </c>
      <c r="E460" s="32" t="s">
        <v>27</v>
      </c>
      <c r="F460" s="32">
        <v>2</v>
      </c>
      <c r="G460" s="32">
        <v>9</v>
      </c>
      <c r="H460" s="32" t="s">
        <v>50</v>
      </c>
      <c r="I460" s="32">
        <v>20</v>
      </c>
      <c r="J460" s="32">
        <v>491.64</v>
      </c>
      <c r="K460" s="32">
        <v>4424.76</v>
      </c>
    </row>
    <row r="461" spans="1:11" ht="15.5" hidden="1" x14ac:dyDescent="0.35">
      <c r="A461" s="31">
        <v>44996</v>
      </c>
      <c r="B461" s="32" t="s">
        <v>8</v>
      </c>
      <c r="C461" s="32" t="s">
        <v>9</v>
      </c>
      <c r="D461" s="32" t="s">
        <v>31</v>
      </c>
      <c r="E461" s="32" t="s">
        <v>18</v>
      </c>
      <c r="F461" s="32">
        <v>4</v>
      </c>
      <c r="G461" s="32">
        <v>5</v>
      </c>
      <c r="H461" s="32" t="s">
        <v>51</v>
      </c>
      <c r="I461" s="32">
        <v>40</v>
      </c>
      <c r="J461" s="32">
        <v>2583.81</v>
      </c>
      <c r="K461" s="32">
        <v>12919.05</v>
      </c>
    </row>
    <row r="462" spans="1:11" ht="15.5" hidden="1" x14ac:dyDescent="0.35">
      <c r="A462" s="31">
        <v>45229</v>
      </c>
      <c r="B462" s="32" t="s">
        <v>8</v>
      </c>
      <c r="C462" s="32" t="s">
        <v>9</v>
      </c>
      <c r="D462" s="32" t="s">
        <v>10</v>
      </c>
      <c r="E462" s="32" t="s">
        <v>15</v>
      </c>
      <c r="F462" s="32">
        <v>1</v>
      </c>
      <c r="G462" s="32">
        <v>5</v>
      </c>
      <c r="H462" s="32" t="s">
        <v>52</v>
      </c>
      <c r="I462" s="32">
        <v>19</v>
      </c>
      <c r="J462" s="32">
        <v>3288.58</v>
      </c>
      <c r="K462" s="32">
        <v>16442.900000000001</v>
      </c>
    </row>
    <row r="463" spans="1:11" ht="15.5" hidden="1" x14ac:dyDescent="0.35">
      <c r="A463" s="31">
        <v>45262</v>
      </c>
      <c r="B463" s="32" t="s">
        <v>12</v>
      </c>
      <c r="C463" s="32" t="s">
        <v>13</v>
      </c>
      <c r="D463" s="32" t="s">
        <v>26</v>
      </c>
      <c r="E463" s="32" t="s">
        <v>15</v>
      </c>
      <c r="F463" s="32">
        <v>1</v>
      </c>
      <c r="G463" s="32">
        <v>3</v>
      </c>
      <c r="H463" s="32" t="s">
        <v>53</v>
      </c>
      <c r="I463" s="32">
        <v>38</v>
      </c>
      <c r="J463" s="32">
        <v>3445.08</v>
      </c>
      <c r="K463" s="32">
        <v>10335.24</v>
      </c>
    </row>
    <row r="464" spans="1:11" ht="15.5" x14ac:dyDescent="0.35">
      <c r="A464" s="31">
        <v>45291</v>
      </c>
      <c r="B464" s="32" t="s">
        <v>8</v>
      </c>
      <c r="C464" s="32" t="s">
        <v>9</v>
      </c>
      <c r="D464" s="32" t="s">
        <v>31</v>
      </c>
      <c r="E464" s="32" t="s">
        <v>11</v>
      </c>
      <c r="F464" s="32">
        <v>5</v>
      </c>
      <c r="G464" s="32">
        <v>10</v>
      </c>
      <c r="H464" s="32" t="s">
        <v>54</v>
      </c>
      <c r="I464" s="32">
        <v>32</v>
      </c>
      <c r="J464" s="32">
        <v>3806.67</v>
      </c>
      <c r="K464" s="32">
        <v>38066.699999999997</v>
      </c>
    </row>
    <row r="465" spans="1:11" ht="15.5" hidden="1" x14ac:dyDescent="0.35">
      <c r="A465" s="31">
        <v>45162</v>
      </c>
      <c r="B465" s="32" t="s">
        <v>8</v>
      </c>
      <c r="C465" s="32" t="s">
        <v>28</v>
      </c>
      <c r="D465" s="32" t="s">
        <v>29</v>
      </c>
      <c r="E465" s="32" t="s">
        <v>27</v>
      </c>
      <c r="F465" s="32">
        <v>2</v>
      </c>
      <c r="G465" s="32">
        <v>16</v>
      </c>
      <c r="H465" s="32" t="s">
        <v>55</v>
      </c>
      <c r="I465" s="32">
        <v>26</v>
      </c>
      <c r="J465" s="32">
        <v>796.69</v>
      </c>
      <c r="K465" s="32">
        <v>12747.04</v>
      </c>
    </row>
    <row r="466" spans="1:11" ht="15.5" hidden="1" x14ac:dyDescent="0.35">
      <c r="A466" s="31">
        <v>44969</v>
      </c>
      <c r="B466" s="32" t="s">
        <v>20</v>
      </c>
      <c r="C466" s="32" t="s">
        <v>21</v>
      </c>
      <c r="D466" s="32" t="s">
        <v>35</v>
      </c>
      <c r="E466" s="32" t="s">
        <v>24</v>
      </c>
      <c r="F466" s="32">
        <v>3</v>
      </c>
      <c r="G466" s="32">
        <v>1</v>
      </c>
      <c r="H466" s="32" t="s">
        <v>56</v>
      </c>
      <c r="I466" s="32">
        <v>25</v>
      </c>
      <c r="J466" s="32">
        <v>2489.17</v>
      </c>
      <c r="K466" s="32">
        <v>2489.17</v>
      </c>
    </row>
    <row r="467" spans="1:11" ht="15.5" hidden="1" x14ac:dyDescent="0.35">
      <c r="A467" s="31">
        <v>45146</v>
      </c>
      <c r="B467" s="32" t="s">
        <v>8</v>
      </c>
      <c r="C467" s="32" t="s">
        <v>9</v>
      </c>
      <c r="D467" s="32" t="s">
        <v>10</v>
      </c>
      <c r="E467" s="32" t="s">
        <v>27</v>
      </c>
      <c r="F467" s="32">
        <v>2</v>
      </c>
      <c r="G467" s="32">
        <v>6</v>
      </c>
      <c r="H467" s="32" t="s">
        <v>57</v>
      </c>
      <c r="I467" s="32">
        <v>25</v>
      </c>
      <c r="J467" s="32">
        <v>1701.04</v>
      </c>
      <c r="K467" s="32">
        <v>10206.24</v>
      </c>
    </row>
    <row r="468" spans="1:11" ht="15.5" hidden="1" x14ac:dyDescent="0.35">
      <c r="A468" s="31">
        <v>45028</v>
      </c>
      <c r="B468" s="32" t="s">
        <v>20</v>
      </c>
      <c r="C468" s="32" t="s">
        <v>21</v>
      </c>
      <c r="D468" s="32" t="s">
        <v>22</v>
      </c>
      <c r="E468" s="32" t="s">
        <v>18</v>
      </c>
      <c r="F468" s="32">
        <v>4</v>
      </c>
      <c r="G468" s="32">
        <v>5</v>
      </c>
      <c r="H468" s="32" t="s">
        <v>58</v>
      </c>
      <c r="I468" s="32">
        <v>31</v>
      </c>
      <c r="J468" s="32">
        <v>143.78</v>
      </c>
      <c r="K468" s="32">
        <v>718.9</v>
      </c>
    </row>
    <row r="469" spans="1:11" ht="15.5" hidden="1" x14ac:dyDescent="0.35">
      <c r="A469" s="31">
        <v>45256</v>
      </c>
      <c r="B469" s="32" t="s">
        <v>8</v>
      </c>
      <c r="C469" s="32" t="s">
        <v>9</v>
      </c>
      <c r="D469" s="32" t="s">
        <v>23</v>
      </c>
      <c r="E469" s="32" t="s">
        <v>27</v>
      </c>
      <c r="F469" s="32">
        <v>2</v>
      </c>
      <c r="G469" s="32">
        <v>20</v>
      </c>
      <c r="H469" s="32" t="s">
        <v>59</v>
      </c>
      <c r="I469" s="32">
        <v>43</v>
      </c>
      <c r="J469" s="32">
        <v>1260.25</v>
      </c>
      <c r="K469" s="32">
        <v>25205</v>
      </c>
    </row>
    <row r="470" spans="1:11" ht="15.5" hidden="1" x14ac:dyDescent="0.35">
      <c r="A470" s="31">
        <v>44969</v>
      </c>
      <c r="B470" s="32" t="s">
        <v>8</v>
      </c>
      <c r="C470" s="32" t="s">
        <v>9</v>
      </c>
      <c r="D470" s="32" t="s">
        <v>31</v>
      </c>
      <c r="E470" s="32" t="s">
        <v>18</v>
      </c>
      <c r="F470" s="32">
        <v>4</v>
      </c>
      <c r="G470" s="32">
        <v>18</v>
      </c>
      <c r="H470" s="32" t="s">
        <v>48</v>
      </c>
      <c r="I470" s="32">
        <v>37</v>
      </c>
      <c r="J470" s="32">
        <v>3040.28</v>
      </c>
      <c r="K470" s="32">
        <v>54725.04</v>
      </c>
    </row>
    <row r="471" spans="1:11" ht="15.5" hidden="1" x14ac:dyDescent="0.35">
      <c r="A471" s="31">
        <v>45097</v>
      </c>
      <c r="B471" s="32" t="s">
        <v>8</v>
      </c>
      <c r="C471" s="32" t="s">
        <v>28</v>
      </c>
      <c r="D471" s="32" t="s">
        <v>29</v>
      </c>
      <c r="E471" s="32" t="s">
        <v>27</v>
      </c>
      <c r="F471" s="32">
        <v>2</v>
      </c>
      <c r="G471" s="32">
        <v>4</v>
      </c>
      <c r="H471" s="32" t="s">
        <v>49</v>
      </c>
      <c r="I471" s="32">
        <v>50</v>
      </c>
      <c r="J471" s="32">
        <v>3561.12</v>
      </c>
      <c r="K471" s="32">
        <v>14244.48</v>
      </c>
    </row>
    <row r="472" spans="1:11" ht="15.5" hidden="1" x14ac:dyDescent="0.35">
      <c r="A472" s="31">
        <v>45279</v>
      </c>
      <c r="B472" s="32" t="s">
        <v>8</v>
      </c>
      <c r="C472" s="32" t="s">
        <v>9</v>
      </c>
      <c r="D472" s="32" t="s">
        <v>10</v>
      </c>
      <c r="E472" s="32" t="s">
        <v>27</v>
      </c>
      <c r="F472" s="32">
        <v>2</v>
      </c>
      <c r="G472" s="32">
        <v>19</v>
      </c>
      <c r="H472" s="32" t="s">
        <v>50</v>
      </c>
      <c r="I472" s="32">
        <v>23</v>
      </c>
      <c r="J472" s="32">
        <v>3718.59</v>
      </c>
      <c r="K472" s="32">
        <v>70653.210000000006</v>
      </c>
    </row>
    <row r="473" spans="1:11" ht="15.5" hidden="1" x14ac:dyDescent="0.35">
      <c r="A473" s="31">
        <v>44940</v>
      </c>
      <c r="B473" s="32" t="s">
        <v>20</v>
      </c>
      <c r="C473" s="32" t="s">
        <v>21</v>
      </c>
      <c r="D473" s="32" t="s">
        <v>34</v>
      </c>
      <c r="E473" s="32" t="s">
        <v>24</v>
      </c>
      <c r="F473" s="32">
        <v>3</v>
      </c>
      <c r="G473" s="32">
        <v>12</v>
      </c>
      <c r="H473" s="32" t="s">
        <v>51</v>
      </c>
      <c r="I473" s="32">
        <v>25</v>
      </c>
      <c r="J473" s="32">
        <v>4011.85</v>
      </c>
      <c r="K473" s="32">
        <v>48142.2</v>
      </c>
    </row>
    <row r="474" spans="1:11" ht="15.5" hidden="1" x14ac:dyDescent="0.35">
      <c r="A474" s="31">
        <v>45033</v>
      </c>
      <c r="B474" s="32" t="s">
        <v>20</v>
      </c>
      <c r="C474" s="32" t="s">
        <v>21</v>
      </c>
      <c r="D474" s="32" t="s">
        <v>34</v>
      </c>
      <c r="E474" s="32" t="s">
        <v>27</v>
      </c>
      <c r="F474" s="32">
        <v>2</v>
      </c>
      <c r="G474" s="32">
        <v>13</v>
      </c>
      <c r="H474" s="32" t="s">
        <v>52</v>
      </c>
      <c r="I474" s="32">
        <v>29</v>
      </c>
      <c r="J474" s="32">
        <v>4542.74</v>
      </c>
      <c r="K474" s="32">
        <v>59055.62</v>
      </c>
    </row>
    <row r="475" spans="1:11" ht="15.5" hidden="1" x14ac:dyDescent="0.35">
      <c r="A475" s="31">
        <v>45094</v>
      </c>
      <c r="B475" s="32" t="s">
        <v>12</v>
      </c>
      <c r="C475" s="32" t="s">
        <v>16</v>
      </c>
      <c r="D475" s="32" t="s">
        <v>19</v>
      </c>
      <c r="E475" s="32" t="s">
        <v>15</v>
      </c>
      <c r="F475" s="32">
        <v>1</v>
      </c>
      <c r="G475" s="32">
        <v>15</v>
      </c>
      <c r="H475" s="32" t="s">
        <v>53</v>
      </c>
      <c r="I475" s="32">
        <v>18</v>
      </c>
      <c r="J475" s="32">
        <v>3048.36</v>
      </c>
      <c r="K475" s="32">
        <v>45725.4</v>
      </c>
    </row>
    <row r="476" spans="1:11" ht="15.5" hidden="1" x14ac:dyDescent="0.35">
      <c r="A476" s="31">
        <v>45004</v>
      </c>
      <c r="B476" s="32" t="s">
        <v>12</v>
      </c>
      <c r="C476" s="32" t="s">
        <v>16</v>
      </c>
      <c r="D476" s="32" t="s">
        <v>17</v>
      </c>
      <c r="E476" s="32" t="s">
        <v>24</v>
      </c>
      <c r="F476" s="32">
        <v>3</v>
      </c>
      <c r="G476" s="32">
        <v>4</v>
      </c>
      <c r="H476" s="32" t="s">
        <v>54</v>
      </c>
      <c r="I476" s="32">
        <v>25</v>
      </c>
      <c r="J476" s="32">
        <v>366.33</v>
      </c>
      <c r="K476" s="32">
        <v>1465.32</v>
      </c>
    </row>
    <row r="477" spans="1:11" ht="15.5" hidden="1" x14ac:dyDescent="0.35">
      <c r="A477" s="31">
        <v>44940</v>
      </c>
      <c r="B477" s="32" t="s">
        <v>20</v>
      </c>
      <c r="C477" s="32" t="s">
        <v>21</v>
      </c>
      <c r="D477" s="32" t="s">
        <v>34</v>
      </c>
      <c r="E477" s="32" t="s">
        <v>18</v>
      </c>
      <c r="F477" s="32">
        <v>4</v>
      </c>
      <c r="G477" s="32">
        <v>9</v>
      </c>
      <c r="H477" s="32" t="s">
        <v>55</v>
      </c>
      <c r="I477" s="32">
        <v>17</v>
      </c>
      <c r="J477" s="32">
        <v>3137.87</v>
      </c>
      <c r="K477" s="32">
        <v>28240.83</v>
      </c>
    </row>
    <row r="478" spans="1:11" ht="15.5" hidden="1" x14ac:dyDescent="0.35">
      <c r="A478" s="31">
        <v>45227</v>
      </c>
      <c r="B478" s="32" t="s">
        <v>20</v>
      </c>
      <c r="C478" s="32" t="s">
        <v>21</v>
      </c>
      <c r="D478" s="32" t="s">
        <v>34</v>
      </c>
      <c r="E478" s="32" t="s">
        <v>15</v>
      </c>
      <c r="F478" s="32">
        <v>1</v>
      </c>
      <c r="G478" s="32">
        <v>12</v>
      </c>
      <c r="H478" s="32" t="s">
        <v>56</v>
      </c>
      <c r="I478" s="32">
        <v>41</v>
      </c>
      <c r="J478" s="32">
        <v>225.88</v>
      </c>
      <c r="K478" s="32">
        <v>2710.56</v>
      </c>
    </row>
    <row r="479" spans="1:11" ht="15.5" hidden="1" x14ac:dyDescent="0.35">
      <c r="A479" s="31">
        <v>45168</v>
      </c>
      <c r="B479" s="32" t="s">
        <v>12</v>
      </c>
      <c r="C479" s="32" t="s">
        <v>16</v>
      </c>
      <c r="D479" s="32" t="s">
        <v>25</v>
      </c>
      <c r="E479" s="32" t="s">
        <v>18</v>
      </c>
      <c r="F479" s="32">
        <v>4</v>
      </c>
      <c r="G479" s="32">
        <v>11</v>
      </c>
      <c r="H479" s="32" t="s">
        <v>57</v>
      </c>
      <c r="I479" s="32">
        <v>29</v>
      </c>
      <c r="J479" s="32">
        <v>920.95</v>
      </c>
      <c r="K479" s="32">
        <v>10130.450000000001</v>
      </c>
    </row>
    <row r="480" spans="1:11" ht="15.5" hidden="1" x14ac:dyDescent="0.35">
      <c r="A480" s="31">
        <v>45058</v>
      </c>
      <c r="B480" s="32" t="s">
        <v>20</v>
      </c>
      <c r="C480" s="32" t="s">
        <v>21</v>
      </c>
      <c r="D480" s="32" t="s">
        <v>35</v>
      </c>
      <c r="E480" s="32" t="s">
        <v>18</v>
      </c>
      <c r="F480" s="32">
        <v>4</v>
      </c>
      <c r="G480" s="32">
        <v>16</v>
      </c>
      <c r="H480" s="32" t="s">
        <v>58</v>
      </c>
      <c r="I480" s="32">
        <v>32</v>
      </c>
      <c r="J480" s="32">
        <v>2991.84</v>
      </c>
      <c r="K480" s="32">
        <v>47869.440000000002</v>
      </c>
    </row>
    <row r="481" spans="1:11" ht="15.5" x14ac:dyDescent="0.35">
      <c r="A481" s="31">
        <v>45141</v>
      </c>
      <c r="B481" s="32" t="s">
        <v>20</v>
      </c>
      <c r="C481" s="32" t="s">
        <v>21</v>
      </c>
      <c r="D481" s="32" t="s">
        <v>22</v>
      </c>
      <c r="E481" s="32" t="s">
        <v>11</v>
      </c>
      <c r="F481" s="32">
        <v>5</v>
      </c>
      <c r="G481" s="32">
        <v>18</v>
      </c>
      <c r="H481" s="32" t="s">
        <v>59</v>
      </c>
      <c r="I481" s="32">
        <v>27</v>
      </c>
      <c r="J481" s="32">
        <v>3287.05</v>
      </c>
      <c r="K481" s="32">
        <v>59166.9</v>
      </c>
    </row>
    <row r="482" spans="1:11" ht="15.5" hidden="1" x14ac:dyDescent="0.35">
      <c r="A482" s="31">
        <v>45253</v>
      </c>
      <c r="B482" s="32" t="s">
        <v>12</v>
      </c>
      <c r="C482" s="32" t="s">
        <v>13</v>
      </c>
      <c r="D482" s="32" t="s">
        <v>26</v>
      </c>
      <c r="E482" s="32" t="s">
        <v>18</v>
      </c>
      <c r="F482" s="32">
        <v>4</v>
      </c>
      <c r="G482" s="32">
        <v>12</v>
      </c>
      <c r="H482" s="32" t="s">
        <v>48</v>
      </c>
      <c r="I482" s="32">
        <v>30</v>
      </c>
      <c r="J482" s="32">
        <v>1748.6</v>
      </c>
      <c r="K482" s="32">
        <v>20983.200000000001</v>
      </c>
    </row>
    <row r="483" spans="1:11" ht="15.5" hidden="1" x14ac:dyDescent="0.35">
      <c r="A483" s="31">
        <v>45132</v>
      </c>
      <c r="B483" s="32" t="s">
        <v>12</v>
      </c>
      <c r="C483" s="32" t="s">
        <v>13</v>
      </c>
      <c r="D483" s="32" t="s">
        <v>26</v>
      </c>
      <c r="E483" s="32" t="s">
        <v>15</v>
      </c>
      <c r="F483" s="32">
        <v>1</v>
      </c>
      <c r="G483" s="32">
        <v>10</v>
      </c>
      <c r="H483" s="32" t="s">
        <v>49</v>
      </c>
      <c r="I483" s="32">
        <v>31</v>
      </c>
      <c r="J483" s="32">
        <v>159.27000000000001</v>
      </c>
      <c r="K483" s="32">
        <v>1592.7</v>
      </c>
    </row>
    <row r="484" spans="1:11" ht="15.5" hidden="1" x14ac:dyDescent="0.35">
      <c r="A484" s="31">
        <v>45200</v>
      </c>
      <c r="B484" s="32" t="s">
        <v>8</v>
      </c>
      <c r="C484" s="32" t="s">
        <v>28</v>
      </c>
      <c r="D484" s="32" t="s">
        <v>32</v>
      </c>
      <c r="E484" s="32" t="s">
        <v>15</v>
      </c>
      <c r="F484" s="32">
        <v>1</v>
      </c>
      <c r="G484" s="32">
        <v>20</v>
      </c>
      <c r="H484" s="32" t="s">
        <v>50</v>
      </c>
      <c r="I484" s="32">
        <v>21</v>
      </c>
      <c r="J484" s="32">
        <v>4712.75</v>
      </c>
      <c r="K484" s="32">
        <v>94255</v>
      </c>
    </row>
    <row r="485" spans="1:11" ht="15.5" x14ac:dyDescent="0.35">
      <c r="A485" s="31">
        <v>45132</v>
      </c>
      <c r="B485" s="32" t="s">
        <v>12</v>
      </c>
      <c r="C485" s="32" t="s">
        <v>16</v>
      </c>
      <c r="D485" s="32" t="s">
        <v>17</v>
      </c>
      <c r="E485" s="32" t="s">
        <v>11</v>
      </c>
      <c r="F485" s="32">
        <v>5</v>
      </c>
      <c r="G485" s="32">
        <v>12</v>
      </c>
      <c r="H485" s="32" t="s">
        <v>51</v>
      </c>
      <c r="I485" s="32">
        <v>53</v>
      </c>
      <c r="J485" s="32">
        <v>2821.2</v>
      </c>
      <c r="K485" s="32">
        <v>33854.400000000001</v>
      </c>
    </row>
    <row r="486" spans="1:11" ht="15.5" hidden="1" x14ac:dyDescent="0.35">
      <c r="A486" s="31">
        <v>45114</v>
      </c>
      <c r="B486" s="32" t="s">
        <v>12</v>
      </c>
      <c r="C486" s="32" t="s">
        <v>16</v>
      </c>
      <c r="D486" s="32" t="s">
        <v>25</v>
      </c>
      <c r="E486" s="32" t="s">
        <v>18</v>
      </c>
      <c r="F486" s="32">
        <v>4</v>
      </c>
      <c r="G486" s="32">
        <v>20</v>
      </c>
      <c r="H486" s="32" t="s">
        <v>52</v>
      </c>
      <c r="I486" s="32">
        <v>26</v>
      </c>
      <c r="J486" s="32">
        <v>3891.28</v>
      </c>
      <c r="K486" s="32">
        <v>77825.600000000006</v>
      </c>
    </row>
    <row r="487" spans="1:11" ht="15.5" hidden="1" x14ac:dyDescent="0.35">
      <c r="A487" s="31">
        <v>45080</v>
      </c>
      <c r="B487" s="32" t="s">
        <v>8</v>
      </c>
      <c r="C487" s="32" t="s">
        <v>9</v>
      </c>
      <c r="D487" s="32" t="s">
        <v>23</v>
      </c>
      <c r="E487" s="32" t="s">
        <v>15</v>
      </c>
      <c r="F487" s="32">
        <v>1</v>
      </c>
      <c r="G487" s="32">
        <v>16</v>
      </c>
      <c r="H487" s="32" t="s">
        <v>53</v>
      </c>
      <c r="I487" s="32">
        <v>45</v>
      </c>
      <c r="J487" s="32">
        <v>3599.32</v>
      </c>
      <c r="K487" s="32">
        <v>57589.120000000003</v>
      </c>
    </row>
    <row r="488" spans="1:11" ht="15.5" x14ac:dyDescent="0.35">
      <c r="A488" s="31">
        <v>44968</v>
      </c>
      <c r="B488" s="32" t="s">
        <v>8</v>
      </c>
      <c r="C488" s="32" t="s">
        <v>28</v>
      </c>
      <c r="D488" s="32" t="s">
        <v>30</v>
      </c>
      <c r="E488" s="32" t="s">
        <v>11</v>
      </c>
      <c r="F488" s="32">
        <v>5</v>
      </c>
      <c r="G488" s="32">
        <v>20</v>
      </c>
      <c r="H488" s="32" t="s">
        <v>54</v>
      </c>
      <c r="I488" s="32">
        <v>41</v>
      </c>
      <c r="J488" s="32">
        <v>633.87</v>
      </c>
      <c r="K488" s="32">
        <v>12677.4</v>
      </c>
    </row>
    <row r="489" spans="1:11" ht="15.5" hidden="1" x14ac:dyDescent="0.35">
      <c r="A489" s="31">
        <v>45257</v>
      </c>
      <c r="B489" s="32" t="s">
        <v>8</v>
      </c>
      <c r="C489" s="32" t="s">
        <v>28</v>
      </c>
      <c r="D489" s="32" t="s">
        <v>30</v>
      </c>
      <c r="E489" s="32" t="s">
        <v>27</v>
      </c>
      <c r="F489" s="32">
        <v>2</v>
      </c>
      <c r="G489" s="32">
        <v>1</v>
      </c>
      <c r="H489" s="32" t="s">
        <v>55</v>
      </c>
      <c r="I489" s="32">
        <v>51</v>
      </c>
      <c r="J489" s="32">
        <v>983.24</v>
      </c>
      <c r="K489" s="32">
        <v>983.24</v>
      </c>
    </row>
    <row r="490" spans="1:11" ht="15.5" hidden="1" x14ac:dyDescent="0.35">
      <c r="A490" s="31">
        <v>45119</v>
      </c>
      <c r="B490" s="32" t="s">
        <v>12</v>
      </c>
      <c r="C490" s="32" t="s">
        <v>16</v>
      </c>
      <c r="D490" s="32" t="s">
        <v>19</v>
      </c>
      <c r="E490" s="32" t="s">
        <v>27</v>
      </c>
      <c r="F490" s="32">
        <v>2</v>
      </c>
      <c r="G490" s="32">
        <v>9</v>
      </c>
      <c r="H490" s="32" t="s">
        <v>56</v>
      </c>
      <c r="I490" s="32">
        <v>40</v>
      </c>
      <c r="J490" s="32">
        <v>2427.88</v>
      </c>
      <c r="K490" s="32">
        <v>21850.92</v>
      </c>
    </row>
    <row r="491" spans="1:11" ht="15.5" hidden="1" x14ac:dyDescent="0.35">
      <c r="A491" s="31">
        <v>45253</v>
      </c>
      <c r="B491" s="32" t="s">
        <v>12</v>
      </c>
      <c r="C491" s="32" t="s">
        <v>13</v>
      </c>
      <c r="D491" s="32" t="s">
        <v>26</v>
      </c>
      <c r="E491" s="32" t="s">
        <v>15</v>
      </c>
      <c r="F491" s="32">
        <v>1</v>
      </c>
      <c r="G491" s="32">
        <v>16</v>
      </c>
      <c r="H491" s="32" t="s">
        <v>57</v>
      </c>
      <c r="I491" s="32">
        <v>38</v>
      </c>
      <c r="J491" s="32">
        <v>2600.48</v>
      </c>
      <c r="K491" s="32">
        <v>41607.68</v>
      </c>
    </row>
    <row r="492" spans="1:11" ht="15.5" hidden="1" x14ac:dyDescent="0.35">
      <c r="A492" s="31">
        <v>45013</v>
      </c>
      <c r="B492" s="32" t="s">
        <v>20</v>
      </c>
      <c r="C492" s="32" t="s">
        <v>21</v>
      </c>
      <c r="D492" s="32" t="s">
        <v>22</v>
      </c>
      <c r="E492" s="32" t="s">
        <v>27</v>
      </c>
      <c r="F492" s="32">
        <v>2</v>
      </c>
      <c r="G492" s="32">
        <v>1</v>
      </c>
      <c r="H492" s="32" t="s">
        <v>58</v>
      </c>
      <c r="I492" s="32">
        <v>23</v>
      </c>
      <c r="J492" s="32">
        <v>1967.8</v>
      </c>
      <c r="K492" s="32">
        <v>1967.8</v>
      </c>
    </row>
    <row r="493" spans="1:11" ht="15.5" hidden="1" x14ac:dyDescent="0.35">
      <c r="A493" s="31">
        <v>45141</v>
      </c>
      <c r="B493" s="32" t="s">
        <v>8</v>
      </c>
      <c r="C493" s="32" t="s">
        <v>9</v>
      </c>
      <c r="D493" s="32" t="s">
        <v>10</v>
      </c>
      <c r="E493" s="32" t="s">
        <v>24</v>
      </c>
      <c r="F493" s="32">
        <v>3</v>
      </c>
      <c r="G493" s="32">
        <v>14</v>
      </c>
      <c r="H493" s="32" t="s">
        <v>59</v>
      </c>
      <c r="I493" s="32">
        <v>40</v>
      </c>
      <c r="J493" s="32">
        <v>2918.42</v>
      </c>
      <c r="K493" s="32">
        <v>40857.879999999997</v>
      </c>
    </row>
    <row r="494" spans="1:11" ht="15.5" hidden="1" x14ac:dyDescent="0.35">
      <c r="A494" s="31">
        <v>45267</v>
      </c>
      <c r="B494" s="32" t="s">
        <v>20</v>
      </c>
      <c r="C494" s="32" t="s">
        <v>21</v>
      </c>
      <c r="D494" s="32" t="s">
        <v>35</v>
      </c>
      <c r="E494" s="32" t="s">
        <v>24</v>
      </c>
      <c r="F494" s="32">
        <v>3</v>
      </c>
      <c r="G494" s="32">
        <v>20</v>
      </c>
      <c r="H494" s="32" t="s">
        <v>48</v>
      </c>
      <c r="I494" s="32">
        <v>17</v>
      </c>
      <c r="J494" s="32">
        <v>4821.82</v>
      </c>
      <c r="K494" s="32">
        <v>96436.4</v>
      </c>
    </row>
    <row r="495" spans="1:11" ht="15.5" x14ac:dyDescent="0.35">
      <c r="A495" s="31">
        <v>45287</v>
      </c>
      <c r="B495" s="32" t="s">
        <v>8</v>
      </c>
      <c r="C495" s="32" t="s">
        <v>9</v>
      </c>
      <c r="D495" s="32" t="s">
        <v>31</v>
      </c>
      <c r="E495" s="32" t="s">
        <v>11</v>
      </c>
      <c r="F495" s="32">
        <v>5</v>
      </c>
      <c r="G495" s="32">
        <v>11</v>
      </c>
      <c r="H495" s="32" t="s">
        <v>49</v>
      </c>
      <c r="I495" s="32">
        <v>16</v>
      </c>
      <c r="J495" s="32">
        <v>923.59</v>
      </c>
      <c r="K495" s="32">
        <v>10159.49</v>
      </c>
    </row>
    <row r="496" spans="1:11" ht="15.5" hidden="1" x14ac:dyDescent="0.35">
      <c r="A496" s="31">
        <v>45028</v>
      </c>
      <c r="B496" s="32" t="s">
        <v>20</v>
      </c>
      <c r="C496" s="32" t="s">
        <v>21</v>
      </c>
      <c r="D496" s="32" t="s">
        <v>22</v>
      </c>
      <c r="E496" s="32" t="s">
        <v>24</v>
      </c>
      <c r="F496" s="32">
        <v>3</v>
      </c>
      <c r="G496" s="32">
        <v>1</v>
      </c>
      <c r="H496" s="32" t="s">
        <v>50</v>
      </c>
      <c r="I496" s="32">
        <v>34</v>
      </c>
      <c r="J496" s="32">
        <v>1410.8</v>
      </c>
      <c r="K496" s="32">
        <v>1410.8</v>
      </c>
    </row>
    <row r="497" spans="1:11" ht="15.5" hidden="1" x14ac:dyDescent="0.35">
      <c r="A497" s="31">
        <v>45003</v>
      </c>
      <c r="B497" s="32" t="s">
        <v>12</v>
      </c>
      <c r="C497" s="32" t="s">
        <v>16</v>
      </c>
      <c r="D497" s="32" t="s">
        <v>19</v>
      </c>
      <c r="E497" s="32" t="s">
        <v>15</v>
      </c>
      <c r="F497" s="32">
        <v>1</v>
      </c>
      <c r="G497" s="32">
        <v>16</v>
      </c>
      <c r="H497" s="32" t="s">
        <v>51</v>
      </c>
      <c r="I497" s="32">
        <v>41</v>
      </c>
      <c r="J497" s="32">
        <v>874.99</v>
      </c>
      <c r="K497" s="32">
        <v>13999.84</v>
      </c>
    </row>
    <row r="498" spans="1:11" ht="15.5" hidden="1" x14ac:dyDescent="0.35">
      <c r="A498" s="31">
        <v>45172</v>
      </c>
      <c r="B498" s="32" t="s">
        <v>20</v>
      </c>
      <c r="C498" s="32" t="s">
        <v>21</v>
      </c>
      <c r="D498" s="32" t="s">
        <v>35</v>
      </c>
      <c r="E498" s="32" t="s">
        <v>27</v>
      </c>
      <c r="F498" s="32">
        <v>2</v>
      </c>
      <c r="G498" s="32">
        <v>5</v>
      </c>
      <c r="H498" s="32" t="s">
        <v>52</v>
      </c>
      <c r="I498" s="32">
        <v>33</v>
      </c>
      <c r="J498" s="32">
        <v>4165.41</v>
      </c>
      <c r="K498" s="32">
        <v>20827.05</v>
      </c>
    </row>
    <row r="499" spans="1:11" ht="15.5" hidden="1" x14ac:dyDescent="0.35">
      <c r="A499" s="31">
        <v>44940</v>
      </c>
      <c r="B499" s="32" t="s">
        <v>12</v>
      </c>
      <c r="C499" s="32" t="s">
        <v>16</v>
      </c>
      <c r="D499" s="32" t="s">
        <v>19</v>
      </c>
      <c r="E499" s="32" t="s">
        <v>24</v>
      </c>
      <c r="F499" s="32">
        <v>3</v>
      </c>
      <c r="G499" s="32">
        <v>2</v>
      </c>
      <c r="H499" s="32" t="s">
        <v>53</v>
      </c>
      <c r="I499" s="32">
        <v>47</v>
      </c>
      <c r="J499" s="32">
        <v>3072.48</v>
      </c>
      <c r="K499" s="32">
        <v>6144.96</v>
      </c>
    </row>
    <row r="500" spans="1:11" ht="15.5" hidden="1" x14ac:dyDescent="0.35">
      <c r="A500" s="31">
        <v>45199</v>
      </c>
      <c r="B500" s="32" t="s">
        <v>8</v>
      </c>
      <c r="C500" s="32" t="s">
        <v>28</v>
      </c>
      <c r="D500" s="32" t="s">
        <v>32</v>
      </c>
      <c r="E500" s="32" t="s">
        <v>15</v>
      </c>
      <c r="F500" s="32">
        <v>1</v>
      </c>
      <c r="G500" s="32">
        <v>11</v>
      </c>
      <c r="H500" s="32" t="s">
        <v>54</v>
      </c>
      <c r="I500" s="32">
        <v>25</v>
      </c>
      <c r="J500" s="32">
        <v>793.45</v>
      </c>
      <c r="K500" s="32">
        <v>8727.9500000000007</v>
      </c>
    </row>
    <row r="501" spans="1:11" ht="15.5" x14ac:dyDescent="0.35">
      <c r="A501" s="31">
        <v>45124</v>
      </c>
      <c r="B501" s="32" t="s">
        <v>20</v>
      </c>
      <c r="C501" s="32" t="s">
        <v>21</v>
      </c>
      <c r="D501" s="32" t="s">
        <v>34</v>
      </c>
      <c r="E501" s="32" t="s">
        <v>11</v>
      </c>
      <c r="F501" s="32">
        <v>5</v>
      </c>
      <c r="G501" s="32">
        <v>3</v>
      </c>
      <c r="H501" s="32" t="s">
        <v>55</v>
      </c>
      <c r="I501" s="32">
        <v>32</v>
      </c>
      <c r="J501" s="32">
        <v>2040.38</v>
      </c>
      <c r="K501" s="32">
        <v>6121.14</v>
      </c>
    </row>
    <row r="502" spans="1:11" ht="15.5" hidden="1" x14ac:dyDescent="0.35">
      <c r="A502" s="31">
        <v>44985</v>
      </c>
      <c r="B502" s="32" t="s">
        <v>8</v>
      </c>
      <c r="C502" s="32" t="s">
        <v>9</v>
      </c>
      <c r="D502" s="32" t="s">
        <v>10</v>
      </c>
      <c r="E502" s="32" t="s">
        <v>18</v>
      </c>
      <c r="F502" s="32">
        <v>4</v>
      </c>
      <c r="G502" s="32">
        <v>4</v>
      </c>
      <c r="H502" s="32" t="s">
        <v>56</v>
      </c>
      <c r="I502" s="32">
        <v>40</v>
      </c>
      <c r="J502" s="32">
        <v>1080.1600000000001</v>
      </c>
      <c r="K502" s="32">
        <v>4320.6400000000003</v>
      </c>
    </row>
    <row r="503" spans="1:11" ht="15.5" hidden="1" x14ac:dyDescent="0.35">
      <c r="A503" s="31">
        <v>45129</v>
      </c>
      <c r="B503" s="32" t="s">
        <v>8</v>
      </c>
      <c r="C503" s="32" t="s">
        <v>9</v>
      </c>
      <c r="D503" s="32" t="s">
        <v>10</v>
      </c>
      <c r="E503" s="32" t="s">
        <v>15</v>
      </c>
      <c r="F503" s="32">
        <v>1</v>
      </c>
      <c r="G503" s="32">
        <v>20</v>
      </c>
      <c r="H503" s="32" t="s">
        <v>57</v>
      </c>
      <c r="I503" s="32">
        <v>50</v>
      </c>
      <c r="J503" s="32">
        <v>2631.58</v>
      </c>
      <c r="K503" s="32">
        <v>52631.6</v>
      </c>
    </row>
    <row r="504" spans="1:11" ht="15.5" hidden="1" x14ac:dyDescent="0.35">
      <c r="A504" s="31">
        <v>44987</v>
      </c>
      <c r="B504" s="32" t="s">
        <v>8</v>
      </c>
      <c r="C504" s="32" t="s">
        <v>28</v>
      </c>
      <c r="D504" s="32" t="s">
        <v>29</v>
      </c>
      <c r="E504" s="32" t="s">
        <v>15</v>
      </c>
      <c r="F504" s="32">
        <v>1</v>
      </c>
      <c r="G504" s="32">
        <v>18</v>
      </c>
      <c r="H504" s="32" t="s">
        <v>58</v>
      </c>
      <c r="I504" s="32">
        <v>48</v>
      </c>
      <c r="J504" s="32">
        <v>1164.29</v>
      </c>
      <c r="K504" s="32">
        <v>20957.22</v>
      </c>
    </row>
    <row r="505" spans="1:11" ht="15.5" x14ac:dyDescent="0.35">
      <c r="A505" s="31">
        <v>45257</v>
      </c>
      <c r="B505" s="32" t="s">
        <v>8</v>
      </c>
      <c r="C505" s="32" t="s">
        <v>9</v>
      </c>
      <c r="D505" s="32" t="s">
        <v>31</v>
      </c>
      <c r="E505" s="32" t="s">
        <v>11</v>
      </c>
      <c r="F505" s="32">
        <v>5</v>
      </c>
      <c r="G505" s="32">
        <v>6</v>
      </c>
      <c r="H505" s="32" t="s">
        <v>59</v>
      </c>
      <c r="I505" s="32">
        <v>53</v>
      </c>
      <c r="J505" s="32">
        <v>177.34</v>
      </c>
      <c r="K505" s="32">
        <v>1064.04</v>
      </c>
    </row>
    <row r="506" spans="1:11" ht="15.5" hidden="1" x14ac:dyDescent="0.35">
      <c r="A506" s="31">
        <v>45279</v>
      </c>
      <c r="B506" s="32" t="s">
        <v>8</v>
      </c>
      <c r="C506" s="32" t="s">
        <v>9</v>
      </c>
      <c r="D506" s="32" t="s">
        <v>10</v>
      </c>
      <c r="E506" s="32" t="s">
        <v>15</v>
      </c>
      <c r="F506" s="32">
        <v>1</v>
      </c>
      <c r="G506" s="32">
        <v>20</v>
      </c>
      <c r="H506" s="32" t="s">
        <v>48</v>
      </c>
      <c r="I506" s="32">
        <v>18</v>
      </c>
      <c r="J506" s="32">
        <v>1507.52</v>
      </c>
      <c r="K506" s="32">
        <v>30150.400000000001</v>
      </c>
    </row>
    <row r="507" spans="1:11" ht="15.5" x14ac:dyDescent="0.35">
      <c r="A507" s="31">
        <v>45073</v>
      </c>
      <c r="B507" s="32" t="s">
        <v>8</v>
      </c>
      <c r="C507" s="32" t="s">
        <v>9</v>
      </c>
      <c r="D507" s="32" t="s">
        <v>31</v>
      </c>
      <c r="E507" s="32" t="s">
        <v>11</v>
      </c>
      <c r="F507" s="32">
        <v>5</v>
      </c>
      <c r="G507" s="32">
        <v>10</v>
      </c>
      <c r="H507" s="32" t="s">
        <v>49</v>
      </c>
      <c r="I507" s="32">
        <v>29</v>
      </c>
      <c r="J507" s="32">
        <v>938.57</v>
      </c>
      <c r="K507" s="32">
        <v>9385.7000000000007</v>
      </c>
    </row>
    <row r="508" spans="1:11" ht="15.5" x14ac:dyDescent="0.35">
      <c r="A508" s="31">
        <v>45043</v>
      </c>
      <c r="B508" s="32" t="s">
        <v>12</v>
      </c>
      <c r="C508" s="32" t="s">
        <v>13</v>
      </c>
      <c r="D508" s="32" t="s">
        <v>14</v>
      </c>
      <c r="E508" s="32" t="s">
        <v>11</v>
      </c>
      <c r="F508" s="32">
        <v>5</v>
      </c>
      <c r="G508" s="32">
        <v>18</v>
      </c>
      <c r="H508" s="32" t="s">
        <v>50</v>
      </c>
      <c r="I508" s="32">
        <v>38</v>
      </c>
      <c r="J508" s="32">
        <v>1156.17</v>
      </c>
      <c r="K508" s="32">
        <v>20811.060000000001</v>
      </c>
    </row>
    <row r="509" spans="1:11" ht="15.5" x14ac:dyDescent="0.35">
      <c r="A509" s="31">
        <v>45225</v>
      </c>
      <c r="B509" s="32" t="s">
        <v>8</v>
      </c>
      <c r="C509" s="32" t="s">
        <v>9</v>
      </c>
      <c r="D509" s="32" t="s">
        <v>10</v>
      </c>
      <c r="E509" s="32" t="s">
        <v>11</v>
      </c>
      <c r="F509" s="32">
        <v>5</v>
      </c>
      <c r="G509" s="32">
        <v>4</v>
      </c>
      <c r="H509" s="32" t="s">
        <v>51</v>
      </c>
      <c r="I509" s="32">
        <v>18</v>
      </c>
      <c r="J509" s="32">
        <v>4386.54</v>
      </c>
      <c r="K509" s="32">
        <v>17546.16</v>
      </c>
    </row>
    <row r="510" spans="1:11" ht="15.5" hidden="1" x14ac:dyDescent="0.35">
      <c r="A510" s="31">
        <v>45245</v>
      </c>
      <c r="B510" s="32" t="s">
        <v>20</v>
      </c>
      <c r="C510" s="32" t="s">
        <v>21</v>
      </c>
      <c r="D510" s="32" t="s">
        <v>34</v>
      </c>
      <c r="E510" s="32" t="s">
        <v>15</v>
      </c>
      <c r="F510" s="32">
        <v>1</v>
      </c>
      <c r="G510" s="32">
        <v>6</v>
      </c>
      <c r="H510" s="32" t="s">
        <v>52</v>
      </c>
      <c r="I510" s="32">
        <v>36</v>
      </c>
      <c r="J510" s="32">
        <v>3175.44</v>
      </c>
      <c r="K510" s="32">
        <v>19052.64</v>
      </c>
    </row>
    <row r="511" spans="1:11" ht="15.5" hidden="1" x14ac:dyDescent="0.35">
      <c r="A511" s="31">
        <v>45044</v>
      </c>
      <c r="B511" s="32" t="s">
        <v>8</v>
      </c>
      <c r="C511" s="32" t="s">
        <v>9</v>
      </c>
      <c r="D511" s="32" t="s">
        <v>23</v>
      </c>
      <c r="E511" s="32" t="s">
        <v>18</v>
      </c>
      <c r="F511" s="32">
        <v>4</v>
      </c>
      <c r="G511" s="32">
        <v>12</v>
      </c>
      <c r="H511" s="32" t="s">
        <v>53</v>
      </c>
      <c r="I511" s="32">
        <v>26</v>
      </c>
      <c r="J511" s="32">
        <v>992.16</v>
      </c>
      <c r="K511" s="32">
        <v>11905.92</v>
      </c>
    </row>
    <row r="512" spans="1:11" ht="15.5" hidden="1" x14ac:dyDescent="0.35">
      <c r="A512" s="31">
        <v>45209</v>
      </c>
      <c r="B512" s="32" t="s">
        <v>8</v>
      </c>
      <c r="C512" s="32" t="s">
        <v>9</v>
      </c>
      <c r="D512" s="32" t="s">
        <v>23</v>
      </c>
      <c r="E512" s="32" t="s">
        <v>15</v>
      </c>
      <c r="F512" s="32">
        <v>1</v>
      </c>
      <c r="G512" s="32">
        <v>15</v>
      </c>
      <c r="H512" s="32" t="s">
        <v>54</v>
      </c>
      <c r="I512" s="32">
        <v>43</v>
      </c>
      <c r="J512" s="32">
        <v>2148.0100000000002</v>
      </c>
      <c r="K512" s="32">
        <v>32220.15</v>
      </c>
    </row>
    <row r="513" spans="1:11" ht="15.5" hidden="1" x14ac:dyDescent="0.35">
      <c r="A513" s="31">
        <v>44936</v>
      </c>
      <c r="B513" s="32" t="s">
        <v>12</v>
      </c>
      <c r="C513" s="32" t="s">
        <v>16</v>
      </c>
      <c r="D513" s="32" t="s">
        <v>19</v>
      </c>
      <c r="E513" s="32" t="s">
        <v>27</v>
      </c>
      <c r="F513" s="32">
        <v>2</v>
      </c>
      <c r="G513" s="32">
        <v>11</v>
      </c>
      <c r="H513" s="32" t="s">
        <v>55</v>
      </c>
      <c r="I513" s="32">
        <v>28</v>
      </c>
      <c r="J513" s="32">
        <v>2491.8000000000002</v>
      </c>
      <c r="K513" s="32">
        <v>27409.8</v>
      </c>
    </row>
    <row r="514" spans="1:11" ht="15.5" hidden="1" x14ac:dyDescent="0.35">
      <c r="A514" s="31">
        <v>44940</v>
      </c>
      <c r="B514" s="32" t="s">
        <v>12</v>
      </c>
      <c r="C514" s="32" t="s">
        <v>16</v>
      </c>
      <c r="D514" s="32" t="s">
        <v>17</v>
      </c>
      <c r="E514" s="32" t="s">
        <v>27</v>
      </c>
      <c r="F514" s="32">
        <v>2</v>
      </c>
      <c r="G514" s="32">
        <v>14</v>
      </c>
      <c r="H514" s="32" t="s">
        <v>56</v>
      </c>
      <c r="I514" s="32">
        <v>16</v>
      </c>
      <c r="J514" s="32">
        <v>1293.27</v>
      </c>
      <c r="K514" s="32">
        <v>18105.78</v>
      </c>
    </row>
    <row r="515" spans="1:11" ht="15.5" hidden="1" x14ac:dyDescent="0.35">
      <c r="A515" s="31">
        <v>44958</v>
      </c>
      <c r="B515" s="32" t="s">
        <v>8</v>
      </c>
      <c r="C515" s="32" t="s">
        <v>28</v>
      </c>
      <c r="D515" s="32" t="s">
        <v>29</v>
      </c>
      <c r="E515" s="32" t="s">
        <v>24</v>
      </c>
      <c r="F515" s="32">
        <v>3</v>
      </c>
      <c r="G515" s="32">
        <v>17</v>
      </c>
      <c r="H515" s="32" t="s">
        <v>57</v>
      </c>
      <c r="I515" s="32">
        <v>24</v>
      </c>
      <c r="J515" s="32">
        <v>1356.25</v>
      </c>
      <c r="K515" s="32">
        <v>23056.25</v>
      </c>
    </row>
    <row r="516" spans="1:11" ht="15.5" x14ac:dyDescent="0.35">
      <c r="A516" s="31">
        <v>44984</v>
      </c>
      <c r="B516" s="32" t="s">
        <v>8</v>
      </c>
      <c r="C516" s="32" t="s">
        <v>9</v>
      </c>
      <c r="D516" s="32" t="s">
        <v>23</v>
      </c>
      <c r="E516" s="32" t="s">
        <v>11</v>
      </c>
      <c r="F516" s="32">
        <v>5</v>
      </c>
      <c r="G516" s="32">
        <v>2</v>
      </c>
      <c r="H516" s="32" t="s">
        <v>58</v>
      </c>
      <c r="I516" s="32">
        <v>20</v>
      </c>
      <c r="J516" s="32">
        <v>2875.84</v>
      </c>
      <c r="K516" s="32">
        <v>5751.68</v>
      </c>
    </row>
    <row r="517" spans="1:11" ht="15.5" hidden="1" x14ac:dyDescent="0.35">
      <c r="A517" s="31">
        <v>45054</v>
      </c>
      <c r="B517" s="32" t="s">
        <v>8</v>
      </c>
      <c r="C517" s="32" t="s">
        <v>28</v>
      </c>
      <c r="D517" s="32" t="s">
        <v>29</v>
      </c>
      <c r="E517" s="32" t="s">
        <v>27</v>
      </c>
      <c r="F517" s="32">
        <v>2</v>
      </c>
      <c r="G517" s="32">
        <v>3</v>
      </c>
      <c r="H517" s="32" t="s">
        <v>59</v>
      </c>
      <c r="I517" s="32">
        <v>35</v>
      </c>
      <c r="J517" s="32">
        <v>3861.09</v>
      </c>
      <c r="K517" s="32">
        <v>11583.27</v>
      </c>
    </row>
    <row r="518" spans="1:11" ht="15.5" hidden="1" x14ac:dyDescent="0.35">
      <c r="A518" s="31">
        <v>45207</v>
      </c>
      <c r="B518" s="32" t="s">
        <v>8</v>
      </c>
      <c r="C518" s="32" t="s">
        <v>9</v>
      </c>
      <c r="D518" s="32" t="s">
        <v>31</v>
      </c>
      <c r="E518" s="32" t="s">
        <v>15</v>
      </c>
      <c r="F518" s="32">
        <v>1</v>
      </c>
      <c r="G518" s="32">
        <v>19</v>
      </c>
      <c r="H518" s="32" t="s">
        <v>48</v>
      </c>
      <c r="I518" s="32">
        <v>41</v>
      </c>
      <c r="J518" s="32">
        <v>182.01</v>
      </c>
      <c r="K518" s="32">
        <v>3458.19</v>
      </c>
    </row>
    <row r="519" spans="1:11" ht="15.5" x14ac:dyDescent="0.35">
      <c r="A519" s="31">
        <v>44932</v>
      </c>
      <c r="B519" s="32" t="s">
        <v>12</v>
      </c>
      <c r="C519" s="32" t="s">
        <v>16</v>
      </c>
      <c r="D519" s="32" t="s">
        <v>17</v>
      </c>
      <c r="E519" s="32" t="s">
        <v>11</v>
      </c>
      <c r="F519" s="32">
        <v>5</v>
      </c>
      <c r="G519" s="32">
        <v>2</v>
      </c>
      <c r="H519" s="32" t="s">
        <v>49</v>
      </c>
      <c r="I519" s="32">
        <v>42</v>
      </c>
      <c r="J519" s="32">
        <v>1582.65</v>
      </c>
      <c r="K519" s="32">
        <v>3165.3</v>
      </c>
    </row>
    <row r="520" spans="1:11" ht="15.5" hidden="1" x14ac:dyDescent="0.35">
      <c r="A520" s="31">
        <v>45282</v>
      </c>
      <c r="B520" s="32" t="s">
        <v>20</v>
      </c>
      <c r="C520" s="32" t="s">
        <v>21</v>
      </c>
      <c r="D520" s="32" t="s">
        <v>22</v>
      </c>
      <c r="E520" s="32" t="s">
        <v>15</v>
      </c>
      <c r="F520" s="32">
        <v>1</v>
      </c>
      <c r="G520" s="32">
        <v>12</v>
      </c>
      <c r="H520" s="32" t="s">
        <v>50</v>
      </c>
      <c r="I520" s="32">
        <v>43</v>
      </c>
      <c r="J520" s="32">
        <v>538.91</v>
      </c>
      <c r="K520" s="32">
        <v>6466.92</v>
      </c>
    </row>
    <row r="521" spans="1:11" ht="15.5" hidden="1" x14ac:dyDescent="0.35">
      <c r="A521" s="31">
        <v>45040</v>
      </c>
      <c r="B521" s="32" t="s">
        <v>8</v>
      </c>
      <c r="C521" s="32" t="s">
        <v>9</v>
      </c>
      <c r="D521" s="32" t="s">
        <v>23</v>
      </c>
      <c r="E521" s="32" t="s">
        <v>27</v>
      </c>
      <c r="F521" s="32">
        <v>2</v>
      </c>
      <c r="G521" s="32">
        <v>19</v>
      </c>
      <c r="H521" s="32" t="s">
        <v>51</v>
      </c>
      <c r="I521" s="32">
        <v>52</v>
      </c>
      <c r="J521" s="32">
        <v>4943.6899999999996</v>
      </c>
      <c r="K521" s="32">
        <v>93930.11</v>
      </c>
    </row>
    <row r="522" spans="1:11" ht="15.5" x14ac:dyDescent="0.35">
      <c r="A522" s="31">
        <v>45076</v>
      </c>
      <c r="B522" s="32" t="s">
        <v>12</v>
      </c>
      <c r="C522" s="32" t="s">
        <v>16</v>
      </c>
      <c r="D522" s="32" t="s">
        <v>25</v>
      </c>
      <c r="E522" s="32" t="s">
        <v>11</v>
      </c>
      <c r="F522" s="32">
        <v>5</v>
      </c>
      <c r="G522" s="32">
        <v>1</v>
      </c>
      <c r="H522" s="32" t="s">
        <v>52</v>
      </c>
      <c r="I522" s="32">
        <v>37</v>
      </c>
      <c r="J522" s="32">
        <v>2664.84</v>
      </c>
      <c r="K522" s="32">
        <v>2664.84</v>
      </c>
    </row>
    <row r="523" spans="1:11" ht="15.5" hidden="1" x14ac:dyDescent="0.35">
      <c r="A523" s="31">
        <v>45074</v>
      </c>
      <c r="B523" s="32" t="s">
        <v>8</v>
      </c>
      <c r="C523" s="32" t="s">
        <v>28</v>
      </c>
      <c r="D523" s="32" t="s">
        <v>29</v>
      </c>
      <c r="E523" s="32" t="s">
        <v>18</v>
      </c>
      <c r="F523" s="32">
        <v>4</v>
      </c>
      <c r="G523" s="32">
        <v>5</v>
      </c>
      <c r="H523" s="32" t="s">
        <v>53</v>
      </c>
      <c r="I523" s="32">
        <v>36</v>
      </c>
      <c r="J523" s="32">
        <v>877.62</v>
      </c>
      <c r="K523" s="32">
        <v>4388.1000000000004</v>
      </c>
    </row>
    <row r="524" spans="1:11" ht="15.5" hidden="1" x14ac:dyDescent="0.35">
      <c r="A524" s="31">
        <v>45059</v>
      </c>
      <c r="B524" s="32" t="s">
        <v>8</v>
      </c>
      <c r="C524" s="32" t="s">
        <v>28</v>
      </c>
      <c r="D524" s="32" t="s">
        <v>30</v>
      </c>
      <c r="E524" s="32" t="s">
        <v>15</v>
      </c>
      <c r="F524" s="32">
        <v>1</v>
      </c>
      <c r="G524" s="32">
        <v>3</v>
      </c>
      <c r="H524" s="32" t="s">
        <v>54</v>
      </c>
      <c r="I524" s="32">
        <v>20</v>
      </c>
      <c r="J524" s="32">
        <v>4059.76</v>
      </c>
      <c r="K524" s="32">
        <v>12179.28</v>
      </c>
    </row>
    <row r="525" spans="1:11" ht="15.5" hidden="1" x14ac:dyDescent="0.35">
      <c r="A525" s="31">
        <v>45200</v>
      </c>
      <c r="B525" s="32" t="s">
        <v>8</v>
      </c>
      <c r="C525" s="32" t="s">
        <v>9</v>
      </c>
      <c r="D525" s="32" t="s">
        <v>23</v>
      </c>
      <c r="E525" s="32" t="s">
        <v>24</v>
      </c>
      <c r="F525" s="32">
        <v>3</v>
      </c>
      <c r="G525" s="32">
        <v>16</v>
      </c>
      <c r="H525" s="32" t="s">
        <v>55</v>
      </c>
      <c r="I525" s="32">
        <v>34</v>
      </c>
      <c r="J525" s="32">
        <v>3988.32</v>
      </c>
      <c r="K525" s="32">
        <v>63813.120000000003</v>
      </c>
    </row>
    <row r="526" spans="1:11" ht="15.5" hidden="1" x14ac:dyDescent="0.35">
      <c r="A526" s="31">
        <v>45241</v>
      </c>
      <c r="B526" s="32" t="s">
        <v>8</v>
      </c>
      <c r="C526" s="32" t="s">
        <v>28</v>
      </c>
      <c r="D526" s="32" t="s">
        <v>32</v>
      </c>
      <c r="E526" s="32" t="s">
        <v>24</v>
      </c>
      <c r="F526" s="32">
        <v>3</v>
      </c>
      <c r="G526" s="32">
        <v>16</v>
      </c>
      <c r="H526" s="32" t="s">
        <v>56</v>
      </c>
      <c r="I526" s="32">
        <v>28</v>
      </c>
      <c r="J526" s="32">
        <v>1023.78</v>
      </c>
      <c r="K526" s="32">
        <v>16380.48</v>
      </c>
    </row>
    <row r="527" spans="1:11" ht="15.5" hidden="1" x14ac:dyDescent="0.35">
      <c r="A527" s="31">
        <v>44930</v>
      </c>
      <c r="B527" s="32" t="s">
        <v>8</v>
      </c>
      <c r="C527" s="32" t="s">
        <v>28</v>
      </c>
      <c r="D527" s="32" t="s">
        <v>32</v>
      </c>
      <c r="E527" s="32" t="s">
        <v>27</v>
      </c>
      <c r="F527" s="32">
        <v>2</v>
      </c>
      <c r="G527" s="32">
        <v>4</v>
      </c>
      <c r="H527" s="32" t="s">
        <v>57</v>
      </c>
      <c r="I527" s="32">
        <v>46</v>
      </c>
      <c r="J527" s="32">
        <v>1027.32</v>
      </c>
      <c r="K527" s="32">
        <v>4109.28</v>
      </c>
    </row>
    <row r="528" spans="1:11" ht="15.5" hidden="1" x14ac:dyDescent="0.35">
      <c r="A528" s="31">
        <v>45194</v>
      </c>
      <c r="B528" s="32" t="s">
        <v>8</v>
      </c>
      <c r="C528" s="32" t="s">
        <v>9</v>
      </c>
      <c r="D528" s="32" t="s">
        <v>23</v>
      </c>
      <c r="E528" s="32" t="s">
        <v>15</v>
      </c>
      <c r="F528" s="32">
        <v>1</v>
      </c>
      <c r="G528" s="32">
        <v>7</v>
      </c>
      <c r="H528" s="32" t="s">
        <v>58</v>
      </c>
      <c r="I528" s="32">
        <v>27</v>
      </c>
      <c r="J528" s="32">
        <v>392.9</v>
      </c>
      <c r="K528" s="32">
        <v>2750.3</v>
      </c>
    </row>
    <row r="529" spans="1:11" ht="15.5" hidden="1" x14ac:dyDescent="0.35">
      <c r="A529" s="31">
        <v>45040</v>
      </c>
      <c r="B529" s="32" t="s">
        <v>12</v>
      </c>
      <c r="C529" s="32" t="s">
        <v>13</v>
      </c>
      <c r="D529" s="32" t="s">
        <v>14</v>
      </c>
      <c r="E529" s="32" t="s">
        <v>15</v>
      </c>
      <c r="F529" s="32">
        <v>1</v>
      </c>
      <c r="G529" s="32">
        <v>7</v>
      </c>
      <c r="H529" s="32" t="s">
        <v>59</v>
      </c>
      <c r="I529" s="32">
        <v>52</v>
      </c>
      <c r="J529" s="32">
        <v>1590.73</v>
      </c>
      <c r="K529" s="32">
        <v>11135.11</v>
      </c>
    </row>
    <row r="530" spans="1:11" ht="15.5" hidden="1" x14ac:dyDescent="0.35">
      <c r="A530" s="31">
        <v>45257</v>
      </c>
      <c r="B530" s="32" t="s">
        <v>12</v>
      </c>
      <c r="C530" s="32" t="s">
        <v>13</v>
      </c>
      <c r="D530" s="32" t="s">
        <v>14</v>
      </c>
      <c r="E530" s="32" t="s">
        <v>15</v>
      </c>
      <c r="F530" s="32">
        <v>1</v>
      </c>
      <c r="G530" s="32">
        <v>8</v>
      </c>
      <c r="H530" s="32" t="s">
        <v>48</v>
      </c>
      <c r="I530" s="32">
        <v>55</v>
      </c>
      <c r="J530" s="32">
        <v>3120.6</v>
      </c>
      <c r="K530" s="32">
        <v>24964.799999999999</v>
      </c>
    </row>
    <row r="531" spans="1:11" ht="15.5" x14ac:dyDescent="0.35">
      <c r="A531" s="31">
        <v>45257</v>
      </c>
      <c r="B531" s="32" t="s">
        <v>12</v>
      </c>
      <c r="C531" s="32" t="s">
        <v>13</v>
      </c>
      <c r="D531" s="32" t="s">
        <v>14</v>
      </c>
      <c r="E531" s="32" t="s">
        <v>11</v>
      </c>
      <c r="F531" s="32">
        <v>5</v>
      </c>
      <c r="G531" s="32">
        <v>7</v>
      </c>
      <c r="H531" s="32" t="s">
        <v>49</v>
      </c>
      <c r="I531" s="32">
        <v>55</v>
      </c>
      <c r="J531" s="32">
        <v>633.15</v>
      </c>
      <c r="K531" s="32">
        <v>4432.05</v>
      </c>
    </row>
    <row r="532" spans="1:11" ht="15.5" hidden="1" x14ac:dyDescent="0.35">
      <c r="A532" s="31">
        <v>45226</v>
      </c>
      <c r="B532" s="32" t="s">
        <v>12</v>
      </c>
      <c r="C532" s="32" t="s">
        <v>16</v>
      </c>
      <c r="D532" s="32" t="s">
        <v>25</v>
      </c>
      <c r="E532" s="32" t="s">
        <v>15</v>
      </c>
      <c r="F532" s="32">
        <v>1</v>
      </c>
      <c r="G532" s="32">
        <v>1</v>
      </c>
      <c r="H532" s="32" t="s">
        <v>50</v>
      </c>
      <c r="I532" s="32">
        <v>22</v>
      </c>
      <c r="J532" s="32">
        <v>4443.22</v>
      </c>
      <c r="K532" s="32">
        <v>4443.22</v>
      </c>
    </row>
    <row r="533" spans="1:11" ht="15.5" hidden="1" x14ac:dyDescent="0.35">
      <c r="A533" s="31">
        <v>45058</v>
      </c>
      <c r="B533" s="32" t="s">
        <v>20</v>
      </c>
      <c r="C533" s="32" t="s">
        <v>21</v>
      </c>
      <c r="D533" s="32" t="s">
        <v>34</v>
      </c>
      <c r="E533" s="32" t="s">
        <v>15</v>
      </c>
      <c r="F533" s="32">
        <v>1</v>
      </c>
      <c r="G533" s="32">
        <v>16</v>
      </c>
      <c r="H533" s="32" t="s">
        <v>51</v>
      </c>
      <c r="I533" s="32">
        <v>35</v>
      </c>
      <c r="J533" s="32">
        <v>199.87</v>
      </c>
      <c r="K533" s="32">
        <v>3197.92</v>
      </c>
    </row>
    <row r="534" spans="1:11" ht="15.5" hidden="1" x14ac:dyDescent="0.35">
      <c r="A534" s="31">
        <v>45022</v>
      </c>
      <c r="B534" s="32" t="s">
        <v>8</v>
      </c>
      <c r="C534" s="32" t="s">
        <v>28</v>
      </c>
      <c r="D534" s="32" t="s">
        <v>32</v>
      </c>
      <c r="E534" s="32" t="s">
        <v>18</v>
      </c>
      <c r="F534" s="32">
        <v>4</v>
      </c>
      <c r="G534" s="32">
        <v>3</v>
      </c>
      <c r="H534" s="32" t="s">
        <v>52</v>
      </c>
      <c r="I534" s="32">
        <v>48</v>
      </c>
      <c r="J534" s="32">
        <v>1129.83</v>
      </c>
      <c r="K534" s="32">
        <v>3389.49</v>
      </c>
    </row>
    <row r="535" spans="1:11" ht="15.5" hidden="1" x14ac:dyDescent="0.35">
      <c r="A535" s="31">
        <v>45055</v>
      </c>
      <c r="B535" s="32" t="s">
        <v>12</v>
      </c>
      <c r="C535" s="32" t="s">
        <v>13</v>
      </c>
      <c r="D535" s="32" t="s">
        <v>33</v>
      </c>
      <c r="E535" s="32" t="s">
        <v>15</v>
      </c>
      <c r="F535" s="32">
        <v>1</v>
      </c>
      <c r="G535" s="32">
        <v>16</v>
      </c>
      <c r="H535" s="32" t="s">
        <v>53</v>
      </c>
      <c r="I535" s="32">
        <v>31</v>
      </c>
      <c r="J535" s="32">
        <v>502.59</v>
      </c>
      <c r="K535" s="32">
        <v>8041.44</v>
      </c>
    </row>
    <row r="536" spans="1:11" ht="15.5" hidden="1" x14ac:dyDescent="0.35">
      <c r="A536" s="31">
        <v>45158</v>
      </c>
      <c r="B536" s="32" t="s">
        <v>8</v>
      </c>
      <c r="C536" s="32" t="s">
        <v>28</v>
      </c>
      <c r="D536" s="32" t="s">
        <v>32</v>
      </c>
      <c r="E536" s="32" t="s">
        <v>18</v>
      </c>
      <c r="F536" s="32">
        <v>4</v>
      </c>
      <c r="G536" s="32">
        <v>17</v>
      </c>
      <c r="H536" s="32" t="s">
        <v>54</v>
      </c>
      <c r="I536" s="32">
        <v>17</v>
      </c>
      <c r="J536" s="32">
        <v>1217.48</v>
      </c>
      <c r="K536" s="32">
        <v>20697.16</v>
      </c>
    </row>
    <row r="537" spans="1:11" ht="15.5" x14ac:dyDescent="0.35">
      <c r="A537" s="31">
        <v>44932</v>
      </c>
      <c r="B537" s="32" t="s">
        <v>20</v>
      </c>
      <c r="C537" s="32" t="s">
        <v>21</v>
      </c>
      <c r="D537" s="32" t="s">
        <v>35</v>
      </c>
      <c r="E537" s="32" t="s">
        <v>11</v>
      </c>
      <c r="F537" s="32">
        <v>5</v>
      </c>
      <c r="G537" s="32">
        <v>6</v>
      </c>
      <c r="H537" s="32" t="s">
        <v>55</v>
      </c>
      <c r="I537" s="32">
        <v>36</v>
      </c>
      <c r="J537" s="32">
        <v>4673.01</v>
      </c>
      <c r="K537" s="32">
        <v>28038.06</v>
      </c>
    </row>
    <row r="538" spans="1:11" ht="15.5" x14ac:dyDescent="0.35">
      <c r="A538" s="31">
        <v>45006</v>
      </c>
      <c r="B538" s="32" t="s">
        <v>8</v>
      </c>
      <c r="C538" s="32" t="s">
        <v>9</v>
      </c>
      <c r="D538" s="32" t="s">
        <v>31</v>
      </c>
      <c r="E538" s="32" t="s">
        <v>11</v>
      </c>
      <c r="F538" s="32">
        <v>5</v>
      </c>
      <c r="G538" s="32">
        <v>19</v>
      </c>
      <c r="H538" s="32" t="s">
        <v>56</v>
      </c>
      <c r="I538" s="32">
        <v>34</v>
      </c>
      <c r="J538" s="32">
        <v>4229.42</v>
      </c>
      <c r="K538" s="32">
        <v>80358.98</v>
      </c>
    </row>
    <row r="539" spans="1:11" ht="15.5" x14ac:dyDescent="0.35">
      <c r="A539" s="31">
        <v>45163</v>
      </c>
      <c r="B539" s="32" t="s">
        <v>8</v>
      </c>
      <c r="C539" s="32" t="s">
        <v>9</v>
      </c>
      <c r="D539" s="32" t="s">
        <v>10</v>
      </c>
      <c r="E539" s="32" t="s">
        <v>11</v>
      </c>
      <c r="F539" s="32">
        <v>5</v>
      </c>
      <c r="G539" s="32">
        <v>16</v>
      </c>
      <c r="H539" s="32" t="s">
        <v>57</v>
      </c>
      <c r="I539" s="32">
        <v>40</v>
      </c>
      <c r="J539" s="32">
        <v>3580.79</v>
      </c>
      <c r="K539" s="32">
        <v>57292.639999999999</v>
      </c>
    </row>
    <row r="540" spans="1:11" ht="15.5" hidden="1" x14ac:dyDescent="0.35">
      <c r="A540" s="31">
        <v>45037</v>
      </c>
      <c r="B540" s="32" t="s">
        <v>20</v>
      </c>
      <c r="C540" s="32" t="s">
        <v>21</v>
      </c>
      <c r="D540" s="32" t="s">
        <v>35</v>
      </c>
      <c r="E540" s="32" t="s">
        <v>15</v>
      </c>
      <c r="F540" s="32">
        <v>1</v>
      </c>
      <c r="G540" s="32">
        <v>5</v>
      </c>
      <c r="H540" s="32" t="s">
        <v>58</v>
      </c>
      <c r="I540" s="32">
        <v>21</v>
      </c>
      <c r="J540" s="32">
        <v>3181.48</v>
      </c>
      <c r="K540" s="32">
        <v>15907.4</v>
      </c>
    </row>
    <row r="541" spans="1:11" ht="15.5" hidden="1" x14ac:dyDescent="0.35">
      <c r="A541" s="31">
        <v>45076</v>
      </c>
      <c r="B541" s="32" t="s">
        <v>12</v>
      </c>
      <c r="C541" s="32" t="s">
        <v>13</v>
      </c>
      <c r="D541" s="32" t="s">
        <v>14</v>
      </c>
      <c r="E541" s="32" t="s">
        <v>24</v>
      </c>
      <c r="F541" s="32">
        <v>3</v>
      </c>
      <c r="G541" s="32">
        <v>8</v>
      </c>
      <c r="H541" s="32" t="s">
        <v>59</v>
      </c>
      <c r="I541" s="32">
        <v>25</v>
      </c>
      <c r="J541" s="32">
        <v>659.36</v>
      </c>
      <c r="K541" s="32">
        <v>5274.88</v>
      </c>
    </row>
    <row r="542" spans="1:11" ht="15.5" hidden="1" x14ac:dyDescent="0.35">
      <c r="A542" s="31">
        <v>45110</v>
      </c>
      <c r="B542" s="32" t="s">
        <v>20</v>
      </c>
      <c r="C542" s="32" t="s">
        <v>21</v>
      </c>
      <c r="D542" s="32" t="s">
        <v>22</v>
      </c>
      <c r="E542" s="32" t="s">
        <v>15</v>
      </c>
      <c r="F542" s="32">
        <v>1</v>
      </c>
      <c r="G542" s="32">
        <v>17</v>
      </c>
      <c r="H542" s="32" t="s">
        <v>48</v>
      </c>
      <c r="I542" s="32">
        <v>50</v>
      </c>
      <c r="J542" s="32">
        <v>2045.39</v>
      </c>
      <c r="K542" s="32">
        <v>34771.629999999997</v>
      </c>
    </row>
    <row r="543" spans="1:11" ht="15.5" hidden="1" x14ac:dyDescent="0.35">
      <c r="A543" s="31">
        <v>45159</v>
      </c>
      <c r="B543" s="32" t="s">
        <v>12</v>
      </c>
      <c r="C543" s="32" t="s">
        <v>16</v>
      </c>
      <c r="D543" s="32" t="s">
        <v>17</v>
      </c>
      <c r="E543" s="32" t="s">
        <v>18</v>
      </c>
      <c r="F543" s="32">
        <v>4</v>
      </c>
      <c r="G543" s="32">
        <v>7</v>
      </c>
      <c r="H543" s="32" t="s">
        <v>49</v>
      </c>
      <c r="I543" s="32">
        <v>26</v>
      </c>
      <c r="J543" s="32">
        <v>711.35</v>
      </c>
      <c r="K543" s="32">
        <v>4979.45</v>
      </c>
    </row>
    <row r="544" spans="1:11" ht="15.5" hidden="1" x14ac:dyDescent="0.35">
      <c r="A544" s="31">
        <v>44930</v>
      </c>
      <c r="B544" s="32" t="s">
        <v>12</v>
      </c>
      <c r="C544" s="32" t="s">
        <v>16</v>
      </c>
      <c r="D544" s="32" t="s">
        <v>19</v>
      </c>
      <c r="E544" s="32" t="s">
        <v>27</v>
      </c>
      <c r="F544" s="32">
        <v>2</v>
      </c>
      <c r="G544" s="32">
        <v>13</v>
      </c>
      <c r="H544" s="32" t="s">
        <v>50</v>
      </c>
      <c r="I544" s="32">
        <v>23</v>
      </c>
      <c r="J544" s="32">
        <v>2913.56</v>
      </c>
      <c r="K544" s="32">
        <v>37876.28</v>
      </c>
    </row>
    <row r="545" spans="1:11" ht="15.5" hidden="1" x14ac:dyDescent="0.35">
      <c r="A545" s="31">
        <v>45016</v>
      </c>
      <c r="B545" s="32" t="s">
        <v>12</v>
      </c>
      <c r="C545" s="32" t="s">
        <v>16</v>
      </c>
      <c r="D545" s="32" t="s">
        <v>19</v>
      </c>
      <c r="E545" s="32" t="s">
        <v>24</v>
      </c>
      <c r="F545" s="32">
        <v>3</v>
      </c>
      <c r="G545" s="32">
        <v>4</v>
      </c>
      <c r="H545" s="32" t="s">
        <v>51</v>
      </c>
      <c r="I545" s="32">
        <v>17</v>
      </c>
      <c r="J545" s="32">
        <v>2701.93</v>
      </c>
      <c r="K545" s="32">
        <v>10807.72</v>
      </c>
    </row>
    <row r="546" spans="1:11" ht="15.5" x14ac:dyDescent="0.35">
      <c r="A546" s="31">
        <v>45201</v>
      </c>
      <c r="B546" s="32" t="s">
        <v>20</v>
      </c>
      <c r="C546" s="32" t="s">
        <v>21</v>
      </c>
      <c r="D546" s="32" t="s">
        <v>35</v>
      </c>
      <c r="E546" s="32" t="s">
        <v>11</v>
      </c>
      <c r="F546" s="32">
        <v>5</v>
      </c>
      <c r="G546" s="32">
        <v>11</v>
      </c>
      <c r="H546" s="32" t="s">
        <v>52</v>
      </c>
      <c r="I546" s="32">
        <v>32</v>
      </c>
      <c r="J546" s="32">
        <v>124.03</v>
      </c>
      <c r="K546" s="32">
        <v>1364.33</v>
      </c>
    </row>
    <row r="547" spans="1:11" ht="15.5" hidden="1" x14ac:dyDescent="0.35">
      <c r="A547" s="31">
        <v>45113</v>
      </c>
      <c r="B547" s="32" t="s">
        <v>8</v>
      </c>
      <c r="C547" s="32" t="s">
        <v>9</v>
      </c>
      <c r="D547" s="32" t="s">
        <v>23</v>
      </c>
      <c r="E547" s="32" t="s">
        <v>27</v>
      </c>
      <c r="F547" s="32">
        <v>2</v>
      </c>
      <c r="G547" s="32">
        <v>15</v>
      </c>
      <c r="H547" s="32" t="s">
        <v>53</v>
      </c>
      <c r="I547" s="32">
        <v>19</v>
      </c>
      <c r="J547" s="32">
        <v>2551.6</v>
      </c>
      <c r="K547" s="32">
        <v>38274</v>
      </c>
    </row>
    <row r="548" spans="1:11" ht="15.5" hidden="1" x14ac:dyDescent="0.35">
      <c r="A548" s="31">
        <v>44949</v>
      </c>
      <c r="B548" s="32" t="s">
        <v>8</v>
      </c>
      <c r="C548" s="32" t="s">
        <v>9</v>
      </c>
      <c r="D548" s="32" t="s">
        <v>10</v>
      </c>
      <c r="E548" s="32" t="s">
        <v>24</v>
      </c>
      <c r="F548" s="32">
        <v>3</v>
      </c>
      <c r="G548" s="32">
        <v>8</v>
      </c>
      <c r="H548" s="32" t="s">
        <v>54</v>
      </c>
      <c r="I548" s="32">
        <v>32</v>
      </c>
      <c r="J548" s="32">
        <v>1412.48</v>
      </c>
      <c r="K548" s="32">
        <v>11299.84</v>
      </c>
    </row>
    <row r="549" spans="1:11" ht="15.5" hidden="1" x14ac:dyDescent="0.35">
      <c r="A549" s="31">
        <v>45056</v>
      </c>
      <c r="B549" s="32" t="s">
        <v>8</v>
      </c>
      <c r="C549" s="32" t="s">
        <v>9</v>
      </c>
      <c r="D549" s="32" t="s">
        <v>10</v>
      </c>
      <c r="E549" s="32" t="s">
        <v>15</v>
      </c>
      <c r="F549" s="32">
        <v>1</v>
      </c>
      <c r="G549" s="32">
        <v>18</v>
      </c>
      <c r="H549" s="32" t="s">
        <v>55</v>
      </c>
      <c r="I549" s="32">
        <v>24</v>
      </c>
      <c r="J549" s="32">
        <v>2074.52</v>
      </c>
      <c r="K549" s="32">
        <v>37341.360000000001</v>
      </c>
    </row>
    <row r="550" spans="1:11" ht="15.5" x14ac:dyDescent="0.35">
      <c r="A550" s="31">
        <v>44985</v>
      </c>
      <c r="B550" s="32" t="s">
        <v>12</v>
      </c>
      <c r="C550" s="32" t="s">
        <v>16</v>
      </c>
      <c r="D550" s="32" t="s">
        <v>25</v>
      </c>
      <c r="E550" s="32" t="s">
        <v>11</v>
      </c>
      <c r="F550" s="32">
        <v>5</v>
      </c>
      <c r="G550" s="32">
        <v>14</v>
      </c>
      <c r="H550" s="32" t="s">
        <v>56</v>
      </c>
      <c r="I550" s="32">
        <v>36</v>
      </c>
      <c r="J550" s="32">
        <v>4009.33</v>
      </c>
      <c r="K550" s="32">
        <v>56130.62</v>
      </c>
    </row>
    <row r="551" spans="1:11" ht="15.5" hidden="1" x14ac:dyDescent="0.35">
      <c r="A551" s="31">
        <v>45206</v>
      </c>
      <c r="B551" s="32" t="s">
        <v>8</v>
      </c>
      <c r="C551" s="32" t="s">
        <v>28</v>
      </c>
      <c r="D551" s="32" t="s">
        <v>29</v>
      </c>
      <c r="E551" s="32" t="s">
        <v>15</v>
      </c>
      <c r="F551" s="32">
        <v>1</v>
      </c>
      <c r="G551" s="32">
        <v>2</v>
      </c>
      <c r="H551" s="32" t="s">
        <v>57</v>
      </c>
      <c r="I551" s="32">
        <v>50</v>
      </c>
      <c r="J551" s="32">
        <v>4664.91</v>
      </c>
      <c r="K551" s="32">
        <v>9329.82</v>
      </c>
    </row>
    <row r="552" spans="1:11" ht="15.5" hidden="1" x14ac:dyDescent="0.35">
      <c r="A552" s="31">
        <v>44992</v>
      </c>
      <c r="B552" s="32" t="s">
        <v>8</v>
      </c>
      <c r="C552" s="32" t="s">
        <v>9</v>
      </c>
      <c r="D552" s="32" t="s">
        <v>31</v>
      </c>
      <c r="E552" s="32" t="s">
        <v>15</v>
      </c>
      <c r="F552" s="32">
        <v>1</v>
      </c>
      <c r="G552" s="32">
        <v>17</v>
      </c>
      <c r="H552" s="32" t="s">
        <v>58</v>
      </c>
      <c r="I552" s="32">
        <v>53</v>
      </c>
      <c r="J552" s="32">
        <v>1759.91</v>
      </c>
      <c r="K552" s="32">
        <v>29918.47</v>
      </c>
    </row>
    <row r="553" spans="1:11" ht="15.5" hidden="1" x14ac:dyDescent="0.35">
      <c r="A553" s="31">
        <v>45044</v>
      </c>
      <c r="B553" s="32" t="s">
        <v>12</v>
      </c>
      <c r="C553" s="32" t="s">
        <v>13</v>
      </c>
      <c r="D553" s="32" t="s">
        <v>14</v>
      </c>
      <c r="E553" s="32" t="s">
        <v>18</v>
      </c>
      <c r="F553" s="32">
        <v>4</v>
      </c>
      <c r="G553" s="32">
        <v>9</v>
      </c>
      <c r="H553" s="32" t="s">
        <v>59</v>
      </c>
      <c r="I553" s="32">
        <v>21</v>
      </c>
      <c r="J553" s="32">
        <v>4485.21</v>
      </c>
      <c r="K553" s="32">
        <v>40366.89</v>
      </c>
    </row>
    <row r="554" spans="1:11" ht="15.5" hidden="1" x14ac:dyDescent="0.35">
      <c r="A554" s="31">
        <v>45164</v>
      </c>
      <c r="B554" s="32" t="s">
        <v>8</v>
      </c>
      <c r="C554" s="32" t="s">
        <v>9</v>
      </c>
      <c r="D554" s="32" t="s">
        <v>10</v>
      </c>
      <c r="E554" s="32" t="s">
        <v>27</v>
      </c>
      <c r="F554" s="32">
        <v>2</v>
      </c>
      <c r="G554" s="32">
        <v>4</v>
      </c>
      <c r="H554" s="32" t="s">
        <v>48</v>
      </c>
      <c r="I554" s="32">
        <v>51</v>
      </c>
      <c r="J554" s="32">
        <v>1788.95</v>
      </c>
      <c r="K554" s="32">
        <v>7155.8</v>
      </c>
    </row>
    <row r="555" spans="1:11" ht="15.5" x14ac:dyDescent="0.35">
      <c r="A555" s="31">
        <v>45177</v>
      </c>
      <c r="B555" s="32" t="s">
        <v>8</v>
      </c>
      <c r="C555" s="32" t="s">
        <v>28</v>
      </c>
      <c r="D555" s="32" t="s">
        <v>32</v>
      </c>
      <c r="E555" s="32" t="s">
        <v>11</v>
      </c>
      <c r="F555" s="32">
        <v>5</v>
      </c>
      <c r="G555" s="32">
        <v>15</v>
      </c>
      <c r="H555" s="32" t="s">
        <v>49</v>
      </c>
      <c r="I555" s="32">
        <v>38</v>
      </c>
      <c r="J555" s="32">
        <v>916.75</v>
      </c>
      <c r="K555" s="32">
        <v>13751.25</v>
      </c>
    </row>
    <row r="556" spans="1:11" ht="15.5" x14ac:dyDescent="0.35">
      <c r="A556" s="31">
        <v>45043</v>
      </c>
      <c r="B556" s="32" t="s">
        <v>20</v>
      </c>
      <c r="C556" s="32" t="s">
        <v>21</v>
      </c>
      <c r="D556" s="32" t="s">
        <v>34</v>
      </c>
      <c r="E556" s="32" t="s">
        <v>11</v>
      </c>
      <c r="F556" s="32">
        <v>5</v>
      </c>
      <c r="G556" s="32">
        <v>13</v>
      </c>
      <c r="H556" s="32" t="s">
        <v>50</v>
      </c>
      <c r="I556" s="32">
        <v>32</v>
      </c>
      <c r="J556" s="32">
        <v>2327.81</v>
      </c>
      <c r="K556" s="32">
        <v>30261.53</v>
      </c>
    </row>
    <row r="557" spans="1:11" ht="15.5" hidden="1" x14ac:dyDescent="0.35">
      <c r="A557" s="31">
        <v>44968</v>
      </c>
      <c r="B557" s="32" t="s">
        <v>8</v>
      </c>
      <c r="C557" s="32" t="s">
        <v>9</v>
      </c>
      <c r="D557" s="32" t="s">
        <v>10</v>
      </c>
      <c r="E557" s="32" t="s">
        <v>27</v>
      </c>
      <c r="F557" s="32">
        <v>2</v>
      </c>
      <c r="G557" s="32">
        <v>16</v>
      </c>
      <c r="H557" s="32" t="s">
        <v>51</v>
      </c>
      <c r="I557" s="32">
        <v>35</v>
      </c>
      <c r="J557" s="32">
        <v>2954.32</v>
      </c>
      <c r="K557" s="32">
        <v>47269.120000000003</v>
      </c>
    </row>
    <row r="558" spans="1:11" ht="15.5" x14ac:dyDescent="0.35">
      <c r="A558" s="31">
        <v>45041</v>
      </c>
      <c r="B558" s="32" t="s">
        <v>12</v>
      </c>
      <c r="C558" s="32" t="s">
        <v>16</v>
      </c>
      <c r="D558" s="32" t="s">
        <v>25</v>
      </c>
      <c r="E558" s="32" t="s">
        <v>11</v>
      </c>
      <c r="F558" s="32">
        <v>5</v>
      </c>
      <c r="G558" s="32">
        <v>14</v>
      </c>
      <c r="H558" s="32" t="s">
        <v>52</v>
      </c>
      <c r="I558" s="32">
        <v>38</v>
      </c>
      <c r="J558" s="32">
        <v>4935.34</v>
      </c>
      <c r="K558" s="32">
        <v>69094.759999999995</v>
      </c>
    </row>
    <row r="559" spans="1:11" ht="15.5" x14ac:dyDescent="0.35">
      <c r="A559" s="31">
        <v>45063</v>
      </c>
      <c r="B559" s="32" t="s">
        <v>12</v>
      </c>
      <c r="C559" s="32" t="s">
        <v>13</v>
      </c>
      <c r="D559" s="32" t="s">
        <v>33</v>
      </c>
      <c r="E559" s="32" t="s">
        <v>11</v>
      </c>
      <c r="F559" s="32">
        <v>5</v>
      </c>
      <c r="G559" s="32">
        <v>2</v>
      </c>
      <c r="H559" s="32" t="s">
        <v>53</v>
      </c>
      <c r="I559" s="32">
        <v>34</v>
      </c>
      <c r="J559" s="32">
        <v>1063.3499999999999</v>
      </c>
      <c r="K559" s="32">
        <v>2126.6999999999998</v>
      </c>
    </row>
    <row r="560" spans="1:11" ht="15.5" hidden="1" x14ac:dyDescent="0.35">
      <c r="A560" s="31">
        <v>45098</v>
      </c>
      <c r="B560" s="32" t="s">
        <v>8</v>
      </c>
      <c r="C560" s="32" t="s">
        <v>9</v>
      </c>
      <c r="D560" s="32" t="s">
        <v>31</v>
      </c>
      <c r="E560" s="32" t="s">
        <v>27</v>
      </c>
      <c r="F560" s="32">
        <v>2</v>
      </c>
      <c r="G560" s="32">
        <v>7</v>
      </c>
      <c r="H560" s="32" t="s">
        <v>54</v>
      </c>
      <c r="I560" s="32">
        <v>25</v>
      </c>
      <c r="J560" s="32">
        <v>859.87</v>
      </c>
      <c r="K560" s="32">
        <v>6019.09</v>
      </c>
    </row>
    <row r="561" spans="1:11" ht="15.5" hidden="1" x14ac:dyDescent="0.35">
      <c r="A561" s="31">
        <v>45074</v>
      </c>
      <c r="B561" s="32" t="s">
        <v>12</v>
      </c>
      <c r="C561" s="32" t="s">
        <v>16</v>
      </c>
      <c r="D561" s="32" t="s">
        <v>17</v>
      </c>
      <c r="E561" s="32" t="s">
        <v>18</v>
      </c>
      <c r="F561" s="32">
        <v>4</v>
      </c>
      <c r="G561" s="32">
        <v>10</v>
      </c>
      <c r="H561" s="32" t="s">
        <v>55</v>
      </c>
      <c r="I561" s="32">
        <v>27</v>
      </c>
      <c r="J561" s="32">
        <v>4413.5</v>
      </c>
      <c r="K561" s="32">
        <v>44135</v>
      </c>
    </row>
    <row r="562" spans="1:11" ht="15.5" hidden="1" x14ac:dyDescent="0.35">
      <c r="A562" s="31">
        <v>45058</v>
      </c>
      <c r="B562" s="32" t="s">
        <v>8</v>
      </c>
      <c r="C562" s="32" t="s">
        <v>28</v>
      </c>
      <c r="D562" s="32" t="s">
        <v>30</v>
      </c>
      <c r="E562" s="32" t="s">
        <v>18</v>
      </c>
      <c r="F562" s="32">
        <v>4</v>
      </c>
      <c r="G562" s="32">
        <v>12</v>
      </c>
      <c r="H562" s="32" t="s">
        <v>56</v>
      </c>
      <c r="I562" s="32">
        <v>22</v>
      </c>
      <c r="J562" s="32">
        <v>2438.6799999999998</v>
      </c>
      <c r="K562" s="32">
        <v>29264.16</v>
      </c>
    </row>
    <row r="563" spans="1:11" ht="15.5" x14ac:dyDescent="0.35">
      <c r="A563" s="31">
        <v>45219</v>
      </c>
      <c r="B563" s="32" t="s">
        <v>20</v>
      </c>
      <c r="C563" s="32" t="s">
        <v>21</v>
      </c>
      <c r="D563" s="32" t="s">
        <v>35</v>
      </c>
      <c r="E563" s="32" t="s">
        <v>11</v>
      </c>
      <c r="F563" s="32">
        <v>5</v>
      </c>
      <c r="G563" s="32">
        <v>5</v>
      </c>
      <c r="H563" s="32" t="s">
        <v>57</v>
      </c>
      <c r="I563" s="32">
        <v>42</v>
      </c>
      <c r="J563" s="32">
        <v>214.25</v>
      </c>
      <c r="K563" s="32">
        <v>1071.25</v>
      </c>
    </row>
    <row r="564" spans="1:11" ht="15.5" hidden="1" x14ac:dyDescent="0.35">
      <c r="A564" s="31">
        <v>45210</v>
      </c>
      <c r="B564" s="32" t="s">
        <v>12</v>
      </c>
      <c r="C564" s="32" t="s">
        <v>13</v>
      </c>
      <c r="D564" s="32" t="s">
        <v>33</v>
      </c>
      <c r="E564" s="32" t="s">
        <v>24</v>
      </c>
      <c r="F564" s="32">
        <v>3</v>
      </c>
      <c r="G564" s="32">
        <v>9</v>
      </c>
      <c r="H564" s="32" t="s">
        <v>58</v>
      </c>
      <c r="I564" s="32">
        <v>40</v>
      </c>
      <c r="J564" s="32">
        <v>3193.9</v>
      </c>
      <c r="K564" s="32">
        <v>28745.1</v>
      </c>
    </row>
    <row r="565" spans="1:11" ht="15.5" hidden="1" x14ac:dyDescent="0.35">
      <c r="A565" s="31">
        <v>45249</v>
      </c>
      <c r="B565" s="32" t="s">
        <v>8</v>
      </c>
      <c r="C565" s="32" t="s">
        <v>9</v>
      </c>
      <c r="D565" s="32" t="s">
        <v>10</v>
      </c>
      <c r="E565" s="32" t="s">
        <v>24</v>
      </c>
      <c r="F565" s="32">
        <v>3</v>
      </c>
      <c r="G565" s="32">
        <v>15</v>
      </c>
      <c r="H565" s="32" t="s">
        <v>59</v>
      </c>
      <c r="I565" s="32">
        <v>44</v>
      </c>
      <c r="J565" s="32">
        <v>4785.6099999999997</v>
      </c>
      <c r="K565" s="32">
        <v>71784.149999999994</v>
      </c>
    </row>
    <row r="566" spans="1:11" ht="15.5" hidden="1" x14ac:dyDescent="0.35">
      <c r="A566" s="31">
        <v>45117</v>
      </c>
      <c r="B566" s="32" t="s">
        <v>20</v>
      </c>
      <c r="C566" s="32" t="s">
        <v>21</v>
      </c>
      <c r="D566" s="32" t="s">
        <v>22</v>
      </c>
      <c r="E566" s="32" t="s">
        <v>27</v>
      </c>
      <c r="F566" s="32">
        <v>2</v>
      </c>
      <c r="G566" s="32">
        <v>8</v>
      </c>
      <c r="H566" s="32" t="s">
        <v>48</v>
      </c>
      <c r="I566" s="32">
        <v>22</v>
      </c>
      <c r="J566" s="32">
        <v>2606.36</v>
      </c>
      <c r="K566" s="32">
        <v>20850.88</v>
      </c>
    </row>
    <row r="567" spans="1:11" ht="15.5" hidden="1" x14ac:dyDescent="0.35">
      <c r="A567" s="31">
        <v>45186</v>
      </c>
      <c r="B567" s="32" t="s">
        <v>20</v>
      </c>
      <c r="C567" s="32" t="s">
        <v>21</v>
      </c>
      <c r="D567" s="32" t="s">
        <v>35</v>
      </c>
      <c r="E567" s="32" t="s">
        <v>15</v>
      </c>
      <c r="F567" s="32">
        <v>1</v>
      </c>
      <c r="G567" s="32">
        <v>18</v>
      </c>
      <c r="H567" s="32" t="s">
        <v>49</v>
      </c>
      <c r="I567" s="32">
        <v>16</v>
      </c>
      <c r="J567" s="32">
        <v>1986.52</v>
      </c>
      <c r="K567" s="32">
        <v>35757.360000000001</v>
      </c>
    </row>
    <row r="568" spans="1:11" ht="15.5" hidden="1" x14ac:dyDescent="0.35">
      <c r="A568" s="31">
        <v>44980</v>
      </c>
      <c r="B568" s="32" t="s">
        <v>8</v>
      </c>
      <c r="C568" s="32" t="s">
        <v>9</v>
      </c>
      <c r="D568" s="32" t="s">
        <v>23</v>
      </c>
      <c r="E568" s="32" t="s">
        <v>24</v>
      </c>
      <c r="F568" s="32">
        <v>3</v>
      </c>
      <c r="G568" s="32">
        <v>4</v>
      </c>
      <c r="H568" s="32" t="s">
        <v>50</v>
      </c>
      <c r="I568" s="32">
        <v>28</v>
      </c>
      <c r="J568" s="32">
        <v>4245.67</v>
      </c>
      <c r="K568" s="32">
        <v>16982.68</v>
      </c>
    </row>
    <row r="569" spans="1:11" ht="15.5" hidden="1" x14ac:dyDescent="0.35">
      <c r="A569" s="31">
        <v>45106</v>
      </c>
      <c r="B569" s="32" t="s">
        <v>8</v>
      </c>
      <c r="C569" s="32" t="s">
        <v>28</v>
      </c>
      <c r="D569" s="32" t="s">
        <v>29</v>
      </c>
      <c r="E569" s="32" t="s">
        <v>18</v>
      </c>
      <c r="F569" s="32">
        <v>4</v>
      </c>
      <c r="G569" s="32">
        <v>14</v>
      </c>
      <c r="H569" s="32" t="s">
        <v>51</v>
      </c>
      <c r="I569" s="32">
        <v>31</v>
      </c>
      <c r="J569" s="32">
        <v>283.7</v>
      </c>
      <c r="K569" s="32">
        <v>3971.8</v>
      </c>
    </row>
    <row r="570" spans="1:11" ht="15.5" x14ac:dyDescent="0.35">
      <c r="A570" s="31">
        <v>45223</v>
      </c>
      <c r="B570" s="32" t="s">
        <v>8</v>
      </c>
      <c r="C570" s="32" t="s">
        <v>9</v>
      </c>
      <c r="D570" s="32" t="s">
        <v>31</v>
      </c>
      <c r="E570" s="32" t="s">
        <v>11</v>
      </c>
      <c r="F570" s="32">
        <v>5</v>
      </c>
      <c r="G570" s="32">
        <v>2</v>
      </c>
      <c r="H570" s="32" t="s">
        <v>52</v>
      </c>
      <c r="I570" s="32">
        <v>35</v>
      </c>
      <c r="J570" s="32">
        <v>3753.37</v>
      </c>
      <c r="K570" s="32">
        <v>7506.74</v>
      </c>
    </row>
    <row r="571" spans="1:11" ht="15.5" hidden="1" x14ac:dyDescent="0.35">
      <c r="A571" s="31">
        <v>45038</v>
      </c>
      <c r="B571" s="32" t="s">
        <v>12</v>
      </c>
      <c r="C571" s="32" t="s">
        <v>13</v>
      </c>
      <c r="D571" s="32" t="s">
        <v>14</v>
      </c>
      <c r="E571" s="32" t="s">
        <v>27</v>
      </c>
      <c r="F571" s="32">
        <v>2</v>
      </c>
      <c r="G571" s="32">
        <v>5</v>
      </c>
      <c r="H571" s="32" t="s">
        <v>53</v>
      </c>
      <c r="I571" s="32">
        <v>44</v>
      </c>
      <c r="J571" s="32">
        <v>1566.04</v>
      </c>
      <c r="K571" s="32">
        <v>7830.2</v>
      </c>
    </row>
    <row r="572" spans="1:11" ht="15.5" hidden="1" x14ac:dyDescent="0.35">
      <c r="A572" s="31">
        <v>45129</v>
      </c>
      <c r="B572" s="32" t="s">
        <v>20</v>
      </c>
      <c r="C572" s="32" t="s">
        <v>21</v>
      </c>
      <c r="D572" s="32" t="s">
        <v>35</v>
      </c>
      <c r="E572" s="32" t="s">
        <v>24</v>
      </c>
      <c r="F572" s="32">
        <v>3</v>
      </c>
      <c r="G572" s="32">
        <v>19</v>
      </c>
      <c r="H572" s="32" t="s">
        <v>54</v>
      </c>
      <c r="I572" s="32">
        <v>34</v>
      </c>
      <c r="J572" s="32">
        <v>3694.62</v>
      </c>
      <c r="K572" s="32">
        <v>70197.78</v>
      </c>
    </row>
    <row r="573" spans="1:11" ht="15.5" hidden="1" x14ac:dyDescent="0.35">
      <c r="A573" s="31">
        <v>45195</v>
      </c>
      <c r="B573" s="32" t="s">
        <v>12</v>
      </c>
      <c r="C573" s="32" t="s">
        <v>13</v>
      </c>
      <c r="D573" s="32" t="s">
        <v>26</v>
      </c>
      <c r="E573" s="32" t="s">
        <v>24</v>
      </c>
      <c r="F573" s="32">
        <v>3</v>
      </c>
      <c r="G573" s="32">
        <v>15</v>
      </c>
      <c r="H573" s="32" t="s">
        <v>55</v>
      </c>
      <c r="I573" s="32">
        <v>34</v>
      </c>
      <c r="J573" s="32">
        <v>413.63</v>
      </c>
      <c r="K573" s="32">
        <v>6204.45</v>
      </c>
    </row>
    <row r="574" spans="1:11" ht="15.5" hidden="1" x14ac:dyDescent="0.35">
      <c r="A574" s="31">
        <v>45283</v>
      </c>
      <c r="B574" s="32" t="s">
        <v>8</v>
      </c>
      <c r="C574" s="32" t="s">
        <v>9</v>
      </c>
      <c r="D574" s="32" t="s">
        <v>23</v>
      </c>
      <c r="E574" s="32" t="s">
        <v>15</v>
      </c>
      <c r="F574" s="32">
        <v>1</v>
      </c>
      <c r="G574" s="32">
        <v>10</v>
      </c>
      <c r="H574" s="32" t="s">
        <v>56</v>
      </c>
      <c r="I574" s="32">
        <v>25</v>
      </c>
      <c r="J574" s="32">
        <v>3907.49</v>
      </c>
      <c r="K574" s="32">
        <v>39074.9</v>
      </c>
    </row>
    <row r="575" spans="1:11" ht="15.5" hidden="1" x14ac:dyDescent="0.35">
      <c r="A575" s="31">
        <v>44992</v>
      </c>
      <c r="B575" s="32" t="s">
        <v>8</v>
      </c>
      <c r="C575" s="32" t="s">
        <v>9</v>
      </c>
      <c r="D575" s="32" t="s">
        <v>10</v>
      </c>
      <c r="E575" s="32" t="s">
        <v>24</v>
      </c>
      <c r="F575" s="32">
        <v>3</v>
      </c>
      <c r="G575" s="32">
        <v>14</v>
      </c>
      <c r="H575" s="32" t="s">
        <v>57</v>
      </c>
      <c r="I575" s="32">
        <v>16</v>
      </c>
      <c r="J575" s="32">
        <v>3259.64</v>
      </c>
      <c r="K575" s="32">
        <v>45634.96</v>
      </c>
    </row>
    <row r="576" spans="1:11" ht="15.5" x14ac:dyDescent="0.35">
      <c r="A576" s="31">
        <v>45200</v>
      </c>
      <c r="B576" s="32" t="s">
        <v>12</v>
      </c>
      <c r="C576" s="32" t="s">
        <v>16</v>
      </c>
      <c r="D576" s="32" t="s">
        <v>17</v>
      </c>
      <c r="E576" s="32" t="s">
        <v>11</v>
      </c>
      <c r="F576" s="32">
        <v>5</v>
      </c>
      <c r="G576" s="32">
        <v>4</v>
      </c>
      <c r="H576" s="32" t="s">
        <v>58</v>
      </c>
      <c r="I576" s="32">
        <v>54</v>
      </c>
      <c r="J576" s="32">
        <v>637.89</v>
      </c>
      <c r="K576" s="32">
        <v>2551.56</v>
      </c>
    </row>
    <row r="577" spans="1:11" ht="15.5" hidden="1" x14ac:dyDescent="0.35">
      <c r="A577" s="31">
        <v>45282</v>
      </c>
      <c r="B577" s="32" t="s">
        <v>12</v>
      </c>
      <c r="C577" s="32" t="s">
        <v>16</v>
      </c>
      <c r="D577" s="32" t="s">
        <v>17</v>
      </c>
      <c r="E577" s="32" t="s">
        <v>15</v>
      </c>
      <c r="F577" s="32">
        <v>1</v>
      </c>
      <c r="G577" s="32">
        <v>20</v>
      </c>
      <c r="H577" s="32" t="s">
        <v>59</v>
      </c>
      <c r="I577" s="32">
        <v>54</v>
      </c>
      <c r="J577" s="32">
        <v>2123.15</v>
      </c>
      <c r="K577" s="32">
        <v>42463</v>
      </c>
    </row>
    <row r="578" spans="1:11" ht="15.5" hidden="1" x14ac:dyDescent="0.35">
      <c r="A578" s="31">
        <v>44942</v>
      </c>
      <c r="B578" s="32" t="s">
        <v>12</v>
      </c>
      <c r="C578" s="32" t="s">
        <v>16</v>
      </c>
      <c r="D578" s="32" t="s">
        <v>19</v>
      </c>
      <c r="E578" s="32" t="s">
        <v>24</v>
      </c>
      <c r="F578" s="32">
        <v>3</v>
      </c>
      <c r="G578" s="32">
        <v>19</v>
      </c>
      <c r="H578" s="32" t="s">
        <v>48</v>
      </c>
      <c r="I578" s="32">
        <v>43</v>
      </c>
      <c r="J578" s="32">
        <v>4771.5</v>
      </c>
      <c r="K578" s="32">
        <v>90658.5</v>
      </c>
    </row>
    <row r="579" spans="1:11" ht="15.5" x14ac:dyDescent="0.35">
      <c r="A579" s="31">
        <v>45250</v>
      </c>
      <c r="B579" s="32" t="s">
        <v>12</v>
      </c>
      <c r="C579" s="32" t="s">
        <v>13</v>
      </c>
      <c r="D579" s="32" t="s">
        <v>26</v>
      </c>
      <c r="E579" s="32" t="s">
        <v>11</v>
      </c>
      <c r="F579" s="32">
        <v>5</v>
      </c>
      <c r="G579" s="32">
        <v>12</v>
      </c>
      <c r="H579" s="32" t="s">
        <v>49</v>
      </c>
      <c r="I579" s="32">
        <v>49</v>
      </c>
      <c r="J579" s="32">
        <v>3703.31</v>
      </c>
      <c r="K579" s="32">
        <v>44439.72</v>
      </c>
    </row>
    <row r="580" spans="1:11" ht="15.5" x14ac:dyDescent="0.35">
      <c r="A580" s="31">
        <v>44938</v>
      </c>
      <c r="B580" s="32" t="s">
        <v>8</v>
      </c>
      <c r="C580" s="32" t="s">
        <v>28</v>
      </c>
      <c r="D580" s="32" t="s">
        <v>30</v>
      </c>
      <c r="E580" s="32" t="s">
        <v>11</v>
      </c>
      <c r="F580" s="32">
        <v>5</v>
      </c>
      <c r="G580" s="32">
        <v>5</v>
      </c>
      <c r="H580" s="32" t="s">
        <v>50</v>
      </c>
      <c r="I580" s="32">
        <v>25</v>
      </c>
      <c r="J580" s="32">
        <v>3631.01</v>
      </c>
      <c r="K580" s="32">
        <v>18155.05</v>
      </c>
    </row>
    <row r="581" spans="1:11" ht="15.5" hidden="1" x14ac:dyDescent="0.35">
      <c r="A581" s="31">
        <v>45097</v>
      </c>
      <c r="B581" s="32" t="s">
        <v>20</v>
      </c>
      <c r="C581" s="32" t="s">
        <v>21</v>
      </c>
      <c r="D581" s="32" t="s">
        <v>22</v>
      </c>
      <c r="E581" s="32" t="s">
        <v>24</v>
      </c>
      <c r="F581" s="32">
        <v>3</v>
      </c>
      <c r="G581" s="32">
        <v>20</v>
      </c>
      <c r="H581" s="32" t="s">
        <v>51</v>
      </c>
      <c r="I581" s="32">
        <v>43</v>
      </c>
      <c r="J581" s="32">
        <v>4035.61</v>
      </c>
      <c r="K581" s="32">
        <v>80712.2</v>
      </c>
    </row>
    <row r="582" spans="1:11" ht="15.5" hidden="1" x14ac:dyDescent="0.35">
      <c r="A582" s="31">
        <v>44955</v>
      </c>
      <c r="B582" s="32" t="s">
        <v>8</v>
      </c>
      <c r="C582" s="32" t="s">
        <v>9</v>
      </c>
      <c r="D582" s="32" t="s">
        <v>23</v>
      </c>
      <c r="E582" s="32" t="s">
        <v>24</v>
      </c>
      <c r="F582" s="32">
        <v>3</v>
      </c>
      <c r="G582" s="32">
        <v>2</v>
      </c>
      <c r="H582" s="32" t="s">
        <v>52</v>
      </c>
      <c r="I582" s="32">
        <v>49</v>
      </c>
      <c r="J582" s="32">
        <v>3297.48</v>
      </c>
      <c r="K582" s="32">
        <v>6594.96</v>
      </c>
    </row>
    <row r="583" spans="1:11" ht="15.5" x14ac:dyDescent="0.35">
      <c r="A583" s="31">
        <v>44934</v>
      </c>
      <c r="B583" s="32" t="s">
        <v>20</v>
      </c>
      <c r="C583" s="32" t="s">
        <v>21</v>
      </c>
      <c r="D583" s="32" t="s">
        <v>22</v>
      </c>
      <c r="E583" s="32" t="s">
        <v>11</v>
      </c>
      <c r="F583" s="32">
        <v>5</v>
      </c>
      <c r="G583" s="32">
        <v>9</v>
      </c>
      <c r="H583" s="32" t="s">
        <v>53</v>
      </c>
      <c r="I583" s="32">
        <v>19</v>
      </c>
      <c r="J583" s="32">
        <v>455.98</v>
      </c>
      <c r="K583" s="32">
        <v>4103.82</v>
      </c>
    </row>
    <row r="584" spans="1:11" ht="15.5" x14ac:dyDescent="0.35">
      <c r="A584" s="31">
        <v>44993</v>
      </c>
      <c r="B584" s="32" t="s">
        <v>20</v>
      </c>
      <c r="C584" s="32" t="s">
        <v>21</v>
      </c>
      <c r="D584" s="32" t="s">
        <v>22</v>
      </c>
      <c r="E584" s="32" t="s">
        <v>11</v>
      </c>
      <c r="F584" s="32">
        <v>5</v>
      </c>
      <c r="G584" s="32">
        <v>19</v>
      </c>
      <c r="H584" s="32" t="s">
        <v>54</v>
      </c>
      <c r="I584" s="32">
        <v>26</v>
      </c>
      <c r="J584" s="32">
        <v>1414.78</v>
      </c>
      <c r="K584" s="32">
        <v>26880.82</v>
      </c>
    </row>
    <row r="585" spans="1:11" ht="15.5" hidden="1" x14ac:dyDescent="0.35">
      <c r="A585" s="31">
        <v>45105</v>
      </c>
      <c r="B585" s="32" t="s">
        <v>12</v>
      </c>
      <c r="C585" s="32" t="s">
        <v>16</v>
      </c>
      <c r="D585" s="32" t="s">
        <v>25</v>
      </c>
      <c r="E585" s="32" t="s">
        <v>18</v>
      </c>
      <c r="F585" s="32">
        <v>4</v>
      </c>
      <c r="G585" s="32">
        <v>7</v>
      </c>
      <c r="H585" s="32" t="s">
        <v>55</v>
      </c>
      <c r="I585" s="32">
        <v>32</v>
      </c>
      <c r="J585" s="32">
        <v>705.03</v>
      </c>
      <c r="K585" s="32">
        <v>4935.21</v>
      </c>
    </row>
    <row r="586" spans="1:11" ht="15.5" hidden="1" x14ac:dyDescent="0.35">
      <c r="A586" s="31">
        <v>45278</v>
      </c>
      <c r="B586" s="32" t="s">
        <v>8</v>
      </c>
      <c r="C586" s="32" t="s">
        <v>9</v>
      </c>
      <c r="D586" s="32" t="s">
        <v>10</v>
      </c>
      <c r="E586" s="32" t="s">
        <v>24</v>
      </c>
      <c r="F586" s="32">
        <v>3</v>
      </c>
      <c r="G586" s="32">
        <v>2</v>
      </c>
      <c r="H586" s="32" t="s">
        <v>56</v>
      </c>
      <c r="I586" s="32">
        <v>45</v>
      </c>
      <c r="J586" s="32">
        <v>1377.64</v>
      </c>
      <c r="K586" s="32">
        <v>2755.28</v>
      </c>
    </row>
    <row r="587" spans="1:11" ht="15.5" hidden="1" x14ac:dyDescent="0.35">
      <c r="A587" s="31">
        <v>45071</v>
      </c>
      <c r="B587" s="32" t="s">
        <v>20</v>
      </c>
      <c r="C587" s="32" t="s">
        <v>21</v>
      </c>
      <c r="D587" s="32" t="s">
        <v>34</v>
      </c>
      <c r="E587" s="32" t="s">
        <v>18</v>
      </c>
      <c r="F587" s="32">
        <v>4</v>
      </c>
      <c r="G587" s="32">
        <v>20</v>
      </c>
      <c r="H587" s="32" t="s">
        <v>57</v>
      </c>
      <c r="I587" s="32">
        <v>35</v>
      </c>
      <c r="J587" s="32">
        <v>2344.7600000000002</v>
      </c>
      <c r="K587" s="32">
        <v>46895.199999999997</v>
      </c>
    </row>
    <row r="588" spans="1:11" ht="15.5" x14ac:dyDescent="0.35">
      <c r="A588" s="31">
        <v>44956</v>
      </c>
      <c r="B588" s="32" t="s">
        <v>8</v>
      </c>
      <c r="C588" s="32" t="s">
        <v>28</v>
      </c>
      <c r="D588" s="32" t="s">
        <v>29</v>
      </c>
      <c r="E588" s="32" t="s">
        <v>11</v>
      </c>
      <c r="F588" s="32">
        <v>5</v>
      </c>
      <c r="G588" s="32">
        <v>19</v>
      </c>
      <c r="H588" s="32" t="s">
        <v>58</v>
      </c>
      <c r="I588" s="32">
        <v>28</v>
      </c>
      <c r="J588" s="32">
        <v>4920.4399999999996</v>
      </c>
      <c r="K588" s="32">
        <v>93488.36</v>
      </c>
    </row>
    <row r="589" spans="1:11" ht="15.5" hidden="1" x14ac:dyDescent="0.35">
      <c r="A589" s="31">
        <v>45252</v>
      </c>
      <c r="B589" s="32" t="s">
        <v>8</v>
      </c>
      <c r="C589" s="32" t="s">
        <v>28</v>
      </c>
      <c r="D589" s="32" t="s">
        <v>30</v>
      </c>
      <c r="E589" s="32" t="s">
        <v>18</v>
      </c>
      <c r="F589" s="32">
        <v>4</v>
      </c>
      <c r="G589" s="32">
        <v>9</v>
      </c>
      <c r="H589" s="32" t="s">
        <v>59</v>
      </c>
      <c r="I589" s="32">
        <v>35</v>
      </c>
      <c r="J589" s="32">
        <v>3209.83</v>
      </c>
      <c r="K589" s="32">
        <v>28888.47</v>
      </c>
    </row>
    <row r="590" spans="1:11" ht="15.5" hidden="1" x14ac:dyDescent="0.35">
      <c r="A590" s="31">
        <v>44992</v>
      </c>
      <c r="B590" s="32" t="s">
        <v>8</v>
      </c>
      <c r="C590" s="32" t="s">
        <v>28</v>
      </c>
      <c r="D590" s="32" t="s">
        <v>29</v>
      </c>
      <c r="E590" s="32" t="s">
        <v>18</v>
      </c>
      <c r="F590" s="32">
        <v>4</v>
      </c>
      <c r="G590" s="32">
        <v>20</v>
      </c>
      <c r="H590" s="32" t="s">
        <v>48</v>
      </c>
      <c r="I590" s="32">
        <v>24</v>
      </c>
      <c r="J590" s="32">
        <v>1916.52</v>
      </c>
      <c r="K590" s="32">
        <v>38330.400000000001</v>
      </c>
    </row>
    <row r="591" spans="1:11" ht="15.5" hidden="1" x14ac:dyDescent="0.35">
      <c r="A591" s="31">
        <v>45148</v>
      </c>
      <c r="B591" s="32" t="s">
        <v>12</v>
      </c>
      <c r="C591" s="32" t="s">
        <v>16</v>
      </c>
      <c r="D591" s="32" t="s">
        <v>19</v>
      </c>
      <c r="E591" s="32" t="s">
        <v>18</v>
      </c>
      <c r="F591" s="32">
        <v>4</v>
      </c>
      <c r="G591" s="32">
        <v>4</v>
      </c>
      <c r="H591" s="32" t="s">
        <v>49</v>
      </c>
      <c r="I591" s="32">
        <v>18</v>
      </c>
      <c r="J591" s="32">
        <v>2740.14</v>
      </c>
      <c r="K591" s="32">
        <v>10960.56</v>
      </c>
    </row>
    <row r="592" spans="1:11" ht="15.5" hidden="1" x14ac:dyDescent="0.35">
      <c r="A592" s="31">
        <v>45020</v>
      </c>
      <c r="B592" s="32" t="s">
        <v>20</v>
      </c>
      <c r="C592" s="32" t="s">
        <v>21</v>
      </c>
      <c r="D592" s="32" t="s">
        <v>22</v>
      </c>
      <c r="E592" s="32" t="s">
        <v>15</v>
      </c>
      <c r="F592" s="32">
        <v>1</v>
      </c>
      <c r="G592" s="32">
        <v>14</v>
      </c>
      <c r="H592" s="32" t="s">
        <v>50</v>
      </c>
      <c r="I592" s="32">
        <v>55</v>
      </c>
      <c r="J592" s="32">
        <v>1116.79</v>
      </c>
      <c r="K592" s="32">
        <v>15635.06</v>
      </c>
    </row>
    <row r="593" spans="1:11" ht="15.5" hidden="1" x14ac:dyDescent="0.35">
      <c r="A593" s="31">
        <v>44964</v>
      </c>
      <c r="B593" s="32" t="s">
        <v>8</v>
      </c>
      <c r="C593" s="32" t="s">
        <v>9</v>
      </c>
      <c r="D593" s="32" t="s">
        <v>23</v>
      </c>
      <c r="E593" s="32" t="s">
        <v>15</v>
      </c>
      <c r="F593" s="32">
        <v>1</v>
      </c>
      <c r="G593" s="32">
        <v>11</v>
      </c>
      <c r="H593" s="32" t="s">
        <v>51</v>
      </c>
      <c r="I593" s="32">
        <v>28</v>
      </c>
      <c r="J593" s="32">
        <v>335.31</v>
      </c>
      <c r="K593" s="32">
        <v>3688.41</v>
      </c>
    </row>
    <row r="594" spans="1:11" ht="15.5" x14ac:dyDescent="0.35">
      <c r="A594" s="31">
        <v>44977</v>
      </c>
      <c r="B594" s="32" t="s">
        <v>8</v>
      </c>
      <c r="C594" s="32" t="s">
        <v>9</v>
      </c>
      <c r="D594" s="32" t="s">
        <v>23</v>
      </c>
      <c r="E594" s="32" t="s">
        <v>11</v>
      </c>
      <c r="F594" s="32">
        <v>5</v>
      </c>
      <c r="G594" s="32">
        <v>9</v>
      </c>
      <c r="H594" s="32" t="s">
        <v>52</v>
      </c>
      <c r="I594" s="32">
        <v>35</v>
      </c>
      <c r="J594" s="32">
        <v>1474.56</v>
      </c>
      <c r="K594" s="32">
        <v>13271.04</v>
      </c>
    </row>
    <row r="595" spans="1:11" ht="15.5" hidden="1" x14ac:dyDescent="0.35">
      <c r="A595" s="31">
        <v>45010</v>
      </c>
      <c r="B595" s="32" t="s">
        <v>12</v>
      </c>
      <c r="C595" s="32" t="s">
        <v>16</v>
      </c>
      <c r="D595" s="32" t="s">
        <v>19</v>
      </c>
      <c r="E595" s="32" t="s">
        <v>18</v>
      </c>
      <c r="F595" s="32">
        <v>4</v>
      </c>
      <c r="G595" s="32">
        <v>5</v>
      </c>
      <c r="H595" s="32" t="s">
        <v>53</v>
      </c>
      <c r="I595" s="32">
        <v>24</v>
      </c>
      <c r="J595" s="32">
        <v>695.3</v>
      </c>
      <c r="K595" s="32">
        <v>3476.5</v>
      </c>
    </row>
    <row r="596" spans="1:11" ht="15.5" hidden="1" x14ac:dyDescent="0.35">
      <c r="A596" s="31">
        <v>45056</v>
      </c>
      <c r="B596" s="32" t="s">
        <v>12</v>
      </c>
      <c r="C596" s="32" t="s">
        <v>13</v>
      </c>
      <c r="D596" s="32" t="s">
        <v>33</v>
      </c>
      <c r="E596" s="32" t="s">
        <v>15</v>
      </c>
      <c r="F596" s="32">
        <v>1</v>
      </c>
      <c r="G596" s="32">
        <v>15</v>
      </c>
      <c r="H596" s="32" t="s">
        <v>54</v>
      </c>
      <c r="I596" s="32">
        <v>36</v>
      </c>
      <c r="J596" s="32">
        <v>3611.2</v>
      </c>
      <c r="K596" s="32">
        <v>54168</v>
      </c>
    </row>
    <row r="597" spans="1:11" ht="15.5" hidden="1" x14ac:dyDescent="0.35">
      <c r="A597" s="31">
        <v>45031</v>
      </c>
      <c r="B597" s="32" t="s">
        <v>12</v>
      </c>
      <c r="C597" s="32" t="s">
        <v>16</v>
      </c>
      <c r="D597" s="32" t="s">
        <v>25</v>
      </c>
      <c r="E597" s="32" t="s">
        <v>24</v>
      </c>
      <c r="F597" s="32">
        <v>3</v>
      </c>
      <c r="G597" s="32">
        <v>8</v>
      </c>
      <c r="H597" s="32" t="s">
        <v>55</v>
      </c>
      <c r="I597" s="32">
        <v>55</v>
      </c>
      <c r="J597" s="32">
        <v>592.82000000000005</v>
      </c>
      <c r="K597" s="32">
        <v>4742.5600000000004</v>
      </c>
    </row>
    <row r="598" spans="1:11" ht="15.5" hidden="1" x14ac:dyDescent="0.35">
      <c r="A598" s="31">
        <v>45001</v>
      </c>
      <c r="B598" s="32" t="s">
        <v>8</v>
      </c>
      <c r="C598" s="32" t="s">
        <v>9</v>
      </c>
      <c r="D598" s="32" t="s">
        <v>10</v>
      </c>
      <c r="E598" s="32" t="s">
        <v>27</v>
      </c>
      <c r="F598" s="32">
        <v>2</v>
      </c>
      <c r="G598" s="32">
        <v>1</v>
      </c>
      <c r="H598" s="32" t="s">
        <v>56</v>
      </c>
      <c r="I598" s="32">
        <v>26</v>
      </c>
      <c r="J598" s="32">
        <v>568.54999999999995</v>
      </c>
      <c r="K598" s="32">
        <v>568.54999999999995</v>
      </c>
    </row>
    <row r="599" spans="1:11" ht="15.5" hidden="1" x14ac:dyDescent="0.35">
      <c r="A599" s="31">
        <v>44985</v>
      </c>
      <c r="B599" s="32" t="s">
        <v>12</v>
      </c>
      <c r="C599" s="32" t="s">
        <v>16</v>
      </c>
      <c r="D599" s="32" t="s">
        <v>25</v>
      </c>
      <c r="E599" s="32" t="s">
        <v>24</v>
      </c>
      <c r="F599" s="32">
        <v>3</v>
      </c>
      <c r="G599" s="32">
        <v>5</v>
      </c>
      <c r="H599" s="32" t="s">
        <v>57</v>
      </c>
      <c r="I599" s="32">
        <v>33</v>
      </c>
      <c r="J599" s="32">
        <v>1319.46</v>
      </c>
      <c r="K599" s="32">
        <v>6597.3</v>
      </c>
    </row>
    <row r="600" spans="1:11" ht="15.5" hidden="1" x14ac:dyDescent="0.35">
      <c r="A600" s="31">
        <v>45127</v>
      </c>
      <c r="B600" s="32" t="s">
        <v>12</v>
      </c>
      <c r="C600" s="32" t="s">
        <v>16</v>
      </c>
      <c r="D600" s="32" t="s">
        <v>25</v>
      </c>
      <c r="E600" s="32" t="s">
        <v>27</v>
      </c>
      <c r="F600" s="32">
        <v>2</v>
      </c>
      <c r="G600" s="32">
        <v>7</v>
      </c>
      <c r="H600" s="32" t="s">
        <v>58</v>
      </c>
      <c r="I600" s="32">
        <v>45</v>
      </c>
      <c r="J600" s="32">
        <v>222.61</v>
      </c>
      <c r="K600" s="32">
        <v>1558.27</v>
      </c>
    </row>
    <row r="601" spans="1:11" ht="15.5" hidden="1" x14ac:dyDescent="0.35">
      <c r="A601" s="31">
        <v>45101</v>
      </c>
      <c r="B601" s="32" t="s">
        <v>8</v>
      </c>
      <c r="C601" s="32" t="s">
        <v>28</v>
      </c>
      <c r="D601" s="32" t="s">
        <v>32</v>
      </c>
      <c r="E601" s="32" t="s">
        <v>24</v>
      </c>
      <c r="F601" s="32">
        <v>3</v>
      </c>
      <c r="G601" s="32">
        <v>1</v>
      </c>
      <c r="H601" s="32" t="s">
        <v>59</v>
      </c>
      <c r="I601" s="32">
        <v>51</v>
      </c>
      <c r="J601" s="32">
        <v>4117.97</v>
      </c>
      <c r="K601" s="32">
        <v>4117.97</v>
      </c>
    </row>
    <row r="602" spans="1:11" ht="15.5" hidden="1" x14ac:dyDescent="0.35">
      <c r="A602" s="31">
        <v>45106</v>
      </c>
      <c r="B602" s="32" t="s">
        <v>20</v>
      </c>
      <c r="C602" s="32" t="s">
        <v>21</v>
      </c>
      <c r="D602" s="32" t="s">
        <v>35</v>
      </c>
      <c r="E602" s="32" t="s">
        <v>15</v>
      </c>
      <c r="F602" s="32">
        <v>1</v>
      </c>
      <c r="G602" s="32">
        <v>1</v>
      </c>
      <c r="H602" s="32" t="s">
        <v>48</v>
      </c>
      <c r="I602" s="32">
        <v>18</v>
      </c>
      <c r="J602" s="32">
        <v>1793.18</v>
      </c>
      <c r="K602" s="32">
        <v>1793.18</v>
      </c>
    </row>
    <row r="603" spans="1:11" ht="15.5" hidden="1" x14ac:dyDescent="0.35">
      <c r="A603" s="31">
        <v>44977</v>
      </c>
      <c r="B603" s="32" t="s">
        <v>8</v>
      </c>
      <c r="C603" s="32" t="s">
        <v>9</v>
      </c>
      <c r="D603" s="32" t="s">
        <v>23</v>
      </c>
      <c r="E603" s="32" t="s">
        <v>15</v>
      </c>
      <c r="F603" s="32">
        <v>1</v>
      </c>
      <c r="G603" s="32">
        <v>7</v>
      </c>
      <c r="H603" s="32" t="s">
        <v>49</v>
      </c>
      <c r="I603" s="32">
        <v>51</v>
      </c>
      <c r="J603" s="32">
        <v>4046.34</v>
      </c>
      <c r="K603" s="32">
        <v>28324.38</v>
      </c>
    </row>
    <row r="604" spans="1:11" ht="15.5" hidden="1" x14ac:dyDescent="0.35">
      <c r="A604" s="31">
        <v>45089</v>
      </c>
      <c r="B604" s="32" t="s">
        <v>12</v>
      </c>
      <c r="C604" s="32" t="s">
        <v>16</v>
      </c>
      <c r="D604" s="32" t="s">
        <v>17</v>
      </c>
      <c r="E604" s="32" t="s">
        <v>15</v>
      </c>
      <c r="F604" s="32">
        <v>1</v>
      </c>
      <c r="G604" s="32">
        <v>18</v>
      </c>
      <c r="H604" s="32" t="s">
        <v>50</v>
      </c>
      <c r="I604" s="32">
        <v>31</v>
      </c>
      <c r="J604" s="32">
        <v>4403.6899999999996</v>
      </c>
      <c r="K604" s="32">
        <v>79266.42</v>
      </c>
    </row>
    <row r="605" spans="1:11" ht="15.5" hidden="1" x14ac:dyDescent="0.35">
      <c r="A605" s="31">
        <v>45108</v>
      </c>
      <c r="B605" s="32" t="s">
        <v>20</v>
      </c>
      <c r="C605" s="32" t="s">
        <v>21</v>
      </c>
      <c r="D605" s="32" t="s">
        <v>34</v>
      </c>
      <c r="E605" s="32" t="s">
        <v>24</v>
      </c>
      <c r="F605" s="32">
        <v>3</v>
      </c>
      <c r="G605" s="32">
        <v>16</v>
      </c>
      <c r="H605" s="32" t="s">
        <v>51</v>
      </c>
      <c r="I605" s="32">
        <v>48</v>
      </c>
      <c r="J605" s="32">
        <v>338.38</v>
      </c>
      <c r="K605" s="32">
        <v>5414.08</v>
      </c>
    </row>
    <row r="606" spans="1:11" ht="15.5" hidden="1" x14ac:dyDescent="0.35">
      <c r="A606" s="31">
        <v>44929</v>
      </c>
      <c r="B606" s="32" t="s">
        <v>8</v>
      </c>
      <c r="C606" s="32" t="s">
        <v>28</v>
      </c>
      <c r="D606" s="32" t="s">
        <v>30</v>
      </c>
      <c r="E606" s="32" t="s">
        <v>15</v>
      </c>
      <c r="F606" s="32">
        <v>1</v>
      </c>
      <c r="G606" s="32">
        <v>12</v>
      </c>
      <c r="H606" s="32" t="s">
        <v>52</v>
      </c>
      <c r="I606" s="32">
        <v>38</v>
      </c>
      <c r="J606" s="32">
        <v>2232.4899999999998</v>
      </c>
      <c r="K606" s="32">
        <v>26789.88</v>
      </c>
    </row>
    <row r="607" spans="1:11" ht="15.5" x14ac:dyDescent="0.35">
      <c r="A607" s="31">
        <v>44946</v>
      </c>
      <c r="B607" s="32" t="s">
        <v>12</v>
      </c>
      <c r="C607" s="32" t="s">
        <v>16</v>
      </c>
      <c r="D607" s="32" t="s">
        <v>19</v>
      </c>
      <c r="E607" s="32" t="s">
        <v>11</v>
      </c>
      <c r="F607" s="32">
        <v>5</v>
      </c>
      <c r="G607" s="32">
        <v>20</v>
      </c>
      <c r="H607" s="32" t="s">
        <v>53</v>
      </c>
      <c r="I607" s="32">
        <v>42</v>
      </c>
      <c r="J607" s="32">
        <v>3280.87</v>
      </c>
      <c r="K607" s="32">
        <v>65617.399999999994</v>
      </c>
    </row>
    <row r="608" spans="1:11" ht="15.5" hidden="1" x14ac:dyDescent="0.35">
      <c r="A608" s="31">
        <v>44950</v>
      </c>
      <c r="B608" s="32" t="s">
        <v>8</v>
      </c>
      <c r="C608" s="32" t="s">
        <v>28</v>
      </c>
      <c r="D608" s="32" t="s">
        <v>29</v>
      </c>
      <c r="E608" s="32" t="s">
        <v>18</v>
      </c>
      <c r="F608" s="32">
        <v>4</v>
      </c>
      <c r="G608" s="32">
        <v>6</v>
      </c>
      <c r="H608" s="32" t="s">
        <v>54</v>
      </c>
      <c r="I608" s="32">
        <v>42</v>
      </c>
      <c r="J608" s="32">
        <v>744.85</v>
      </c>
      <c r="K608" s="32">
        <v>4469.1000000000004</v>
      </c>
    </row>
    <row r="609" spans="1:11" ht="15.5" x14ac:dyDescent="0.35">
      <c r="A609" s="31">
        <v>45284</v>
      </c>
      <c r="B609" s="32" t="s">
        <v>20</v>
      </c>
      <c r="C609" s="32" t="s">
        <v>21</v>
      </c>
      <c r="D609" s="32" t="s">
        <v>34</v>
      </c>
      <c r="E609" s="32" t="s">
        <v>11</v>
      </c>
      <c r="F609" s="32">
        <v>5</v>
      </c>
      <c r="G609" s="32">
        <v>18</v>
      </c>
      <c r="H609" s="32" t="s">
        <v>55</v>
      </c>
      <c r="I609" s="32">
        <v>54</v>
      </c>
      <c r="J609" s="32">
        <v>2880.41</v>
      </c>
      <c r="K609" s="32">
        <v>51847.38</v>
      </c>
    </row>
    <row r="610" spans="1:11" ht="15.5" hidden="1" x14ac:dyDescent="0.35">
      <c r="A610" s="31">
        <v>45113</v>
      </c>
      <c r="B610" s="32" t="s">
        <v>8</v>
      </c>
      <c r="C610" s="32" t="s">
        <v>28</v>
      </c>
      <c r="D610" s="32" t="s">
        <v>32</v>
      </c>
      <c r="E610" s="32" t="s">
        <v>27</v>
      </c>
      <c r="F610" s="32">
        <v>2</v>
      </c>
      <c r="G610" s="32">
        <v>6</v>
      </c>
      <c r="H610" s="32" t="s">
        <v>56</v>
      </c>
      <c r="I610" s="32">
        <v>23</v>
      </c>
      <c r="J610" s="32">
        <v>4265.8599999999997</v>
      </c>
      <c r="K610" s="32">
        <v>25595.16</v>
      </c>
    </row>
    <row r="611" spans="1:11" ht="15.5" hidden="1" x14ac:dyDescent="0.35">
      <c r="A611" s="31">
        <v>45178</v>
      </c>
      <c r="B611" s="32" t="s">
        <v>8</v>
      </c>
      <c r="C611" s="32" t="s">
        <v>9</v>
      </c>
      <c r="D611" s="32" t="s">
        <v>23</v>
      </c>
      <c r="E611" s="32" t="s">
        <v>27</v>
      </c>
      <c r="F611" s="32">
        <v>2</v>
      </c>
      <c r="G611" s="32">
        <v>15</v>
      </c>
      <c r="H611" s="32" t="s">
        <v>57</v>
      </c>
      <c r="I611" s="32">
        <v>34</v>
      </c>
      <c r="J611" s="32">
        <v>1790.03</v>
      </c>
      <c r="K611" s="32">
        <v>26850.45</v>
      </c>
    </row>
    <row r="612" spans="1:11" ht="15.5" hidden="1" x14ac:dyDescent="0.35">
      <c r="A612" s="31">
        <v>45044</v>
      </c>
      <c r="B612" s="32" t="s">
        <v>12</v>
      </c>
      <c r="C612" s="32" t="s">
        <v>13</v>
      </c>
      <c r="D612" s="32" t="s">
        <v>26</v>
      </c>
      <c r="E612" s="32" t="s">
        <v>27</v>
      </c>
      <c r="F612" s="32">
        <v>2</v>
      </c>
      <c r="G612" s="32">
        <v>12</v>
      </c>
      <c r="H612" s="32" t="s">
        <v>58</v>
      </c>
      <c r="I612" s="32">
        <v>47</v>
      </c>
      <c r="J612" s="32">
        <v>1104.74</v>
      </c>
      <c r="K612" s="32">
        <v>13256.88</v>
      </c>
    </row>
    <row r="613" spans="1:11" ht="15.5" hidden="1" x14ac:dyDescent="0.35">
      <c r="A613" s="31">
        <v>45138</v>
      </c>
      <c r="B613" s="32" t="s">
        <v>8</v>
      </c>
      <c r="C613" s="32" t="s">
        <v>28</v>
      </c>
      <c r="D613" s="32" t="s">
        <v>30</v>
      </c>
      <c r="E613" s="32" t="s">
        <v>24</v>
      </c>
      <c r="F613" s="32">
        <v>3</v>
      </c>
      <c r="G613" s="32">
        <v>14</v>
      </c>
      <c r="H613" s="32" t="s">
        <v>59</v>
      </c>
      <c r="I613" s="32">
        <v>20</v>
      </c>
      <c r="J613" s="32">
        <v>948.05</v>
      </c>
      <c r="K613" s="32">
        <v>13272.7</v>
      </c>
    </row>
    <row r="614" spans="1:11" ht="15.5" hidden="1" x14ac:dyDescent="0.35">
      <c r="A614" s="31">
        <v>44951</v>
      </c>
      <c r="B614" s="32" t="s">
        <v>12</v>
      </c>
      <c r="C614" s="32" t="s">
        <v>13</v>
      </c>
      <c r="D614" s="32" t="s">
        <v>26</v>
      </c>
      <c r="E614" s="32" t="s">
        <v>27</v>
      </c>
      <c r="F614" s="32">
        <v>2</v>
      </c>
      <c r="G614" s="32">
        <v>4</v>
      </c>
      <c r="H614" s="32" t="s">
        <v>48</v>
      </c>
      <c r="I614" s="32">
        <v>55</v>
      </c>
      <c r="J614" s="32">
        <v>2625.31</v>
      </c>
      <c r="K614" s="32">
        <v>10501.24</v>
      </c>
    </row>
    <row r="615" spans="1:11" ht="15.5" hidden="1" x14ac:dyDescent="0.35">
      <c r="A615" s="31">
        <v>45078</v>
      </c>
      <c r="B615" s="32" t="s">
        <v>12</v>
      </c>
      <c r="C615" s="32" t="s">
        <v>16</v>
      </c>
      <c r="D615" s="32" t="s">
        <v>17</v>
      </c>
      <c r="E615" s="32" t="s">
        <v>15</v>
      </c>
      <c r="F615" s="32">
        <v>1</v>
      </c>
      <c r="G615" s="32">
        <v>12</v>
      </c>
      <c r="H615" s="32" t="s">
        <v>49</v>
      </c>
      <c r="I615" s="32">
        <v>36</v>
      </c>
      <c r="J615" s="32">
        <v>3785.29</v>
      </c>
      <c r="K615" s="32">
        <v>45423.48</v>
      </c>
    </row>
    <row r="616" spans="1:11" ht="15.5" x14ac:dyDescent="0.35">
      <c r="A616" s="31">
        <v>45226</v>
      </c>
      <c r="B616" s="32" t="s">
        <v>12</v>
      </c>
      <c r="C616" s="32" t="s">
        <v>13</v>
      </c>
      <c r="D616" s="32" t="s">
        <v>26</v>
      </c>
      <c r="E616" s="32" t="s">
        <v>11</v>
      </c>
      <c r="F616" s="32">
        <v>5</v>
      </c>
      <c r="G616" s="32">
        <v>19</v>
      </c>
      <c r="H616" s="32" t="s">
        <v>50</v>
      </c>
      <c r="I616" s="32">
        <v>32</v>
      </c>
      <c r="J616" s="32">
        <v>2386.59</v>
      </c>
      <c r="K616" s="32">
        <v>45345.21</v>
      </c>
    </row>
    <row r="617" spans="1:11" ht="15.5" hidden="1" x14ac:dyDescent="0.35">
      <c r="A617" s="31">
        <v>45159</v>
      </c>
      <c r="B617" s="32" t="s">
        <v>20</v>
      </c>
      <c r="C617" s="32" t="s">
        <v>21</v>
      </c>
      <c r="D617" s="32" t="s">
        <v>35</v>
      </c>
      <c r="E617" s="32" t="s">
        <v>27</v>
      </c>
      <c r="F617" s="32">
        <v>2</v>
      </c>
      <c r="G617" s="32">
        <v>20</v>
      </c>
      <c r="H617" s="32" t="s">
        <v>51</v>
      </c>
      <c r="I617" s="32">
        <v>19</v>
      </c>
      <c r="J617" s="32">
        <v>3438.25</v>
      </c>
      <c r="K617" s="32">
        <v>68765</v>
      </c>
    </row>
    <row r="618" spans="1:11" ht="15.5" hidden="1" x14ac:dyDescent="0.35">
      <c r="A618" s="31">
        <v>45183</v>
      </c>
      <c r="B618" s="32" t="s">
        <v>12</v>
      </c>
      <c r="C618" s="32" t="s">
        <v>16</v>
      </c>
      <c r="D618" s="32" t="s">
        <v>25</v>
      </c>
      <c r="E618" s="32" t="s">
        <v>15</v>
      </c>
      <c r="F618" s="32">
        <v>1</v>
      </c>
      <c r="G618" s="32">
        <v>18</v>
      </c>
      <c r="H618" s="32" t="s">
        <v>52</v>
      </c>
      <c r="I618" s="32">
        <v>55</v>
      </c>
      <c r="J618" s="32">
        <v>4422.21</v>
      </c>
      <c r="K618" s="32">
        <v>79599.78</v>
      </c>
    </row>
    <row r="619" spans="1:11" ht="15.5" x14ac:dyDescent="0.35">
      <c r="A619" s="31">
        <v>45037</v>
      </c>
      <c r="B619" s="32" t="s">
        <v>12</v>
      </c>
      <c r="C619" s="32" t="s">
        <v>16</v>
      </c>
      <c r="D619" s="32" t="s">
        <v>25</v>
      </c>
      <c r="E619" s="32" t="s">
        <v>11</v>
      </c>
      <c r="F619" s="32">
        <v>5</v>
      </c>
      <c r="G619" s="32">
        <v>7</v>
      </c>
      <c r="H619" s="32" t="s">
        <v>53</v>
      </c>
      <c r="I619" s="32">
        <v>34</v>
      </c>
      <c r="J619" s="32">
        <v>299.68</v>
      </c>
      <c r="K619" s="32">
        <v>2097.7600000000002</v>
      </c>
    </row>
    <row r="620" spans="1:11" ht="15.5" hidden="1" x14ac:dyDescent="0.35">
      <c r="A620" s="31">
        <v>45182</v>
      </c>
      <c r="B620" s="32" t="s">
        <v>8</v>
      </c>
      <c r="C620" s="32" t="s">
        <v>9</v>
      </c>
      <c r="D620" s="32" t="s">
        <v>23</v>
      </c>
      <c r="E620" s="32" t="s">
        <v>15</v>
      </c>
      <c r="F620" s="32">
        <v>1</v>
      </c>
      <c r="G620" s="32">
        <v>6</v>
      </c>
      <c r="H620" s="32" t="s">
        <v>54</v>
      </c>
      <c r="I620" s="32">
        <v>36</v>
      </c>
      <c r="J620" s="32">
        <v>3279.45</v>
      </c>
      <c r="K620" s="32">
        <v>19676.7</v>
      </c>
    </row>
    <row r="621" spans="1:11" ht="15.5" hidden="1" x14ac:dyDescent="0.35">
      <c r="A621" s="31">
        <v>45077</v>
      </c>
      <c r="B621" s="32" t="s">
        <v>8</v>
      </c>
      <c r="C621" s="32" t="s">
        <v>9</v>
      </c>
      <c r="D621" s="32" t="s">
        <v>23</v>
      </c>
      <c r="E621" s="32" t="s">
        <v>18</v>
      </c>
      <c r="F621" s="32">
        <v>4</v>
      </c>
      <c r="G621" s="32">
        <v>4</v>
      </c>
      <c r="H621" s="32" t="s">
        <v>55</v>
      </c>
      <c r="I621" s="32">
        <v>30</v>
      </c>
      <c r="J621" s="32">
        <v>2298.98</v>
      </c>
      <c r="K621" s="32">
        <v>9195.92</v>
      </c>
    </row>
    <row r="622" spans="1:11" ht="15.5" hidden="1" x14ac:dyDescent="0.35">
      <c r="A622" s="31">
        <v>44942</v>
      </c>
      <c r="B622" s="32" t="s">
        <v>12</v>
      </c>
      <c r="C622" s="32" t="s">
        <v>16</v>
      </c>
      <c r="D622" s="32" t="s">
        <v>19</v>
      </c>
      <c r="E622" s="32" t="s">
        <v>15</v>
      </c>
      <c r="F622" s="32">
        <v>1</v>
      </c>
      <c r="G622" s="32">
        <v>15</v>
      </c>
      <c r="H622" s="32" t="s">
        <v>56</v>
      </c>
      <c r="I622" s="32">
        <v>42</v>
      </c>
      <c r="J622" s="32">
        <v>2174.4499999999998</v>
      </c>
      <c r="K622" s="32">
        <v>32616.75</v>
      </c>
    </row>
    <row r="623" spans="1:11" ht="15.5" hidden="1" x14ac:dyDescent="0.35">
      <c r="A623" s="31">
        <v>45105</v>
      </c>
      <c r="B623" s="32" t="s">
        <v>12</v>
      </c>
      <c r="C623" s="32" t="s">
        <v>13</v>
      </c>
      <c r="D623" s="32" t="s">
        <v>33</v>
      </c>
      <c r="E623" s="32" t="s">
        <v>18</v>
      </c>
      <c r="F623" s="32">
        <v>4</v>
      </c>
      <c r="G623" s="32">
        <v>10</v>
      </c>
      <c r="H623" s="32" t="s">
        <v>57</v>
      </c>
      <c r="I623" s="32">
        <v>47</v>
      </c>
      <c r="J623" s="32">
        <v>4761.1899999999996</v>
      </c>
      <c r="K623" s="32">
        <v>47611.9</v>
      </c>
    </row>
    <row r="624" spans="1:11" ht="15.5" hidden="1" x14ac:dyDescent="0.35">
      <c r="A624" s="31">
        <v>45290</v>
      </c>
      <c r="B624" s="32" t="s">
        <v>8</v>
      </c>
      <c r="C624" s="32" t="s">
        <v>9</v>
      </c>
      <c r="D624" s="32" t="s">
        <v>10</v>
      </c>
      <c r="E624" s="32" t="s">
        <v>15</v>
      </c>
      <c r="F624" s="32">
        <v>1</v>
      </c>
      <c r="G624" s="32">
        <v>18</v>
      </c>
      <c r="H624" s="32" t="s">
        <v>58</v>
      </c>
      <c r="I624" s="32">
        <v>31</v>
      </c>
      <c r="J624" s="32">
        <v>1533.77</v>
      </c>
      <c r="K624" s="32">
        <v>27607.86</v>
      </c>
    </row>
    <row r="625" spans="1:11" ht="15.5" x14ac:dyDescent="0.35">
      <c r="A625" s="31">
        <v>44973</v>
      </c>
      <c r="B625" s="32" t="s">
        <v>8</v>
      </c>
      <c r="C625" s="32" t="s">
        <v>28</v>
      </c>
      <c r="D625" s="32" t="s">
        <v>30</v>
      </c>
      <c r="E625" s="32" t="s">
        <v>11</v>
      </c>
      <c r="F625" s="32">
        <v>5</v>
      </c>
      <c r="G625" s="32">
        <v>4</v>
      </c>
      <c r="H625" s="32" t="s">
        <v>59</v>
      </c>
      <c r="I625" s="32">
        <v>54</v>
      </c>
      <c r="J625" s="32">
        <v>2331.1</v>
      </c>
      <c r="K625" s="32">
        <v>9324.4</v>
      </c>
    </row>
    <row r="626" spans="1:11" ht="15.5" hidden="1" x14ac:dyDescent="0.35">
      <c r="A626" s="31">
        <v>44967</v>
      </c>
      <c r="B626" s="32" t="s">
        <v>8</v>
      </c>
      <c r="C626" s="32" t="s">
        <v>28</v>
      </c>
      <c r="D626" s="32" t="s">
        <v>30</v>
      </c>
      <c r="E626" s="32" t="s">
        <v>27</v>
      </c>
      <c r="F626" s="32">
        <v>2</v>
      </c>
      <c r="G626" s="32">
        <v>12</v>
      </c>
      <c r="H626" s="32" t="s">
        <v>48</v>
      </c>
      <c r="I626" s="32">
        <v>55</v>
      </c>
      <c r="J626" s="32">
        <v>3443.54</v>
      </c>
      <c r="K626" s="32">
        <v>41322.480000000003</v>
      </c>
    </row>
    <row r="627" spans="1:11" ht="15.5" hidden="1" x14ac:dyDescent="0.35">
      <c r="A627" s="31">
        <v>45163</v>
      </c>
      <c r="B627" s="32" t="s">
        <v>12</v>
      </c>
      <c r="C627" s="32" t="s">
        <v>13</v>
      </c>
      <c r="D627" s="32" t="s">
        <v>14</v>
      </c>
      <c r="E627" s="32" t="s">
        <v>18</v>
      </c>
      <c r="F627" s="32">
        <v>4</v>
      </c>
      <c r="G627" s="32">
        <v>8</v>
      </c>
      <c r="H627" s="32" t="s">
        <v>49</v>
      </c>
      <c r="I627" s="32">
        <v>41</v>
      </c>
      <c r="J627" s="32">
        <v>3547.38</v>
      </c>
      <c r="K627" s="32">
        <v>28379.040000000001</v>
      </c>
    </row>
    <row r="628" spans="1:11" ht="15.5" x14ac:dyDescent="0.35">
      <c r="A628" s="31">
        <v>45043</v>
      </c>
      <c r="B628" s="32" t="s">
        <v>8</v>
      </c>
      <c r="C628" s="32" t="s">
        <v>28</v>
      </c>
      <c r="D628" s="32" t="s">
        <v>32</v>
      </c>
      <c r="E628" s="32" t="s">
        <v>11</v>
      </c>
      <c r="F628" s="32">
        <v>5</v>
      </c>
      <c r="G628" s="32">
        <v>15</v>
      </c>
      <c r="H628" s="32" t="s">
        <v>50</v>
      </c>
      <c r="I628" s="32">
        <v>49</v>
      </c>
      <c r="J628" s="32">
        <v>866.62</v>
      </c>
      <c r="K628" s="32">
        <v>12999.3</v>
      </c>
    </row>
    <row r="629" spans="1:11" ht="15.5" hidden="1" x14ac:dyDescent="0.35">
      <c r="A629" s="31">
        <v>45134</v>
      </c>
      <c r="B629" s="32" t="s">
        <v>8</v>
      </c>
      <c r="C629" s="32" t="s">
        <v>9</v>
      </c>
      <c r="D629" s="32" t="s">
        <v>23</v>
      </c>
      <c r="E629" s="32" t="s">
        <v>27</v>
      </c>
      <c r="F629" s="32">
        <v>2</v>
      </c>
      <c r="G629" s="32">
        <v>9</v>
      </c>
      <c r="H629" s="32" t="s">
        <v>51</v>
      </c>
      <c r="I629" s="32">
        <v>50</v>
      </c>
      <c r="J629" s="32">
        <v>1280.74</v>
      </c>
      <c r="K629" s="32">
        <v>11526.66</v>
      </c>
    </row>
    <row r="630" spans="1:11" ht="15.5" hidden="1" x14ac:dyDescent="0.35">
      <c r="A630" s="31">
        <v>45287</v>
      </c>
      <c r="B630" s="32" t="s">
        <v>12</v>
      </c>
      <c r="C630" s="32" t="s">
        <v>13</v>
      </c>
      <c r="D630" s="32" t="s">
        <v>14</v>
      </c>
      <c r="E630" s="32" t="s">
        <v>18</v>
      </c>
      <c r="F630" s="32">
        <v>4</v>
      </c>
      <c r="G630" s="32">
        <v>19</v>
      </c>
      <c r="H630" s="32" t="s">
        <v>52</v>
      </c>
      <c r="I630" s="32">
        <v>23</v>
      </c>
      <c r="J630" s="32">
        <v>2513.27</v>
      </c>
      <c r="K630" s="32">
        <v>47752.13</v>
      </c>
    </row>
    <row r="631" spans="1:11" ht="15.5" hidden="1" x14ac:dyDescent="0.35">
      <c r="A631" s="31">
        <v>44960</v>
      </c>
      <c r="B631" s="32" t="s">
        <v>20</v>
      </c>
      <c r="C631" s="32" t="s">
        <v>21</v>
      </c>
      <c r="D631" s="32" t="s">
        <v>35</v>
      </c>
      <c r="E631" s="32" t="s">
        <v>15</v>
      </c>
      <c r="F631" s="32">
        <v>1</v>
      </c>
      <c r="G631" s="32">
        <v>14</v>
      </c>
      <c r="H631" s="32" t="s">
        <v>53</v>
      </c>
      <c r="I631" s="32">
        <v>26</v>
      </c>
      <c r="J631" s="32">
        <v>2371.85</v>
      </c>
      <c r="K631" s="32">
        <v>33205.9</v>
      </c>
    </row>
    <row r="632" spans="1:11" ht="15.5" hidden="1" x14ac:dyDescent="0.35">
      <c r="A632" s="31">
        <v>45083</v>
      </c>
      <c r="B632" s="32" t="s">
        <v>12</v>
      </c>
      <c r="C632" s="32" t="s">
        <v>13</v>
      </c>
      <c r="D632" s="32" t="s">
        <v>14</v>
      </c>
      <c r="E632" s="32" t="s">
        <v>15</v>
      </c>
      <c r="F632" s="32">
        <v>1</v>
      </c>
      <c r="G632" s="32">
        <v>9</v>
      </c>
      <c r="H632" s="32" t="s">
        <v>54</v>
      </c>
      <c r="I632" s="32">
        <v>52</v>
      </c>
      <c r="J632" s="32">
        <v>2438.9899999999998</v>
      </c>
      <c r="K632" s="32">
        <v>21950.91</v>
      </c>
    </row>
    <row r="633" spans="1:11" ht="15.5" hidden="1" x14ac:dyDescent="0.35">
      <c r="A633" s="31">
        <v>45086</v>
      </c>
      <c r="B633" s="32" t="s">
        <v>12</v>
      </c>
      <c r="C633" s="32" t="s">
        <v>13</v>
      </c>
      <c r="D633" s="32" t="s">
        <v>14</v>
      </c>
      <c r="E633" s="32" t="s">
        <v>24</v>
      </c>
      <c r="F633" s="32">
        <v>3</v>
      </c>
      <c r="G633" s="32">
        <v>19</v>
      </c>
      <c r="H633" s="32" t="s">
        <v>55</v>
      </c>
      <c r="I633" s="32">
        <v>53</v>
      </c>
      <c r="J633" s="32">
        <v>3044.32</v>
      </c>
      <c r="K633" s="32">
        <v>57842.080000000002</v>
      </c>
    </row>
    <row r="634" spans="1:11" ht="15.5" x14ac:dyDescent="0.35">
      <c r="A634" s="31">
        <v>45007</v>
      </c>
      <c r="B634" s="32" t="s">
        <v>8</v>
      </c>
      <c r="C634" s="32" t="s">
        <v>28</v>
      </c>
      <c r="D634" s="32" t="s">
        <v>29</v>
      </c>
      <c r="E634" s="32" t="s">
        <v>11</v>
      </c>
      <c r="F634" s="32">
        <v>5</v>
      </c>
      <c r="G634" s="32">
        <v>3</v>
      </c>
      <c r="H634" s="32" t="s">
        <v>56</v>
      </c>
      <c r="I634" s="32">
        <v>48</v>
      </c>
      <c r="J634" s="32">
        <v>2880.4</v>
      </c>
      <c r="K634" s="32">
        <v>8641.2000000000007</v>
      </c>
    </row>
    <row r="635" spans="1:11" ht="15.5" hidden="1" x14ac:dyDescent="0.35">
      <c r="A635" s="31">
        <v>45260</v>
      </c>
      <c r="B635" s="32" t="s">
        <v>12</v>
      </c>
      <c r="C635" s="32" t="s">
        <v>13</v>
      </c>
      <c r="D635" s="32" t="s">
        <v>33</v>
      </c>
      <c r="E635" s="32" t="s">
        <v>15</v>
      </c>
      <c r="F635" s="32">
        <v>1</v>
      </c>
      <c r="G635" s="32">
        <v>2</v>
      </c>
      <c r="H635" s="32" t="s">
        <v>57</v>
      </c>
      <c r="I635" s="32">
        <v>21</v>
      </c>
      <c r="J635" s="32">
        <v>2087.14</v>
      </c>
      <c r="K635" s="32">
        <v>4174.28</v>
      </c>
    </row>
    <row r="636" spans="1:11" ht="15.5" hidden="1" x14ac:dyDescent="0.35">
      <c r="A636" s="31">
        <v>44993</v>
      </c>
      <c r="B636" s="32" t="s">
        <v>8</v>
      </c>
      <c r="C636" s="32" t="s">
        <v>9</v>
      </c>
      <c r="D636" s="32" t="s">
        <v>23</v>
      </c>
      <c r="E636" s="32" t="s">
        <v>18</v>
      </c>
      <c r="F636" s="32">
        <v>4</v>
      </c>
      <c r="G636" s="32">
        <v>14</v>
      </c>
      <c r="H636" s="32" t="s">
        <v>58</v>
      </c>
      <c r="I636" s="32">
        <v>38</v>
      </c>
      <c r="J636" s="32">
        <v>1694.59</v>
      </c>
      <c r="K636" s="32">
        <v>23724.26</v>
      </c>
    </row>
    <row r="637" spans="1:11" ht="15.5" hidden="1" x14ac:dyDescent="0.35">
      <c r="A637" s="31">
        <v>45025</v>
      </c>
      <c r="B637" s="32" t="s">
        <v>8</v>
      </c>
      <c r="C637" s="32" t="s">
        <v>28</v>
      </c>
      <c r="D637" s="32" t="s">
        <v>30</v>
      </c>
      <c r="E637" s="32" t="s">
        <v>15</v>
      </c>
      <c r="F637" s="32">
        <v>1</v>
      </c>
      <c r="G637" s="32">
        <v>5</v>
      </c>
      <c r="H637" s="32" t="s">
        <v>59</v>
      </c>
      <c r="I637" s="32">
        <v>16</v>
      </c>
      <c r="J637" s="32">
        <v>4182.07</v>
      </c>
      <c r="K637" s="32">
        <v>20910.349999999999</v>
      </c>
    </row>
    <row r="638" spans="1:11" ht="15.5" hidden="1" x14ac:dyDescent="0.35">
      <c r="A638" s="31">
        <v>44980</v>
      </c>
      <c r="B638" s="32" t="s">
        <v>8</v>
      </c>
      <c r="C638" s="32" t="s">
        <v>9</v>
      </c>
      <c r="D638" s="32" t="s">
        <v>10</v>
      </c>
      <c r="E638" s="32" t="s">
        <v>18</v>
      </c>
      <c r="F638" s="32">
        <v>4</v>
      </c>
      <c r="G638" s="32">
        <v>20</v>
      </c>
      <c r="H638" s="32" t="s">
        <v>48</v>
      </c>
      <c r="I638" s="32">
        <v>27</v>
      </c>
      <c r="J638" s="32">
        <v>4638.2</v>
      </c>
      <c r="K638" s="32">
        <v>92764</v>
      </c>
    </row>
    <row r="639" spans="1:11" ht="15.5" hidden="1" x14ac:dyDescent="0.35">
      <c r="A639" s="31">
        <v>45226</v>
      </c>
      <c r="B639" s="32" t="s">
        <v>8</v>
      </c>
      <c r="C639" s="32" t="s">
        <v>9</v>
      </c>
      <c r="D639" s="32" t="s">
        <v>31</v>
      </c>
      <c r="E639" s="32" t="s">
        <v>18</v>
      </c>
      <c r="F639" s="32">
        <v>4</v>
      </c>
      <c r="G639" s="32">
        <v>1</v>
      </c>
      <c r="H639" s="32" t="s">
        <v>49</v>
      </c>
      <c r="I639" s="32">
        <v>45</v>
      </c>
      <c r="J639" s="32">
        <v>1999.98</v>
      </c>
      <c r="K639" s="32">
        <v>1999.98</v>
      </c>
    </row>
    <row r="640" spans="1:11" ht="15.5" hidden="1" x14ac:dyDescent="0.35">
      <c r="A640" s="31">
        <v>45212</v>
      </c>
      <c r="B640" s="32" t="s">
        <v>8</v>
      </c>
      <c r="C640" s="32" t="s">
        <v>28</v>
      </c>
      <c r="D640" s="32" t="s">
        <v>30</v>
      </c>
      <c r="E640" s="32" t="s">
        <v>15</v>
      </c>
      <c r="F640" s="32">
        <v>1</v>
      </c>
      <c r="G640" s="32">
        <v>14</v>
      </c>
      <c r="H640" s="32" t="s">
        <v>50</v>
      </c>
      <c r="I640" s="32">
        <v>35</v>
      </c>
      <c r="J640" s="32">
        <v>3931.74</v>
      </c>
      <c r="K640" s="32">
        <v>55044.36</v>
      </c>
    </row>
    <row r="641" spans="1:11" ht="15.5" hidden="1" x14ac:dyDescent="0.35">
      <c r="A641" s="31">
        <v>45049</v>
      </c>
      <c r="B641" s="32" t="s">
        <v>12</v>
      </c>
      <c r="C641" s="32" t="s">
        <v>13</v>
      </c>
      <c r="D641" s="32" t="s">
        <v>26</v>
      </c>
      <c r="E641" s="32" t="s">
        <v>18</v>
      </c>
      <c r="F641" s="32">
        <v>4</v>
      </c>
      <c r="G641" s="32">
        <v>5</v>
      </c>
      <c r="H641" s="32" t="s">
        <v>51</v>
      </c>
      <c r="I641" s="32">
        <v>32</v>
      </c>
      <c r="J641" s="32">
        <v>3898.88</v>
      </c>
      <c r="K641" s="32">
        <v>19494.400000000001</v>
      </c>
    </row>
    <row r="642" spans="1:11" ht="15.5" x14ac:dyDescent="0.35">
      <c r="A642" s="31">
        <v>44999</v>
      </c>
      <c r="B642" s="32" t="s">
        <v>12</v>
      </c>
      <c r="C642" s="32" t="s">
        <v>16</v>
      </c>
      <c r="D642" s="32" t="s">
        <v>25</v>
      </c>
      <c r="E642" s="32" t="s">
        <v>11</v>
      </c>
      <c r="F642" s="32">
        <v>5</v>
      </c>
      <c r="G642" s="32">
        <v>19</v>
      </c>
      <c r="H642" s="32" t="s">
        <v>52</v>
      </c>
      <c r="I642" s="32">
        <v>21</v>
      </c>
      <c r="J642" s="32">
        <v>4134.01</v>
      </c>
      <c r="K642" s="32">
        <v>78546.19</v>
      </c>
    </row>
    <row r="643" spans="1:11" ht="15.5" hidden="1" x14ac:dyDescent="0.35">
      <c r="A643" s="31">
        <v>45199</v>
      </c>
      <c r="B643" s="32" t="s">
        <v>8</v>
      </c>
      <c r="C643" s="32" t="s">
        <v>28</v>
      </c>
      <c r="D643" s="32" t="s">
        <v>30</v>
      </c>
      <c r="E643" s="32" t="s">
        <v>27</v>
      </c>
      <c r="F643" s="32">
        <v>2</v>
      </c>
      <c r="G643" s="32">
        <v>1</v>
      </c>
      <c r="H643" s="32" t="s">
        <v>53</v>
      </c>
      <c r="I643" s="32">
        <v>18</v>
      </c>
      <c r="J643" s="32">
        <v>2571.59</v>
      </c>
      <c r="K643" s="32">
        <v>2571.59</v>
      </c>
    </row>
    <row r="644" spans="1:11" ht="15.5" hidden="1" x14ac:dyDescent="0.35">
      <c r="A644" s="31">
        <v>45206</v>
      </c>
      <c r="B644" s="32" t="s">
        <v>8</v>
      </c>
      <c r="C644" s="32" t="s">
        <v>28</v>
      </c>
      <c r="D644" s="32" t="s">
        <v>29</v>
      </c>
      <c r="E644" s="32" t="s">
        <v>18</v>
      </c>
      <c r="F644" s="32">
        <v>4</v>
      </c>
      <c r="G644" s="32">
        <v>1</v>
      </c>
      <c r="H644" s="32" t="s">
        <v>54</v>
      </c>
      <c r="I644" s="32">
        <v>27</v>
      </c>
      <c r="J644" s="32">
        <v>1286.1099999999999</v>
      </c>
      <c r="K644" s="32">
        <v>1286.1099999999999</v>
      </c>
    </row>
    <row r="645" spans="1:11" ht="15.5" hidden="1" x14ac:dyDescent="0.35">
      <c r="A645" s="31">
        <v>45268</v>
      </c>
      <c r="B645" s="32" t="s">
        <v>12</v>
      </c>
      <c r="C645" s="32" t="s">
        <v>13</v>
      </c>
      <c r="D645" s="32" t="s">
        <v>33</v>
      </c>
      <c r="E645" s="32" t="s">
        <v>27</v>
      </c>
      <c r="F645" s="32">
        <v>2</v>
      </c>
      <c r="G645" s="32">
        <v>5</v>
      </c>
      <c r="H645" s="32" t="s">
        <v>55</v>
      </c>
      <c r="I645" s="32">
        <v>41</v>
      </c>
      <c r="J645" s="32">
        <v>1372.78</v>
      </c>
      <c r="K645" s="32">
        <v>6863.9</v>
      </c>
    </row>
    <row r="646" spans="1:11" ht="15.5" hidden="1" x14ac:dyDescent="0.35">
      <c r="A646" s="31">
        <v>45215</v>
      </c>
      <c r="B646" s="32" t="s">
        <v>8</v>
      </c>
      <c r="C646" s="32" t="s">
        <v>28</v>
      </c>
      <c r="D646" s="32" t="s">
        <v>30</v>
      </c>
      <c r="E646" s="32" t="s">
        <v>15</v>
      </c>
      <c r="F646" s="32">
        <v>1</v>
      </c>
      <c r="G646" s="32">
        <v>2</v>
      </c>
      <c r="H646" s="32" t="s">
        <v>56</v>
      </c>
      <c r="I646" s="32">
        <v>28</v>
      </c>
      <c r="J646" s="32">
        <v>1673.1</v>
      </c>
      <c r="K646" s="32">
        <v>3346.2</v>
      </c>
    </row>
    <row r="647" spans="1:11" ht="15.5" hidden="1" x14ac:dyDescent="0.35">
      <c r="A647" s="31">
        <v>45028</v>
      </c>
      <c r="B647" s="32" t="s">
        <v>8</v>
      </c>
      <c r="C647" s="32" t="s">
        <v>9</v>
      </c>
      <c r="D647" s="32" t="s">
        <v>23</v>
      </c>
      <c r="E647" s="32" t="s">
        <v>27</v>
      </c>
      <c r="F647" s="32">
        <v>2</v>
      </c>
      <c r="G647" s="32">
        <v>7</v>
      </c>
      <c r="H647" s="32" t="s">
        <v>57</v>
      </c>
      <c r="I647" s="32">
        <v>31</v>
      </c>
      <c r="J647" s="32">
        <v>1576.4</v>
      </c>
      <c r="K647" s="32">
        <v>11034.8</v>
      </c>
    </row>
    <row r="648" spans="1:11" ht="15.5" hidden="1" x14ac:dyDescent="0.35">
      <c r="A648" s="31">
        <v>45162</v>
      </c>
      <c r="B648" s="32" t="s">
        <v>8</v>
      </c>
      <c r="C648" s="32" t="s">
        <v>28</v>
      </c>
      <c r="D648" s="32" t="s">
        <v>30</v>
      </c>
      <c r="E648" s="32" t="s">
        <v>27</v>
      </c>
      <c r="F648" s="32">
        <v>2</v>
      </c>
      <c r="G648" s="32">
        <v>3</v>
      </c>
      <c r="H648" s="32" t="s">
        <v>58</v>
      </c>
      <c r="I648" s="32">
        <v>53</v>
      </c>
      <c r="J648" s="32">
        <v>403.5</v>
      </c>
      <c r="K648" s="32">
        <v>1210.5</v>
      </c>
    </row>
    <row r="649" spans="1:11" ht="15.5" hidden="1" x14ac:dyDescent="0.35">
      <c r="A649" s="31">
        <v>45193</v>
      </c>
      <c r="B649" s="32" t="s">
        <v>8</v>
      </c>
      <c r="C649" s="32" t="s">
        <v>9</v>
      </c>
      <c r="D649" s="32" t="s">
        <v>10</v>
      </c>
      <c r="E649" s="32" t="s">
        <v>18</v>
      </c>
      <c r="F649" s="32">
        <v>4</v>
      </c>
      <c r="G649" s="32">
        <v>10</v>
      </c>
      <c r="H649" s="32" t="s">
        <v>59</v>
      </c>
      <c r="I649" s="32">
        <v>43</v>
      </c>
      <c r="J649" s="32">
        <v>2691.21</v>
      </c>
      <c r="K649" s="32">
        <v>26912.1</v>
      </c>
    </row>
    <row r="650" spans="1:11" ht="15.5" hidden="1" x14ac:dyDescent="0.35">
      <c r="A650" s="31">
        <v>44985</v>
      </c>
      <c r="B650" s="32" t="s">
        <v>12</v>
      </c>
      <c r="C650" s="32" t="s">
        <v>13</v>
      </c>
      <c r="D650" s="32" t="s">
        <v>33</v>
      </c>
      <c r="E650" s="32" t="s">
        <v>27</v>
      </c>
      <c r="F650" s="32">
        <v>2</v>
      </c>
      <c r="G650" s="32">
        <v>8</v>
      </c>
      <c r="H650" s="32" t="s">
        <v>48</v>
      </c>
      <c r="I650" s="32">
        <v>16</v>
      </c>
      <c r="J650" s="32">
        <v>372.22</v>
      </c>
      <c r="K650" s="32">
        <v>2977.76</v>
      </c>
    </row>
    <row r="651" spans="1:11" ht="15.5" hidden="1" x14ac:dyDescent="0.35">
      <c r="A651" s="31">
        <v>44993</v>
      </c>
      <c r="B651" s="32" t="s">
        <v>12</v>
      </c>
      <c r="C651" s="32" t="s">
        <v>16</v>
      </c>
      <c r="D651" s="32" t="s">
        <v>17</v>
      </c>
      <c r="E651" s="32" t="s">
        <v>27</v>
      </c>
      <c r="F651" s="32">
        <v>2</v>
      </c>
      <c r="G651" s="32">
        <v>19</v>
      </c>
      <c r="H651" s="32" t="s">
        <v>49</v>
      </c>
      <c r="I651" s="32">
        <v>37</v>
      </c>
      <c r="J651" s="32">
        <v>4642.84</v>
      </c>
      <c r="K651" s="32">
        <v>88213.96</v>
      </c>
    </row>
    <row r="652" spans="1:11" ht="15.5" hidden="1" x14ac:dyDescent="0.35">
      <c r="A652" s="31">
        <v>44962</v>
      </c>
      <c r="B652" s="32" t="s">
        <v>12</v>
      </c>
      <c r="C652" s="32" t="s">
        <v>16</v>
      </c>
      <c r="D652" s="32" t="s">
        <v>19</v>
      </c>
      <c r="E652" s="32" t="s">
        <v>24</v>
      </c>
      <c r="F652" s="32">
        <v>3</v>
      </c>
      <c r="G652" s="32">
        <v>20</v>
      </c>
      <c r="H652" s="32" t="s">
        <v>50</v>
      </c>
      <c r="I652" s="32">
        <v>24</v>
      </c>
      <c r="J652" s="32">
        <v>2860.11</v>
      </c>
      <c r="K652" s="32">
        <v>57202.2</v>
      </c>
    </row>
    <row r="653" spans="1:11" ht="15.5" hidden="1" x14ac:dyDescent="0.35">
      <c r="A653" s="31">
        <v>44950</v>
      </c>
      <c r="B653" s="32" t="s">
        <v>20</v>
      </c>
      <c r="C653" s="32" t="s">
        <v>21</v>
      </c>
      <c r="D653" s="32" t="s">
        <v>22</v>
      </c>
      <c r="E653" s="32" t="s">
        <v>27</v>
      </c>
      <c r="F653" s="32">
        <v>2</v>
      </c>
      <c r="G653" s="32">
        <v>8</v>
      </c>
      <c r="H653" s="32" t="s">
        <v>51</v>
      </c>
      <c r="I653" s="32">
        <v>35</v>
      </c>
      <c r="J653" s="32">
        <v>4986.3100000000004</v>
      </c>
      <c r="K653" s="32">
        <v>39890.480000000003</v>
      </c>
    </row>
    <row r="654" spans="1:11" ht="15.5" x14ac:dyDescent="0.35">
      <c r="A654" s="31">
        <v>45016</v>
      </c>
      <c r="B654" s="32" t="s">
        <v>8</v>
      </c>
      <c r="C654" s="32" t="s">
        <v>28</v>
      </c>
      <c r="D654" s="32" t="s">
        <v>32</v>
      </c>
      <c r="E654" s="32" t="s">
        <v>11</v>
      </c>
      <c r="F654" s="32">
        <v>5</v>
      </c>
      <c r="G654" s="32">
        <v>3</v>
      </c>
      <c r="H654" s="32" t="s">
        <v>52</v>
      </c>
      <c r="I654" s="32">
        <v>18</v>
      </c>
      <c r="J654" s="32">
        <v>4888.03</v>
      </c>
      <c r="K654" s="32">
        <v>14664.09</v>
      </c>
    </row>
    <row r="655" spans="1:11" ht="15.5" hidden="1" x14ac:dyDescent="0.35">
      <c r="A655" s="31">
        <v>45142</v>
      </c>
      <c r="B655" s="32" t="s">
        <v>20</v>
      </c>
      <c r="C655" s="32" t="s">
        <v>21</v>
      </c>
      <c r="D655" s="32" t="s">
        <v>34</v>
      </c>
      <c r="E655" s="32" t="s">
        <v>18</v>
      </c>
      <c r="F655" s="32">
        <v>4</v>
      </c>
      <c r="G655" s="32">
        <v>11</v>
      </c>
      <c r="H655" s="32" t="s">
        <v>53</v>
      </c>
      <c r="I655" s="32">
        <v>47</v>
      </c>
      <c r="J655" s="32">
        <v>3011.73</v>
      </c>
      <c r="K655" s="32">
        <v>33129.03</v>
      </c>
    </row>
    <row r="656" spans="1:11" ht="15.5" x14ac:dyDescent="0.35">
      <c r="A656" s="31">
        <v>45264</v>
      </c>
      <c r="B656" s="32" t="s">
        <v>8</v>
      </c>
      <c r="C656" s="32" t="s">
        <v>28</v>
      </c>
      <c r="D656" s="32" t="s">
        <v>29</v>
      </c>
      <c r="E656" s="32" t="s">
        <v>11</v>
      </c>
      <c r="F656" s="32">
        <v>5</v>
      </c>
      <c r="G656" s="32">
        <v>16</v>
      </c>
      <c r="H656" s="32" t="s">
        <v>54</v>
      </c>
      <c r="I656" s="32">
        <v>51</v>
      </c>
      <c r="J656" s="32">
        <v>3082.84</v>
      </c>
      <c r="K656" s="32">
        <v>49325.440000000002</v>
      </c>
    </row>
    <row r="657" spans="1:11" ht="15.5" hidden="1" x14ac:dyDescent="0.35">
      <c r="A657" s="31">
        <v>45253</v>
      </c>
      <c r="B657" s="32" t="s">
        <v>8</v>
      </c>
      <c r="C657" s="32" t="s">
        <v>9</v>
      </c>
      <c r="D657" s="32" t="s">
        <v>23</v>
      </c>
      <c r="E657" s="32" t="s">
        <v>15</v>
      </c>
      <c r="F657" s="32">
        <v>1</v>
      </c>
      <c r="G657" s="32">
        <v>6</v>
      </c>
      <c r="H657" s="32" t="s">
        <v>55</v>
      </c>
      <c r="I657" s="32">
        <v>41</v>
      </c>
      <c r="J657" s="32">
        <v>4908.9799999999996</v>
      </c>
      <c r="K657" s="32">
        <v>29453.88</v>
      </c>
    </row>
    <row r="658" spans="1:11" ht="15.5" hidden="1" x14ac:dyDescent="0.35">
      <c r="A658" s="31">
        <v>44976</v>
      </c>
      <c r="B658" s="32" t="s">
        <v>8</v>
      </c>
      <c r="C658" s="32" t="s">
        <v>28</v>
      </c>
      <c r="D658" s="32" t="s">
        <v>29</v>
      </c>
      <c r="E658" s="32" t="s">
        <v>18</v>
      </c>
      <c r="F658" s="32">
        <v>4</v>
      </c>
      <c r="G658" s="32">
        <v>16</v>
      </c>
      <c r="H658" s="32" t="s">
        <v>56</v>
      </c>
      <c r="I658" s="32">
        <v>49</v>
      </c>
      <c r="J658" s="32">
        <v>1514.31</v>
      </c>
      <c r="K658" s="32">
        <v>24228.959999999999</v>
      </c>
    </row>
    <row r="659" spans="1:11" ht="15.5" hidden="1" x14ac:dyDescent="0.35">
      <c r="A659" s="31">
        <v>45016</v>
      </c>
      <c r="B659" s="32" t="s">
        <v>12</v>
      </c>
      <c r="C659" s="32" t="s">
        <v>13</v>
      </c>
      <c r="D659" s="32" t="s">
        <v>26</v>
      </c>
      <c r="E659" s="32" t="s">
        <v>27</v>
      </c>
      <c r="F659" s="32">
        <v>2</v>
      </c>
      <c r="G659" s="32">
        <v>18</v>
      </c>
      <c r="H659" s="32" t="s">
        <v>57</v>
      </c>
      <c r="I659" s="32">
        <v>18</v>
      </c>
      <c r="J659" s="32">
        <v>4450.2299999999996</v>
      </c>
      <c r="K659" s="32">
        <v>80104.14</v>
      </c>
    </row>
    <row r="660" spans="1:11" ht="15.5" hidden="1" x14ac:dyDescent="0.35">
      <c r="A660" s="31">
        <v>44965</v>
      </c>
      <c r="B660" s="32" t="s">
        <v>8</v>
      </c>
      <c r="C660" s="32" t="s">
        <v>28</v>
      </c>
      <c r="D660" s="32" t="s">
        <v>30</v>
      </c>
      <c r="E660" s="32" t="s">
        <v>24</v>
      </c>
      <c r="F660" s="32">
        <v>3</v>
      </c>
      <c r="G660" s="32">
        <v>15</v>
      </c>
      <c r="H660" s="32" t="s">
        <v>58</v>
      </c>
      <c r="I660" s="32">
        <v>28</v>
      </c>
      <c r="J660" s="32">
        <v>4678.57</v>
      </c>
      <c r="K660" s="32">
        <v>70178.55</v>
      </c>
    </row>
    <row r="661" spans="1:11" ht="15.5" hidden="1" x14ac:dyDescent="0.35">
      <c r="A661" s="31">
        <v>45116</v>
      </c>
      <c r="B661" s="32" t="s">
        <v>8</v>
      </c>
      <c r="C661" s="32" t="s">
        <v>9</v>
      </c>
      <c r="D661" s="32" t="s">
        <v>31</v>
      </c>
      <c r="E661" s="32" t="s">
        <v>27</v>
      </c>
      <c r="F661" s="32">
        <v>2</v>
      </c>
      <c r="G661" s="32">
        <v>18</v>
      </c>
      <c r="H661" s="32" t="s">
        <v>59</v>
      </c>
      <c r="I661" s="32">
        <v>23</v>
      </c>
      <c r="J661" s="32">
        <v>1177.8</v>
      </c>
      <c r="K661" s="32">
        <v>21200.400000000001</v>
      </c>
    </row>
    <row r="662" spans="1:11" ht="15.5" x14ac:dyDescent="0.35">
      <c r="A662" s="31">
        <v>44934</v>
      </c>
      <c r="B662" s="32" t="s">
        <v>8</v>
      </c>
      <c r="C662" s="32" t="s">
        <v>28</v>
      </c>
      <c r="D662" s="32" t="s">
        <v>29</v>
      </c>
      <c r="E662" s="32" t="s">
        <v>11</v>
      </c>
      <c r="F662" s="32">
        <v>5</v>
      </c>
      <c r="G662" s="32">
        <v>17</v>
      </c>
      <c r="H662" s="32" t="s">
        <v>48</v>
      </c>
      <c r="I662" s="32">
        <v>39</v>
      </c>
      <c r="J662" s="32">
        <v>4136.3100000000004</v>
      </c>
      <c r="K662" s="32">
        <v>70317.27</v>
      </c>
    </row>
    <row r="663" spans="1:11" ht="15.5" hidden="1" x14ac:dyDescent="0.35">
      <c r="A663" s="31">
        <v>45128</v>
      </c>
      <c r="B663" s="32" t="s">
        <v>8</v>
      </c>
      <c r="C663" s="32" t="s">
        <v>9</v>
      </c>
      <c r="D663" s="32" t="s">
        <v>10</v>
      </c>
      <c r="E663" s="32" t="s">
        <v>15</v>
      </c>
      <c r="F663" s="32">
        <v>1</v>
      </c>
      <c r="G663" s="32">
        <v>5</v>
      </c>
      <c r="H663" s="32" t="s">
        <v>49</v>
      </c>
      <c r="I663" s="32">
        <v>38</v>
      </c>
      <c r="J663" s="32">
        <v>3156.9</v>
      </c>
      <c r="K663" s="32">
        <v>15784.5</v>
      </c>
    </row>
    <row r="664" spans="1:11" ht="15.5" hidden="1" x14ac:dyDescent="0.35">
      <c r="A664" s="31">
        <v>45115</v>
      </c>
      <c r="B664" s="32" t="s">
        <v>12</v>
      </c>
      <c r="C664" s="32" t="s">
        <v>13</v>
      </c>
      <c r="D664" s="32" t="s">
        <v>26</v>
      </c>
      <c r="E664" s="32" t="s">
        <v>24</v>
      </c>
      <c r="F664" s="32">
        <v>3</v>
      </c>
      <c r="G664" s="32">
        <v>5</v>
      </c>
      <c r="H664" s="32" t="s">
        <v>50</v>
      </c>
      <c r="I664" s="32">
        <v>41</v>
      </c>
      <c r="J664" s="32">
        <v>1185.45</v>
      </c>
      <c r="K664" s="32">
        <v>5927.25</v>
      </c>
    </row>
    <row r="665" spans="1:11" ht="15.5" hidden="1" x14ac:dyDescent="0.35">
      <c r="A665" s="31">
        <v>44948</v>
      </c>
      <c r="B665" s="32" t="s">
        <v>12</v>
      </c>
      <c r="C665" s="32" t="s">
        <v>16</v>
      </c>
      <c r="D665" s="32" t="s">
        <v>25</v>
      </c>
      <c r="E665" s="32" t="s">
        <v>15</v>
      </c>
      <c r="F665" s="32">
        <v>1</v>
      </c>
      <c r="G665" s="32">
        <v>13</v>
      </c>
      <c r="H665" s="32" t="s">
        <v>51</v>
      </c>
      <c r="I665" s="32">
        <v>50</v>
      </c>
      <c r="J665" s="32">
        <v>818.58</v>
      </c>
      <c r="K665" s="32">
        <v>10641.54</v>
      </c>
    </row>
    <row r="666" spans="1:11" ht="15.5" hidden="1" x14ac:dyDescent="0.35">
      <c r="A666" s="31">
        <v>45241</v>
      </c>
      <c r="B666" s="32" t="s">
        <v>12</v>
      </c>
      <c r="C666" s="32" t="s">
        <v>13</v>
      </c>
      <c r="D666" s="32" t="s">
        <v>33</v>
      </c>
      <c r="E666" s="32" t="s">
        <v>18</v>
      </c>
      <c r="F666" s="32">
        <v>4</v>
      </c>
      <c r="G666" s="32">
        <v>10</v>
      </c>
      <c r="H666" s="32" t="s">
        <v>52</v>
      </c>
      <c r="I666" s="32">
        <v>21</v>
      </c>
      <c r="J666" s="32">
        <v>2539.6799999999998</v>
      </c>
      <c r="K666" s="32">
        <v>25396.799999999999</v>
      </c>
    </row>
    <row r="667" spans="1:11" ht="15.5" hidden="1" x14ac:dyDescent="0.35">
      <c r="A667" s="31">
        <v>45229</v>
      </c>
      <c r="B667" s="32" t="s">
        <v>12</v>
      </c>
      <c r="C667" s="32" t="s">
        <v>16</v>
      </c>
      <c r="D667" s="32" t="s">
        <v>25</v>
      </c>
      <c r="E667" s="32" t="s">
        <v>27</v>
      </c>
      <c r="F667" s="32">
        <v>2</v>
      </c>
      <c r="G667" s="32">
        <v>7</v>
      </c>
      <c r="H667" s="32" t="s">
        <v>53</v>
      </c>
      <c r="I667" s="32">
        <v>49</v>
      </c>
      <c r="J667" s="32">
        <v>1316.13</v>
      </c>
      <c r="K667" s="32">
        <v>9212.91</v>
      </c>
    </row>
    <row r="668" spans="1:11" ht="15.5" hidden="1" x14ac:dyDescent="0.35">
      <c r="A668" s="31">
        <v>44992</v>
      </c>
      <c r="B668" s="32" t="s">
        <v>12</v>
      </c>
      <c r="C668" s="32" t="s">
        <v>13</v>
      </c>
      <c r="D668" s="32" t="s">
        <v>14</v>
      </c>
      <c r="E668" s="32" t="s">
        <v>18</v>
      </c>
      <c r="F668" s="32">
        <v>4</v>
      </c>
      <c r="G668" s="32">
        <v>5</v>
      </c>
      <c r="H668" s="32" t="s">
        <v>54</v>
      </c>
      <c r="I668" s="32">
        <v>28</v>
      </c>
      <c r="J668" s="32">
        <v>1991.64</v>
      </c>
      <c r="K668" s="32">
        <v>9958.2000000000007</v>
      </c>
    </row>
    <row r="669" spans="1:11" ht="15.5" hidden="1" x14ac:dyDescent="0.35">
      <c r="A669" s="31">
        <v>45101</v>
      </c>
      <c r="B669" s="32" t="s">
        <v>12</v>
      </c>
      <c r="C669" s="32" t="s">
        <v>13</v>
      </c>
      <c r="D669" s="32" t="s">
        <v>26</v>
      </c>
      <c r="E669" s="32" t="s">
        <v>18</v>
      </c>
      <c r="F669" s="32">
        <v>4</v>
      </c>
      <c r="G669" s="32">
        <v>12</v>
      </c>
      <c r="H669" s="32" t="s">
        <v>55</v>
      </c>
      <c r="I669" s="32">
        <v>21</v>
      </c>
      <c r="J669" s="32">
        <v>4572.79</v>
      </c>
      <c r="K669" s="32">
        <v>54873.48</v>
      </c>
    </row>
    <row r="670" spans="1:11" ht="15.5" hidden="1" x14ac:dyDescent="0.35">
      <c r="A670" s="31">
        <v>45028</v>
      </c>
      <c r="B670" s="32" t="s">
        <v>12</v>
      </c>
      <c r="C670" s="32" t="s">
        <v>13</v>
      </c>
      <c r="D670" s="32" t="s">
        <v>26</v>
      </c>
      <c r="E670" s="32" t="s">
        <v>18</v>
      </c>
      <c r="F670" s="32">
        <v>4</v>
      </c>
      <c r="G670" s="32">
        <v>2</v>
      </c>
      <c r="H670" s="32" t="s">
        <v>56</v>
      </c>
      <c r="I670" s="32">
        <v>41</v>
      </c>
      <c r="J670" s="32">
        <v>2493.06</v>
      </c>
      <c r="K670" s="32">
        <v>4986.12</v>
      </c>
    </row>
    <row r="671" spans="1:11" ht="15.5" hidden="1" x14ac:dyDescent="0.35">
      <c r="A671" s="31">
        <v>44957</v>
      </c>
      <c r="B671" s="32" t="s">
        <v>12</v>
      </c>
      <c r="C671" s="32" t="s">
        <v>13</v>
      </c>
      <c r="D671" s="32" t="s">
        <v>14</v>
      </c>
      <c r="E671" s="32" t="s">
        <v>27</v>
      </c>
      <c r="F671" s="32">
        <v>2</v>
      </c>
      <c r="G671" s="32">
        <v>15</v>
      </c>
      <c r="H671" s="32" t="s">
        <v>57</v>
      </c>
      <c r="I671" s="32">
        <v>38</v>
      </c>
      <c r="J671" s="32">
        <v>3270.81</v>
      </c>
      <c r="K671" s="32">
        <v>49062.15</v>
      </c>
    </row>
    <row r="672" spans="1:11" ht="15.5" x14ac:dyDescent="0.35">
      <c r="A672" s="31">
        <v>45283</v>
      </c>
      <c r="B672" s="32" t="s">
        <v>8</v>
      </c>
      <c r="C672" s="32" t="s">
        <v>28</v>
      </c>
      <c r="D672" s="32" t="s">
        <v>29</v>
      </c>
      <c r="E672" s="32" t="s">
        <v>11</v>
      </c>
      <c r="F672" s="32">
        <v>5</v>
      </c>
      <c r="G672" s="32">
        <v>8</v>
      </c>
      <c r="H672" s="32" t="s">
        <v>58</v>
      </c>
      <c r="I672" s="32">
        <v>35</v>
      </c>
      <c r="J672" s="32">
        <v>4009.51</v>
      </c>
      <c r="K672" s="32">
        <v>32076.080000000002</v>
      </c>
    </row>
    <row r="673" spans="1:11" ht="15.5" hidden="1" x14ac:dyDescent="0.35">
      <c r="A673" s="31">
        <v>44976</v>
      </c>
      <c r="B673" s="32" t="s">
        <v>8</v>
      </c>
      <c r="C673" s="32" t="s">
        <v>28</v>
      </c>
      <c r="D673" s="32" t="s">
        <v>29</v>
      </c>
      <c r="E673" s="32" t="s">
        <v>18</v>
      </c>
      <c r="F673" s="32">
        <v>4</v>
      </c>
      <c r="G673" s="32">
        <v>1</v>
      </c>
      <c r="H673" s="32" t="s">
        <v>59</v>
      </c>
      <c r="I673" s="32">
        <v>23</v>
      </c>
      <c r="J673" s="32">
        <v>302.02</v>
      </c>
      <c r="K673" s="32">
        <v>302.02</v>
      </c>
    </row>
    <row r="674" spans="1:11" ht="15.5" x14ac:dyDescent="0.35">
      <c r="A674" s="31">
        <v>45291</v>
      </c>
      <c r="B674" s="32" t="s">
        <v>8</v>
      </c>
      <c r="C674" s="32" t="s">
        <v>9</v>
      </c>
      <c r="D674" s="32" t="s">
        <v>31</v>
      </c>
      <c r="E674" s="32" t="s">
        <v>11</v>
      </c>
      <c r="F674" s="32">
        <v>5</v>
      </c>
      <c r="G674" s="32">
        <v>10</v>
      </c>
      <c r="H674" s="32" t="s">
        <v>48</v>
      </c>
      <c r="I674" s="32">
        <v>52</v>
      </c>
      <c r="J674" s="32">
        <v>4995.74</v>
      </c>
      <c r="K674" s="32">
        <v>49957.4</v>
      </c>
    </row>
    <row r="675" spans="1:11" ht="15.5" x14ac:dyDescent="0.35">
      <c r="A675" s="31">
        <v>44927</v>
      </c>
      <c r="B675" s="32" t="s">
        <v>8</v>
      </c>
      <c r="C675" s="32" t="s">
        <v>9</v>
      </c>
      <c r="D675" s="32" t="s">
        <v>10</v>
      </c>
      <c r="E675" s="32" t="s">
        <v>11</v>
      </c>
      <c r="F675" s="32">
        <v>5</v>
      </c>
      <c r="G675" s="32">
        <v>9</v>
      </c>
      <c r="H675" s="32" t="s">
        <v>49</v>
      </c>
      <c r="I675" s="32">
        <v>27</v>
      </c>
      <c r="J675" s="32">
        <v>4858.75</v>
      </c>
      <c r="K675" s="32">
        <v>43728.75</v>
      </c>
    </row>
    <row r="676" spans="1:11" ht="15.5" hidden="1" x14ac:dyDescent="0.35">
      <c r="A676" s="31">
        <v>45001</v>
      </c>
      <c r="B676" s="32" t="s">
        <v>8</v>
      </c>
      <c r="C676" s="32" t="s">
        <v>28</v>
      </c>
      <c r="D676" s="32" t="s">
        <v>32</v>
      </c>
      <c r="E676" s="32" t="s">
        <v>27</v>
      </c>
      <c r="F676" s="32">
        <v>2</v>
      </c>
      <c r="G676" s="32">
        <v>2</v>
      </c>
      <c r="H676" s="32" t="s">
        <v>50</v>
      </c>
      <c r="I676" s="32">
        <v>49</v>
      </c>
      <c r="J676" s="32">
        <v>1971</v>
      </c>
      <c r="K676" s="32">
        <v>3942</v>
      </c>
    </row>
    <row r="677" spans="1:11" ht="15.5" hidden="1" x14ac:dyDescent="0.35">
      <c r="A677" s="31">
        <v>45245</v>
      </c>
      <c r="B677" s="32" t="s">
        <v>8</v>
      </c>
      <c r="C677" s="32" t="s">
        <v>9</v>
      </c>
      <c r="D677" s="32" t="s">
        <v>23</v>
      </c>
      <c r="E677" s="32" t="s">
        <v>27</v>
      </c>
      <c r="F677" s="32">
        <v>2</v>
      </c>
      <c r="G677" s="32">
        <v>12</v>
      </c>
      <c r="H677" s="32" t="s">
        <v>51</v>
      </c>
      <c r="I677" s="32">
        <v>19</v>
      </c>
      <c r="J677" s="32">
        <v>4713.26</v>
      </c>
      <c r="K677" s="32">
        <v>56559.12</v>
      </c>
    </row>
    <row r="678" spans="1:11" ht="15.5" hidden="1" x14ac:dyDescent="0.35">
      <c r="A678" s="31">
        <v>45226</v>
      </c>
      <c r="B678" s="32" t="s">
        <v>20</v>
      </c>
      <c r="C678" s="32" t="s">
        <v>21</v>
      </c>
      <c r="D678" s="32" t="s">
        <v>22</v>
      </c>
      <c r="E678" s="32" t="s">
        <v>15</v>
      </c>
      <c r="F678" s="32">
        <v>1</v>
      </c>
      <c r="G678" s="32">
        <v>5</v>
      </c>
      <c r="H678" s="32" t="s">
        <v>52</v>
      </c>
      <c r="I678" s="32">
        <v>50</v>
      </c>
      <c r="J678" s="32">
        <v>4993.87</v>
      </c>
      <c r="K678" s="32">
        <v>24969.35</v>
      </c>
    </row>
    <row r="679" spans="1:11" ht="15.5" hidden="1" x14ac:dyDescent="0.35">
      <c r="A679" s="31">
        <v>45100</v>
      </c>
      <c r="B679" s="32" t="s">
        <v>8</v>
      </c>
      <c r="C679" s="32" t="s">
        <v>28</v>
      </c>
      <c r="D679" s="32" t="s">
        <v>29</v>
      </c>
      <c r="E679" s="32" t="s">
        <v>27</v>
      </c>
      <c r="F679" s="32">
        <v>2</v>
      </c>
      <c r="G679" s="32">
        <v>12</v>
      </c>
      <c r="H679" s="32" t="s">
        <v>53</v>
      </c>
      <c r="I679" s="32">
        <v>22</v>
      </c>
      <c r="J679" s="32">
        <v>255.59</v>
      </c>
      <c r="K679" s="32">
        <v>3067.08</v>
      </c>
    </row>
    <row r="680" spans="1:11" ht="15.5" hidden="1" x14ac:dyDescent="0.35">
      <c r="A680" s="31">
        <v>45173</v>
      </c>
      <c r="B680" s="32" t="s">
        <v>12</v>
      </c>
      <c r="C680" s="32" t="s">
        <v>13</v>
      </c>
      <c r="D680" s="32" t="s">
        <v>14</v>
      </c>
      <c r="E680" s="32" t="s">
        <v>27</v>
      </c>
      <c r="F680" s="32">
        <v>2</v>
      </c>
      <c r="G680" s="32">
        <v>11</v>
      </c>
      <c r="H680" s="32" t="s">
        <v>54</v>
      </c>
      <c r="I680" s="32">
        <v>29</v>
      </c>
      <c r="J680" s="32">
        <v>1169.3</v>
      </c>
      <c r="K680" s="32">
        <v>12862.3</v>
      </c>
    </row>
    <row r="681" spans="1:11" ht="15.5" hidden="1" x14ac:dyDescent="0.35">
      <c r="A681" s="31">
        <v>45014</v>
      </c>
      <c r="B681" s="32" t="s">
        <v>8</v>
      </c>
      <c r="C681" s="32" t="s">
        <v>9</v>
      </c>
      <c r="D681" s="32" t="s">
        <v>31</v>
      </c>
      <c r="E681" s="32" t="s">
        <v>15</v>
      </c>
      <c r="F681" s="32">
        <v>1</v>
      </c>
      <c r="G681" s="32">
        <v>12</v>
      </c>
      <c r="H681" s="32" t="s">
        <v>55</v>
      </c>
      <c r="I681" s="32">
        <v>34</v>
      </c>
      <c r="J681" s="32">
        <v>593.52</v>
      </c>
      <c r="K681" s="32">
        <v>7122.24</v>
      </c>
    </row>
    <row r="682" spans="1:11" ht="15.5" x14ac:dyDescent="0.35">
      <c r="A682" s="31">
        <v>45280</v>
      </c>
      <c r="B682" s="32" t="s">
        <v>8</v>
      </c>
      <c r="C682" s="32" t="s">
        <v>9</v>
      </c>
      <c r="D682" s="32" t="s">
        <v>31</v>
      </c>
      <c r="E682" s="32" t="s">
        <v>11</v>
      </c>
      <c r="F682" s="32">
        <v>5</v>
      </c>
      <c r="G682" s="32">
        <v>7</v>
      </c>
      <c r="H682" s="32" t="s">
        <v>56</v>
      </c>
      <c r="I682" s="32">
        <v>31</v>
      </c>
      <c r="J682" s="32">
        <v>1711.81</v>
      </c>
      <c r="K682" s="32">
        <v>11982.67</v>
      </c>
    </row>
    <row r="683" spans="1:11" ht="15.5" hidden="1" x14ac:dyDescent="0.35">
      <c r="A683" s="31">
        <v>45201</v>
      </c>
      <c r="B683" s="32" t="s">
        <v>12</v>
      </c>
      <c r="C683" s="32" t="s">
        <v>13</v>
      </c>
      <c r="D683" s="32" t="s">
        <v>26</v>
      </c>
      <c r="E683" s="32" t="s">
        <v>24</v>
      </c>
      <c r="F683" s="32">
        <v>3</v>
      </c>
      <c r="G683" s="32">
        <v>12</v>
      </c>
      <c r="H683" s="32" t="s">
        <v>57</v>
      </c>
      <c r="I683" s="32">
        <v>53</v>
      </c>
      <c r="J683" s="32">
        <v>4945.7700000000004</v>
      </c>
      <c r="K683" s="32">
        <v>59349.24</v>
      </c>
    </row>
    <row r="684" spans="1:11" ht="15.5" hidden="1" x14ac:dyDescent="0.35">
      <c r="A684" s="31">
        <v>45127</v>
      </c>
      <c r="B684" s="32" t="s">
        <v>20</v>
      </c>
      <c r="C684" s="32" t="s">
        <v>21</v>
      </c>
      <c r="D684" s="32" t="s">
        <v>22</v>
      </c>
      <c r="E684" s="32" t="s">
        <v>24</v>
      </c>
      <c r="F684" s="32">
        <v>3</v>
      </c>
      <c r="G684" s="32">
        <v>17</v>
      </c>
      <c r="H684" s="32" t="s">
        <v>58</v>
      </c>
      <c r="I684" s="32">
        <v>18</v>
      </c>
      <c r="J684" s="32">
        <v>4502.3900000000003</v>
      </c>
      <c r="K684" s="32">
        <v>76540.63</v>
      </c>
    </row>
    <row r="685" spans="1:11" ht="15.5" x14ac:dyDescent="0.35">
      <c r="A685" s="31">
        <v>45096</v>
      </c>
      <c r="B685" s="32" t="s">
        <v>8</v>
      </c>
      <c r="C685" s="32" t="s">
        <v>9</v>
      </c>
      <c r="D685" s="32" t="s">
        <v>23</v>
      </c>
      <c r="E685" s="32" t="s">
        <v>11</v>
      </c>
      <c r="F685" s="32">
        <v>5</v>
      </c>
      <c r="G685" s="32">
        <v>3</v>
      </c>
      <c r="H685" s="32" t="s">
        <v>59</v>
      </c>
      <c r="I685" s="32">
        <v>40</v>
      </c>
      <c r="J685" s="32">
        <v>264.98</v>
      </c>
      <c r="K685" s="32">
        <v>794.94</v>
      </c>
    </row>
    <row r="686" spans="1:11" ht="15.5" hidden="1" x14ac:dyDescent="0.35">
      <c r="A686" s="31">
        <v>45171</v>
      </c>
      <c r="B686" s="32" t="s">
        <v>12</v>
      </c>
      <c r="C686" s="32" t="s">
        <v>13</v>
      </c>
      <c r="D686" s="32" t="s">
        <v>33</v>
      </c>
      <c r="E686" s="32" t="s">
        <v>15</v>
      </c>
      <c r="F686" s="32">
        <v>1</v>
      </c>
      <c r="G686" s="32">
        <v>11</v>
      </c>
      <c r="H686" s="32" t="s">
        <v>48</v>
      </c>
      <c r="I686" s="32">
        <v>52</v>
      </c>
      <c r="J686" s="32">
        <v>4758.46</v>
      </c>
      <c r="K686" s="32">
        <v>52343.06</v>
      </c>
    </row>
    <row r="687" spans="1:11" ht="15.5" hidden="1" x14ac:dyDescent="0.35">
      <c r="A687" s="31">
        <v>45030</v>
      </c>
      <c r="B687" s="32" t="s">
        <v>8</v>
      </c>
      <c r="C687" s="32" t="s">
        <v>9</v>
      </c>
      <c r="D687" s="32" t="s">
        <v>31</v>
      </c>
      <c r="E687" s="32" t="s">
        <v>15</v>
      </c>
      <c r="F687" s="32">
        <v>1</v>
      </c>
      <c r="G687" s="32">
        <v>1</v>
      </c>
      <c r="H687" s="32" t="s">
        <v>49</v>
      </c>
      <c r="I687" s="32">
        <v>27</v>
      </c>
      <c r="J687" s="32">
        <v>2517.3200000000002</v>
      </c>
      <c r="K687" s="32">
        <v>2517.3200000000002</v>
      </c>
    </row>
    <row r="688" spans="1:11" ht="15.5" hidden="1" x14ac:dyDescent="0.35">
      <c r="A688" s="31">
        <v>45072</v>
      </c>
      <c r="B688" s="32" t="s">
        <v>12</v>
      </c>
      <c r="C688" s="32" t="s">
        <v>13</v>
      </c>
      <c r="D688" s="32" t="s">
        <v>33</v>
      </c>
      <c r="E688" s="32" t="s">
        <v>18</v>
      </c>
      <c r="F688" s="32">
        <v>4</v>
      </c>
      <c r="G688" s="32">
        <v>16</v>
      </c>
      <c r="H688" s="32" t="s">
        <v>50</v>
      </c>
      <c r="I688" s="32">
        <v>37</v>
      </c>
      <c r="J688" s="32">
        <v>2231.67</v>
      </c>
      <c r="K688" s="32">
        <v>35706.720000000001</v>
      </c>
    </row>
    <row r="689" spans="1:11" ht="15.5" hidden="1" x14ac:dyDescent="0.35">
      <c r="A689" s="31">
        <v>45191</v>
      </c>
      <c r="B689" s="32" t="s">
        <v>12</v>
      </c>
      <c r="C689" s="32" t="s">
        <v>16</v>
      </c>
      <c r="D689" s="32" t="s">
        <v>17</v>
      </c>
      <c r="E689" s="32" t="s">
        <v>27</v>
      </c>
      <c r="F689" s="32">
        <v>2</v>
      </c>
      <c r="G689" s="32">
        <v>20</v>
      </c>
      <c r="H689" s="32" t="s">
        <v>51</v>
      </c>
      <c r="I689" s="32">
        <v>37</v>
      </c>
      <c r="J689" s="32">
        <v>4710.8500000000004</v>
      </c>
      <c r="K689" s="32">
        <v>94217</v>
      </c>
    </row>
    <row r="690" spans="1:11" ht="15.5" x14ac:dyDescent="0.35">
      <c r="A690" s="31">
        <v>45066</v>
      </c>
      <c r="B690" s="32" t="s">
        <v>20</v>
      </c>
      <c r="C690" s="32" t="s">
        <v>21</v>
      </c>
      <c r="D690" s="32" t="s">
        <v>34</v>
      </c>
      <c r="E690" s="32" t="s">
        <v>11</v>
      </c>
      <c r="F690" s="32">
        <v>5</v>
      </c>
      <c r="G690" s="32">
        <v>13</v>
      </c>
      <c r="H690" s="32" t="s">
        <v>52</v>
      </c>
      <c r="I690" s="32">
        <v>43</v>
      </c>
      <c r="J690" s="32">
        <v>3423.36</v>
      </c>
      <c r="K690" s="32">
        <v>44503.68</v>
      </c>
    </row>
    <row r="691" spans="1:11" ht="15.5" hidden="1" x14ac:dyDescent="0.35">
      <c r="A691" s="31">
        <v>45045</v>
      </c>
      <c r="B691" s="32" t="s">
        <v>8</v>
      </c>
      <c r="C691" s="32" t="s">
        <v>9</v>
      </c>
      <c r="D691" s="32" t="s">
        <v>31</v>
      </c>
      <c r="E691" s="32" t="s">
        <v>24</v>
      </c>
      <c r="F691" s="32">
        <v>3</v>
      </c>
      <c r="G691" s="32">
        <v>12</v>
      </c>
      <c r="H691" s="32" t="s">
        <v>53</v>
      </c>
      <c r="I691" s="32">
        <v>32</v>
      </c>
      <c r="J691" s="32">
        <v>3686.27</v>
      </c>
      <c r="K691" s="32">
        <v>44235.24</v>
      </c>
    </row>
    <row r="692" spans="1:11" ht="15.5" hidden="1" x14ac:dyDescent="0.35">
      <c r="A692" s="31">
        <v>44964</v>
      </c>
      <c r="B692" s="32" t="s">
        <v>12</v>
      </c>
      <c r="C692" s="32" t="s">
        <v>16</v>
      </c>
      <c r="D692" s="32" t="s">
        <v>17</v>
      </c>
      <c r="E692" s="32" t="s">
        <v>24</v>
      </c>
      <c r="F692" s="32">
        <v>3</v>
      </c>
      <c r="G692" s="32">
        <v>8</v>
      </c>
      <c r="H692" s="32" t="s">
        <v>54</v>
      </c>
      <c r="I692" s="32">
        <v>54</v>
      </c>
      <c r="J692" s="32">
        <v>562.98</v>
      </c>
      <c r="K692" s="32">
        <v>4503.84</v>
      </c>
    </row>
    <row r="693" spans="1:11" ht="15.5" hidden="1" x14ac:dyDescent="0.35">
      <c r="A693" s="31">
        <v>45122</v>
      </c>
      <c r="B693" s="32" t="s">
        <v>12</v>
      </c>
      <c r="C693" s="32" t="s">
        <v>13</v>
      </c>
      <c r="D693" s="32" t="s">
        <v>33</v>
      </c>
      <c r="E693" s="32" t="s">
        <v>18</v>
      </c>
      <c r="F693" s="32">
        <v>4</v>
      </c>
      <c r="G693" s="32">
        <v>11</v>
      </c>
      <c r="H693" s="32" t="s">
        <v>55</v>
      </c>
      <c r="I693" s="32">
        <v>52</v>
      </c>
      <c r="J693" s="32">
        <v>3590.89</v>
      </c>
      <c r="K693" s="32">
        <v>39499.79</v>
      </c>
    </row>
    <row r="694" spans="1:11" ht="15.5" x14ac:dyDescent="0.35">
      <c r="A694" s="31">
        <v>45286</v>
      </c>
      <c r="B694" s="32" t="s">
        <v>8</v>
      </c>
      <c r="C694" s="32" t="s">
        <v>9</v>
      </c>
      <c r="D694" s="32" t="s">
        <v>31</v>
      </c>
      <c r="E694" s="32" t="s">
        <v>11</v>
      </c>
      <c r="F694" s="32">
        <v>5</v>
      </c>
      <c r="G694" s="32">
        <v>12</v>
      </c>
      <c r="H694" s="32" t="s">
        <v>56</v>
      </c>
      <c r="I694" s="32">
        <v>54</v>
      </c>
      <c r="J694" s="32">
        <v>4765.33</v>
      </c>
      <c r="K694" s="32">
        <v>57183.96</v>
      </c>
    </row>
    <row r="695" spans="1:11" ht="15.5" hidden="1" x14ac:dyDescent="0.35">
      <c r="A695" s="31">
        <v>45222</v>
      </c>
      <c r="B695" s="32" t="s">
        <v>12</v>
      </c>
      <c r="C695" s="32" t="s">
        <v>16</v>
      </c>
      <c r="D695" s="32" t="s">
        <v>19</v>
      </c>
      <c r="E695" s="32" t="s">
        <v>15</v>
      </c>
      <c r="F695" s="32">
        <v>1</v>
      </c>
      <c r="G695" s="32">
        <v>18</v>
      </c>
      <c r="H695" s="32" t="s">
        <v>57</v>
      </c>
      <c r="I695" s="32">
        <v>23</v>
      </c>
      <c r="J695" s="32">
        <v>913.13</v>
      </c>
      <c r="K695" s="32">
        <v>16436.34</v>
      </c>
    </row>
    <row r="696" spans="1:11" ht="15.5" hidden="1" x14ac:dyDescent="0.35">
      <c r="A696" s="31">
        <v>44966</v>
      </c>
      <c r="B696" s="32" t="s">
        <v>20</v>
      </c>
      <c r="C696" s="32" t="s">
        <v>21</v>
      </c>
      <c r="D696" s="32" t="s">
        <v>35</v>
      </c>
      <c r="E696" s="32" t="s">
        <v>18</v>
      </c>
      <c r="F696" s="32">
        <v>4</v>
      </c>
      <c r="G696" s="32">
        <v>18</v>
      </c>
      <c r="H696" s="32" t="s">
        <v>58</v>
      </c>
      <c r="I696" s="32">
        <v>26</v>
      </c>
      <c r="J696" s="32">
        <v>497.68</v>
      </c>
      <c r="K696" s="32">
        <v>8958.24</v>
      </c>
    </row>
    <row r="697" spans="1:11" ht="15.5" hidden="1" x14ac:dyDescent="0.35">
      <c r="A697" s="31">
        <v>45257</v>
      </c>
      <c r="B697" s="32" t="s">
        <v>8</v>
      </c>
      <c r="C697" s="32" t="s">
        <v>28</v>
      </c>
      <c r="D697" s="32" t="s">
        <v>32</v>
      </c>
      <c r="E697" s="32" t="s">
        <v>15</v>
      </c>
      <c r="F697" s="32">
        <v>1</v>
      </c>
      <c r="G697" s="32">
        <v>4</v>
      </c>
      <c r="H697" s="32" t="s">
        <v>59</v>
      </c>
      <c r="I697" s="32">
        <v>35</v>
      </c>
      <c r="J697" s="32">
        <v>1303.8800000000001</v>
      </c>
      <c r="K697" s="32">
        <v>5215.5200000000004</v>
      </c>
    </row>
    <row r="698" spans="1:11" ht="15.5" hidden="1" x14ac:dyDescent="0.35">
      <c r="A698" s="31">
        <v>45114</v>
      </c>
      <c r="B698" s="32" t="s">
        <v>12</v>
      </c>
      <c r="C698" s="32" t="s">
        <v>13</v>
      </c>
      <c r="D698" s="32" t="s">
        <v>33</v>
      </c>
      <c r="E698" s="32" t="s">
        <v>18</v>
      </c>
      <c r="F698" s="32">
        <v>4</v>
      </c>
      <c r="G698" s="32">
        <v>15</v>
      </c>
      <c r="H698" s="32" t="s">
        <v>48</v>
      </c>
      <c r="I698" s="32">
        <v>46</v>
      </c>
      <c r="J698" s="32">
        <v>2477.09</v>
      </c>
      <c r="K698" s="32">
        <v>37156.35</v>
      </c>
    </row>
    <row r="699" spans="1:11" ht="15.5" hidden="1" x14ac:dyDescent="0.35">
      <c r="A699" s="31">
        <v>45118</v>
      </c>
      <c r="B699" s="32" t="s">
        <v>12</v>
      </c>
      <c r="C699" s="32" t="s">
        <v>16</v>
      </c>
      <c r="D699" s="32" t="s">
        <v>17</v>
      </c>
      <c r="E699" s="32" t="s">
        <v>15</v>
      </c>
      <c r="F699" s="32">
        <v>1</v>
      </c>
      <c r="G699" s="32">
        <v>13</v>
      </c>
      <c r="H699" s="32" t="s">
        <v>49</v>
      </c>
      <c r="I699" s="32">
        <v>30</v>
      </c>
      <c r="J699" s="32">
        <v>4021.84</v>
      </c>
      <c r="K699" s="32">
        <v>52283.92</v>
      </c>
    </row>
    <row r="700" spans="1:11" ht="15.5" x14ac:dyDescent="0.35">
      <c r="A700" s="31">
        <v>45166</v>
      </c>
      <c r="B700" s="32" t="s">
        <v>12</v>
      </c>
      <c r="C700" s="32" t="s">
        <v>13</v>
      </c>
      <c r="D700" s="32" t="s">
        <v>33</v>
      </c>
      <c r="E700" s="32" t="s">
        <v>11</v>
      </c>
      <c r="F700" s="32">
        <v>5</v>
      </c>
      <c r="G700" s="32">
        <v>7</v>
      </c>
      <c r="H700" s="32" t="s">
        <v>50</v>
      </c>
      <c r="I700" s="32">
        <v>29</v>
      </c>
      <c r="J700" s="32">
        <v>4083.1</v>
      </c>
      <c r="K700" s="32">
        <v>28581.7</v>
      </c>
    </row>
    <row r="701" spans="1:11" ht="15.5" hidden="1" x14ac:dyDescent="0.35">
      <c r="A701" s="31">
        <v>44993</v>
      </c>
      <c r="B701" s="32" t="s">
        <v>12</v>
      </c>
      <c r="C701" s="32" t="s">
        <v>16</v>
      </c>
      <c r="D701" s="32" t="s">
        <v>17</v>
      </c>
      <c r="E701" s="32" t="s">
        <v>18</v>
      </c>
      <c r="F701" s="32">
        <v>4</v>
      </c>
      <c r="G701" s="32">
        <v>17</v>
      </c>
      <c r="H701" s="32" t="s">
        <v>51</v>
      </c>
      <c r="I701" s="32">
        <v>47</v>
      </c>
      <c r="J701" s="32">
        <v>2603.4899999999998</v>
      </c>
      <c r="K701" s="32">
        <v>44259.33</v>
      </c>
    </row>
    <row r="702" spans="1:11" ht="15.5" hidden="1" x14ac:dyDescent="0.35">
      <c r="A702" s="31">
        <v>45222</v>
      </c>
      <c r="B702" s="32" t="s">
        <v>12</v>
      </c>
      <c r="C702" s="32" t="s">
        <v>13</v>
      </c>
      <c r="D702" s="32" t="s">
        <v>33</v>
      </c>
      <c r="E702" s="32" t="s">
        <v>27</v>
      </c>
      <c r="F702" s="32">
        <v>2</v>
      </c>
      <c r="G702" s="32">
        <v>19</v>
      </c>
      <c r="H702" s="32" t="s">
        <v>52</v>
      </c>
      <c r="I702" s="32">
        <v>48</v>
      </c>
      <c r="J702" s="32">
        <v>2900.31</v>
      </c>
      <c r="K702" s="32">
        <v>55105.89</v>
      </c>
    </row>
    <row r="703" spans="1:11" ht="15.5" hidden="1" x14ac:dyDescent="0.35">
      <c r="A703" s="31">
        <v>45127</v>
      </c>
      <c r="B703" s="32" t="s">
        <v>8</v>
      </c>
      <c r="C703" s="32" t="s">
        <v>28</v>
      </c>
      <c r="D703" s="32" t="s">
        <v>30</v>
      </c>
      <c r="E703" s="32" t="s">
        <v>24</v>
      </c>
      <c r="F703" s="32">
        <v>3</v>
      </c>
      <c r="G703" s="32">
        <v>2</v>
      </c>
      <c r="H703" s="32" t="s">
        <v>53</v>
      </c>
      <c r="I703" s="32">
        <v>54</v>
      </c>
      <c r="J703" s="32">
        <v>1316.79</v>
      </c>
      <c r="K703" s="32">
        <v>2633.58</v>
      </c>
    </row>
    <row r="704" spans="1:11" ht="15.5" x14ac:dyDescent="0.35">
      <c r="A704" s="31">
        <v>45110</v>
      </c>
      <c r="B704" s="32" t="s">
        <v>8</v>
      </c>
      <c r="C704" s="32" t="s">
        <v>9</v>
      </c>
      <c r="D704" s="32" t="s">
        <v>31</v>
      </c>
      <c r="E704" s="32" t="s">
        <v>11</v>
      </c>
      <c r="F704" s="32">
        <v>5</v>
      </c>
      <c r="G704" s="32">
        <v>5</v>
      </c>
      <c r="H704" s="32" t="s">
        <v>54</v>
      </c>
      <c r="I704" s="32">
        <v>21</v>
      </c>
      <c r="J704" s="32">
        <v>4716.38</v>
      </c>
      <c r="K704" s="32">
        <v>23581.9</v>
      </c>
    </row>
    <row r="705" spans="1:11" ht="15.5" hidden="1" x14ac:dyDescent="0.35">
      <c r="A705" s="31">
        <v>45185</v>
      </c>
      <c r="B705" s="32" t="s">
        <v>12</v>
      </c>
      <c r="C705" s="32" t="s">
        <v>16</v>
      </c>
      <c r="D705" s="32" t="s">
        <v>25</v>
      </c>
      <c r="E705" s="32" t="s">
        <v>15</v>
      </c>
      <c r="F705" s="32">
        <v>1</v>
      </c>
      <c r="G705" s="32">
        <v>4</v>
      </c>
      <c r="H705" s="32" t="s">
        <v>55</v>
      </c>
      <c r="I705" s="32">
        <v>38</v>
      </c>
      <c r="J705" s="32">
        <v>4961.01</v>
      </c>
      <c r="K705" s="32">
        <v>19844.04</v>
      </c>
    </row>
    <row r="706" spans="1:11" ht="15.5" hidden="1" x14ac:dyDescent="0.35">
      <c r="A706" s="31">
        <v>44994</v>
      </c>
      <c r="B706" s="32" t="s">
        <v>8</v>
      </c>
      <c r="C706" s="32" t="s">
        <v>28</v>
      </c>
      <c r="D706" s="32" t="s">
        <v>29</v>
      </c>
      <c r="E706" s="32" t="s">
        <v>18</v>
      </c>
      <c r="F706" s="32">
        <v>4</v>
      </c>
      <c r="G706" s="32">
        <v>7</v>
      </c>
      <c r="H706" s="32" t="s">
        <v>56</v>
      </c>
      <c r="I706" s="32">
        <v>40</v>
      </c>
      <c r="J706" s="32">
        <v>1500.87</v>
      </c>
      <c r="K706" s="32">
        <v>10506.09</v>
      </c>
    </row>
    <row r="707" spans="1:11" ht="15.5" hidden="1" x14ac:dyDescent="0.35">
      <c r="A707" s="31">
        <v>44953</v>
      </c>
      <c r="B707" s="32" t="s">
        <v>8</v>
      </c>
      <c r="C707" s="32" t="s">
        <v>28</v>
      </c>
      <c r="D707" s="32" t="s">
        <v>32</v>
      </c>
      <c r="E707" s="32" t="s">
        <v>18</v>
      </c>
      <c r="F707" s="32">
        <v>4</v>
      </c>
      <c r="G707" s="32">
        <v>5</v>
      </c>
      <c r="H707" s="32" t="s">
        <v>57</v>
      </c>
      <c r="I707" s="32">
        <v>52</v>
      </c>
      <c r="J707" s="32">
        <v>879.82</v>
      </c>
      <c r="K707" s="32">
        <v>4399.1000000000004</v>
      </c>
    </row>
    <row r="708" spans="1:11" ht="15.5" hidden="1" x14ac:dyDescent="0.35">
      <c r="A708" s="31">
        <v>45213</v>
      </c>
      <c r="B708" s="32" t="s">
        <v>8</v>
      </c>
      <c r="C708" s="32" t="s">
        <v>28</v>
      </c>
      <c r="D708" s="32" t="s">
        <v>29</v>
      </c>
      <c r="E708" s="32" t="s">
        <v>24</v>
      </c>
      <c r="F708" s="32">
        <v>3</v>
      </c>
      <c r="G708" s="32">
        <v>2</v>
      </c>
      <c r="H708" s="32" t="s">
        <v>58</v>
      </c>
      <c r="I708" s="32">
        <v>44</v>
      </c>
      <c r="J708" s="32">
        <v>2400.5500000000002</v>
      </c>
      <c r="K708" s="32">
        <v>4801.1000000000004</v>
      </c>
    </row>
    <row r="709" spans="1:11" ht="15.5" hidden="1" x14ac:dyDescent="0.35">
      <c r="A709" s="31">
        <v>45088</v>
      </c>
      <c r="B709" s="32" t="s">
        <v>20</v>
      </c>
      <c r="C709" s="32" t="s">
        <v>21</v>
      </c>
      <c r="D709" s="32" t="s">
        <v>35</v>
      </c>
      <c r="E709" s="32" t="s">
        <v>15</v>
      </c>
      <c r="F709" s="32">
        <v>1</v>
      </c>
      <c r="G709" s="32">
        <v>17</v>
      </c>
      <c r="H709" s="32" t="s">
        <v>59</v>
      </c>
      <c r="I709" s="32">
        <v>20</v>
      </c>
      <c r="J709" s="32">
        <v>3878.66</v>
      </c>
      <c r="K709" s="32">
        <v>65937.22</v>
      </c>
    </row>
    <row r="710" spans="1:11" ht="15.5" hidden="1" x14ac:dyDescent="0.35">
      <c r="A710" s="31">
        <v>44958</v>
      </c>
      <c r="B710" s="32" t="s">
        <v>12</v>
      </c>
      <c r="C710" s="32" t="s">
        <v>13</v>
      </c>
      <c r="D710" s="32" t="s">
        <v>33</v>
      </c>
      <c r="E710" s="32" t="s">
        <v>18</v>
      </c>
      <c r="F710" s="32">
        <v>4</v>
      </c>
      <c r="G710" s="32">
        <v>6</v>
      </c>
      <c r="H710" s="32" t="s">
        <v>48</v>
      </c>
      <c r="I710" s="32">
        <v>19</v>
      </c>
      <c r="J710" s="32">
        <v>3116.12</v>
      </c>
      <c r="K710" s="32">
        <v>18696.72</v>
      </c>
    </row>
    <row r="711" spans="1:11" ht="15.5" x14ac:dyDescent="0.35">
      <c r="A711" s="31">
        <v>45138</v>
      </c>
      <c r="B711" s="32" t="s">
        <v>8</v>
      </c>
      <c r="C711" s="32" t="s">
        <v>28</v>
      </c>
      <c r="D711" s="32" t="s">
        <v>29</v>
      </c>
      <c r="E711" s="32" t="s">
        <v>11</v>
      </c>
      <c r="F711" s="32">
        <v>5</v>
      </c>
      <c r="G711" s="32">
        <v>16</v>
      </c>
      <c r="H711" s="32" t="s">
        <v>49</v>
      </c>
      <c r="I711" s="32">
        <v>16</v>
      </c>
      <c r="J711" s="32">
        <v>2747.36</v>
      </c>
      <c r="K711" s="32">
        <v>43957.760000000002</v>
      </c>
    </row>
    <row r="712" spans="1:11" ht="15.5" hidden="1" x14ac:dyDescent="0.35">
      <c r="A712" s="31">
        <v>45201</v>
      </c>
      <c r="B712" s="32" t="s">
        <v>8</v>
      </c>
      <c r="C712" s="32" t="s">
        <v>28</v>
      </c>
      <c r="D712" s="32" t="s">
        <v>29</v>
      </c>
      <c r="E712" s="32" t="s">
        <v>24</v>
      </c>
      <c r="F712" s="32">
        <v>3</v>
      </c>
      <c r="G712" s="32">
        <v>17</v>
      </c>
      <c r="H712" s="32" t="s">
        <v>50</v>
      </c>
      <c r="I712" s="32">
        <v>33</v>
      </c>
      <c r="J712" s="32">
        <v>3971.7</v>
      </c>
      <c r="K712" s="32">
        <v>67518.899999999994</v>
      </c>
    </row>
    <row r="713" spans="1:11" ht="15.5" hidden="1" x14ac:dyDescent="0.35">
      <c r="A713" s="31">
        <v>45199</v>
      </c>
      <c r="B713" s="32" t="s">
        <v>12</v>
      </c>
      <c r="C713" s="32" t="s">
        <v>13</v>
      </c>
      <c r="D713" s="32" t="s">
        <v>26</v>
      </c>
      <c r="E713" s="32" t="s">
        <v>27</v>
      </c>
      <c r="F713" s="32">
        <v>2</v>
      </c>
      <c r="G713" s="32">
        <v>18</v>
      </c>
      <c r="H713" s="32" t="s">
        <v>51</v>
      </c>
      <c r="I713" s="32">
        <v>23</v>
      </c>
      <c r="J713" s="32">
        <v>678.76</v>
      </c>
      <c r="K713" s="32">
        <v>12217.68</v>
      </c>
    </row>
    <row r="714" spans="1:11" ht="15.5" x14ac:dyDescent="0.35">
      <c r="A714" s="31">
        <v>45224</v>
      </c>
      <c r="B714" s="32" t="s">
        <v>12</v>
      </c>
      <c r="C714" s="32" t="s">
        <v>13</v>
      </c>
      <c r="D714" s="32" t="s">
        <v>26</v>
      </c>
      <c r="E714" s="32" t="s">
        <v>11</v>
      </c>
      <c r="F714" s="32">
        <v>5</v>
      </c>
      <c r="G714" s="32">
        <v>18</v>
      </c>
      <c r="H714" s="32" t="s">
        <v>52</v>
      </c>
      <c r="I714" s="32">
        <v>29</v>
      </c>
      <c r="J714" s="32">
        <v>4888.0200000000004</v>
      </c>
      <c r="K714" s="32">
        <v>87984.36</v>
      </c>
    </row>
    <row r="715" spans="1:11" ht="15.5" hidden="1" x14ac:dyDescent="0.35">
      <c r="A715" s="31">
        <v>44978</v>
      </c>
      <c r="B715" s="32" t="s">
        <v>8</v>
      </c>
      <c r="C715" s="32" t="s">
        <v>28</v>
      </c>
      <c r="D715" s="32" t="s">
        <v>30</v>
      </c>
      <c r="E715" s="32" t="s">
        <v>27</v>
      </c>
      <c r="F715" s="32">
        <v>2</v>
      </c>
      <c r="G715" s="32">
        <v>17</v>
      </c>
      <c r="H715" s="32" t="s">
        <v>53</v>
      </c>
      <c r="I715" s="32">
        <v>27</v>
      </c>
      <c r="J715" s="32">
        <v>2107.36</v>
      </c>
      <c r="K715" s="32">
        <v>35825.120000000003</v>
      </c>
    </row>
    <row r="716" spans="1:11" ht="15.5" hidden="1" x14ac:dyDescent="0.35">
      <c r="A716" s="31">
        <v>44994</v>
      </c>
      <c r="B716" s="32" t="s">
        <v>20</v>
      </c>
      <c r="C716" s="32" t="s">
        <v>21</v>
      </c>
      <c r="D716" s="32" t="s">
        <v>35</v>
      </c>
      <c r="E716" s="32" t="s">
        <v>27</v>
      </c>
      <c r="F716" s="32">
        <v>2</v>
      </c>
      <c r="G716" s="32">
        <v>4</v>
      </c>
      <c r="H716" s="32" t="s">
        <v>54</v>
      </c>
      <c r="I716" s="32">
        <v>42</v>
      </c>
      <c r="J716" s="32">
        <v>1181.3900000000001</v>
      </c>
      <c r="K716" s="32">
        <v>4725.5600000000004</v>
      </c>
    </row>
    <row r="717" spans="1:11" ht="15.5" hidden="1" x14ac:dyDescent="0.35">
      <c r="A717" s="31">
        <v>45148</v>
      </c>
      <c r="B717" s="32" t="s">
        <v>12</v>
      </c>
      <c r="C717" s="32" t="s">
        <v>13</v>
      </c>
      <c r="D717" s="32" t="s">
        <v>14</v>
      </c>
      <c r="E717" s="32" t="s">
        <v>24</v>
      </c>
      <c r="F717" s="32">
        <v>3</v>
      </c>
      <c r="G717" s="32">
        <v>1</v>
      </c>
      <c r="H717" s="32" t="s">
        <v>55</v>
      </c>
      <c r="I717" s="32">
        <v>51</v>
      </c>
      <c r="J717" s="32">
        <v>3374.31</v>
      </c>
      <c r="K717" s="32">
        <v>3374.31</v>
      </c>
    </row>
    <row r="718" spans="1:11" ht="15.5" hidden="1" x14ac:dyDescent="0.35">
      <c r="A718" s="31">
        <v>44975</v>
      </c>
      <c r="B718" s="32" t="s">
        <v>20</v>
      </c>
      <c r="C718" s="32" t="s">
        <v>21</v>
      </c>
      <c r="D718" s="32" t="s">
        <v>22</v>
      </c>
      <c r="E718" s="32" t="s">
        <v>15</v>
      </c>
      <c r="F718" s="32">
        <v>1</v>
      </c>
      <c r="G718" s="32">
        <v>19</v>
      </c>
      <c r="H718" s="32" t="s">
        <v>56</v>
      </c>
      <c r="I718" s="32">
        <v>53</v>
      </c>
      <c r="J718" s="32">
        <v>609.63</v>
      </c>
      <c r="K718" s="32">
        <v>11582.97</v>
      </c>
    </row>
    <row r="719" spans="1:11" ht="15.5" hidden="1" x14ac:dyDescent="0.35">
      <c r="A719" s="31">
        <v>45164</v>
      </c>
      <c r="B719" s="32" t="s">
        <v>8</v>
      </c>
      <c r="C719" s="32" t="s">
        <v>28</v>
      </c>
      <c r="D719" s="32" t="s">
        <v>29</v>
      </c>
      <c r="E719" s="32" t="s">
        <v>27</v>
      </c>
      <c r="F719" s="32">
        <v>2</v>
      </c>
      <c r="G719" s="32">
        <v>11</v>
      </c>
      <c r="H719" s="32" t="s">
        <v>57</v>
      </c>
      <c r="I719" s="32">
        <v>50</v>
      </c>
      <c r="J719" s="32">
        <v>3538.83</v>
      </c>
      <c r="K719" s="32">
        <v>38927.129999999997</v>
      </c>
    </row>
    <row r="720" spans="1:11" ht="15.5" hidden="1" x14ac:dyDescent="0.35">
      <c r="A720" s="31">
        <v>45210</v>
      </c>
      <c r="B720" s="32" t="s">
        <v>12</v>
      </c>
      <c r="C720" s="32" t="s">
        <v>16</v>
      </c>
      <c r="D720" s="32" t="s">
        <v>17</v>
      </c>
      <c r="E720" s="32" t="s">
        <v>18</v>
      </c>
      <c r="F720" s="32">
        <v>4</v>
      </c>
      <c r="G720" s="32">
        <v>16</v>
      </c>
      <c r="H720" s="32" t="s">
        <v>58</v>
      </c>
      <c r="I720" s="32">
        <v>41</v>
      </c>
      <c r="J720" s="32">
        <v>3155.43</v>
      </c>
      <c r="K720" s="32">
        <v>50486.879999999997</v>
      </c>
    </row>
    <row r="721" spans="1:11" ht="15.5" hidden="1" x14ac:dyDescent="0.35">
      <c r="A721" s="31">
        <v>44947</v>
      </c>
      <c r="B721" s="32" t="s">
        <v>20</v>
      </c>
      <c r="C721" s="32" t="s">
        <v>21</v>
      </c>
      <c r="D721" s="32" t="s">
        <v>22</v>
      </c>
      <c r="E721" s="32" t="s">
        <v>24</v>
      </c>
      <c r="F721" s="32">
        <v>3</v>
      </c>
      <c r="G721" s="32">
        <v>6</v>
      </c>
      <c r="H721" s="32" t="s">
        <v>59</v>
      </c>
      <c r="I721" s="32">
        <v>26</v>
      </c>
      <c r="J721" s="32">
        <v>863.69</v>
      </c>
      <c r="K721" s="32">
        <v>5182.1400000000003</v>
      </c>
    </row>
    <row r="722" spans="1:11" ht="15.5" hidden="1" x14ac:dyDescent="0.35">
      <c r="A722" s="31">
        <v>45282</v>
      </c>
      <c r="B722" s="32" t="s">
        <v>20</v>
      </c>
      <c r="C722" s="32" t="s">
        <v>21</v>
      </c>
      <c r="D722" s="32" t="s">
        <v>34</v>
      </c>
      <c r="E722" s="32" t="s">
        <v>27</v>
      </c>
      <c r="F722" s="32">
        <v>2</v>
      </c>
      <c r="G722" s="32">
        <v>4</v>
      </c>
      <c r="H722" s="32" t="s">
        <v>48</v>
      </c>
      <c r="I722" s="32">
        <v>50</v>
      </c>
      <c r="J722" s="32">
        <v>1128.8900000000001</v>
      </c>
      <c r="K722" s="32">
        <v>4515.5600000000004</v>
      </c>
    </row>
    <row r="723" spans="1:11" ht="15.5" hidden="1" x14ac:dyDescent="0.35">
      <c r="A723" s="31">
        <v>45100</v>
      </c>
      <c r="B723" s="32" t="s">
        <v>8</v>
      </c>
      <c r="C723" s="32" t="s">
        <v>28</v>
      </c>
      <c r="D723" s="32" t="s">
        <v>30</v>
      </c>
      <c r="E723" s="32" t="s">
        <v>27</v>
      </c>
      <c r="F723" s="32">
        <v>2</v>
      </c>
      <c r="G723" s="32">
        <v>8</v>
      </c>
      <c r="H723" s="32" t="s">
        <v>49</v>
      </c>
      <c r="I723" s="32">
        <v>41</v>
      </c>
      <c r="J723" s="32">
        <v>4197.6400000000003</v>
      </c>
      <c r="K723" s="32">
        <v>33581.120000000003</v>
      </c>
    </row>
    <row r="724" spans="1:11" ht="15.5" hidden="1" x14ac:dyDescent="0.35">
      <c r="A724" s="31">
        <v>44993</v>
      </c>
      <c r="B724" s="32" t="s">
        <v>12</v>
      </c>
      <c r="C724" s="32" t="s">
        <v>16</v>
      </c>
      <c r="D724" s="32" t="s">
        <v>25</v>
      </c>
      <c r="E724" s="32" t="s">
        <v>18</v>
      </c>
      <c r="F724" s="32">
        <v>4</v>
      </c>
      <c r="G724" s="32">
        <v>11</v>
      </c>
      <c r="H724" s="32" t="s">
        <v>50</v>
      </c>
      <c r="I724" s="32">
        <v>38</v>
      </c>
      <c r="J724" s="32">
        <v>3561.4</v>
      </c>
      <c r="K724" s="32">
        <v>39175.4</v>
      </c>
    </row>
    <row r="725" spans="1:11" ht="15.5" hidden="1" x14ac:dyDescent="0.35">
      <c r="A725" s="31">
        <v>45141</v>
      </c>
      <c r="B725" s="32" t="s">
        <v>20</v>
      </c>
      <c r="C725" s="32" t="s">
        <v>21</v>
      </c>
      <c r="D725" s="32" t="s">
        <v>35</v>
      </c>
      <c r="E725" s="32" t="s">
        <v>18</v>
      </c>
      <c r="F725" s="32">
        <v>4</v>
      </c>
      <c r="G725" s="32">
        <v>16</v>
      </c>
      <c r="H725" s="32" t="s">
        <v>51</v>
      </c>
      <c r="I725" s="32">
        <v>37</v>
      </c>
      <c r="J725" s="32">
        <v>3836.1</v>
      </c>
      <c r="K725" s="32">
        <v>61377.599999999999</v>
      </c>
    </row>
    <row r="726" spans="1:11" ht="15.5" hidden="1" x14ac:dyDescent="0.35">
      <c r="A726" s="31">
        <v>45121</v>
      </c>
      <c r="B726" s="32" t="s">
        <v>8</v>
      </c>
      <c r="C726" s="32" t="s">
        <v>28</v>
      </c>
      <c r="D726" s="32" t="s">
        <v>29</v>
      </c>
      <c r="E726" s="32" t="s">
        <v>18</v>
      </c>
      <c r="F726" s="32">
        <v>4</v>
      </c>
      <c r="G726" s="32">
        <v>18</v>
      </c>
      <c r="H726" s="32" t="s">
        <v>52</v>
      </c>
      <c r="I726" s="32">
        <v>32</v>
      </c>
      <c r="J726" s="32">
        <v>3943.82</v>
      </c>
      <c r="K726" s="32">
        <v>70988.759999999995</v>
      </c>
    </row>
    <row r="727" spans="1:11" ht="15.5" hidden="1" x14ac:dyDescent="0.35">
      <c r="A727" s="31">
        <v>45118</v>
      </c>
      <c r="B727" s="32" t="s">
        <v>8</v>
      </c>
      <c r="C727" s="32" t="s">
        <v>28</v>
      </c>
      <c r="D727" s="32" t="s">
        <v>30</v>
      </c>
      <c r="E727" s="32" t="s">
        <v>27</v>
      </c>
      <c r="F727" s="32">
        <v>2</v>
      </c>
      <c r="G727" s="32">
        <v>15</v>
      </c>
      <c r="H727" s="32" t="s">
        <v>53</v>
      </c>
      <c r="I727" s="32">
        <v>37</v>
      </c>
      <c r="J727" s="32">
        <v>3005.08</v>
      </c>
      <c r="K727" s="32">
        <v>45076.2</v>
      </c>
    </row>
    <row r="728" spans="1:11" ht="15.5" hidden="1" x14ac:dyDescent="0.35">
      <c r="A728" s="31">
        <v>45070</v>
      </c>
      <c r="B728" s="32" t="s">
        <v>12</v>
      </c>
      <c r="C728" s="32" t="s">
        <v>13</v>
      </c>
      <c r="D728" s="32" t="s">
        <v>14</v>
      </c>
      <c r="E728" s="32" t="s">
        <v>15</v>
      </c>
      <c r="F728" s="32">
        <v>1</v>
      </c>
      <c r="G728" s="32">
        <v>17</v>
      </c>
      <c r="H728" s="32" t="s">
        <v>54</v>
      </c>
      <c r="I728" s="32">
        <v>25</v>
      </c>
      <c r="J728" s="32">
        <v>3342.49</v>
      </c>
      <c r="K728" s="32">
        <v>56822.33</v>
      </c>
    </row>
    <row r="729" spans="1:11" ht="15.5" hidden="1" x14ac:dyDescent="0.35">
      <c r="A729" s="31">
        <v>45238</v>
      </c>
      <c r="B729" s="32" t="s">
        <v>8</v>
      </c>
      <c r="C729" s="32" t="s">
        <v>9</v>
      </c>
      <c r="D729" s="32" t="s">
        <v>31</v>
      </c>
      <c r="E729" s="32" t="s">
        <v>24</v>
      </c>
      <c r="F729" s="32">
        <v>3</v>
      </c>
      <c r="G729" s="32">
        <v>11</v>
      </c>
      <c r="H729" s="32" t="s">
        <v>55</v>
      </c>
      <c r="I729" s="32">
        <v>23</v>
      </c>
      <c r="J729" s="32">
        <v>212.86</v>
      </c>
      <c r="K729" s="32">
        <v>2341.46</v>
      </c>
    </row>
    <row r="730" spans="1:11" ht="15.5" hidden="1" x14ac:dyDescent="0.35">
      <c r="A730" s="31">
        <v>45135</v>
      </c>
      <c r="B730" s="32" t="s">
        <v>12</v>
      </c>
      <c r="C730" s="32" t="s">
        <v>13</v>
      </c>
      <c r="D730" s="32" t="s">
        <v>33</v>
      </c>
      <c r="E730" s="32" t="s">
        <v>24</v>
      </c>
      <c r="F730" s="32">
        <v>3</v>
      </c>
      <c r="G730" s="32">
        <v>6</v>
      </c>
      <c r="H730" s="32" t="s">
        <v>56</v>
      </c>
      <c r="I730" s="32">
        <v>44</v>
      </c>
      <c r="J730" s="32">
        <v>1872.18</v>
      </c>
      <c r="K730" s="32">
        <v>11233.08</v>
      </c>
    </row>
    <row r="731" spans="1:11" ht="15.5" hidden="1" x14ac:dyDescent="0.35">
      <c r="A731" s="31">
        <v>45095</v>
      </c>
      <c r="B731" s="32" t="s">
        <v>8</v>
      </c>
      <c r="C731" s="32" t="s">
        <v>9</v>
      </c>
      <c r="D731" s="32" t="s">
        <v>10</v>
      </c>
      <c r="E731" s="32" t="s">
        <v>27</v>
      </c>
      <c r="F731" s="32">
        <v>2</v>
      </c>
      <c r="G731" s="32">
        <v>14</v>
      </c>
      <c r="H731" s="32" t="s">
        <v>57</v>
      </c>
      <c r="I731" s="32">
        <v>34</v>
      </c>
      <c r="J731" s="32">
        <v>4428</v>
      </c>
      <c r="K731" s="32">
        <v>61992</v>
      </c>
    </row>
    <row r="732" spans="1:11" ht="15.5" hidden="1" x14ac:dyDescent="0.35">
      <c r="A732" s="31">
        <v>45057</v>
      </c>
      <c r="B732" s="32" t="s">
        <v>12</v>
      </c>
      <c r="C732" s="32" t="s">
        <v>16</v>
      </c>
      <c r="D732" s="32" t="s">
        <v>17</v>
      </c>
      <c r="E732" s="32" t="s">
        <v>18</v>
      </c>
      <c r="F732" s="32">
        <v>4</v>
      </c>
      <c r="G732" s="32">
        <v>15</v>
      </c>
      <c r="H732" s="32" t="s">
        <v>58</v>
      </c>
      <c r="I732" s="32">
        <v>23</v>
      </c>
      <c r="J732" s="32">
        <v>2905.47</v>
      </c>
      <c r="K732" s="32">
        <v>43582.05</v>
      </c>
    </row>
    <row r="733" spans="1:11" ht="15.5" hidden="1" x14ac:dyDescent="0.35">
      <c r="A733" s="31">
        <v>44943</v>
      </c>
      <c r="B733" s="32" t="s">
        <v>12</v>
      </c>
      <c r="C733" s="32" t="s">
        <v>13</v>
      </c>
      <c r="D733" s="32" t="s">
        <v>33</v>
      </c>
      <c r="E733" s="32" t="s">
        <v>15</v>
      </c>
      <c r="F733" s="32">
        <v>1</v>
      </c>
      <c r="G733" s="32">
        <v>14</v>
      </c>
      <c r="H733" s="32" t="s">
        <v>59</v>
      </c>
      <c r="I733" s="32">
        <v>42</v>
      </c>
      <c r="J733" s="32">
        <v>4200.9799999999996</v>
      </c>
      <c r="K733" s="32">
        <v>58813.72</v>
      </c>
    </row>
    <row r="734" spans="1:11" ht="15.5" x14ac:dyDescent="0.35">
      <c r="A734" s="31">
        <v>45029</v>
      </c>
      <c r="B734" s="32" t="s">
        <v>8</v>
      </c>
      <c r="C734" s="32" t="s">
        <v>9</v>
      </c>
      <c r="D734" s="32" t="s">
        <v>31</v>
      </c>
      <c r="E734" s="32" t="s">
        <v>11</v>
      </c>
      <c r="F734" s="32">
        <v>5</v>
      </c>
      <c r="G734" s="32">
        <v>19</v>
      </c>
      <c r="H734" s="32" t="s">
        <v>48</v>
      </c>
      <c r="I734" s="32">
        <v>49</v>
      </c>
      <c r="J734" s="32">
        <v>3927.27</v>
      </c>
      <c r="K734" s="32">
        <v>74618.13</v>
      </c>
    </row>
    <row r="735" spans="1:11" ht="15.5" hidden="1" x14ac:dyDescent="0.35">
      <c r="A735" s="31">
        <v>45012</v>
      </c>
      <c r="B735" s="32" t="s">
        <v>20</v>
      </c>
      <c r="C735" s="32" t="s">
        <v>21</v>
      </c>
      <c r="D735" s="32" t="s">
        <v>35</v>
      </c>
      <c r="E735" s="32" t="s">
        <v>18</v>
      </c>
      <c r="F735" s="32">
        <v>4</v>
      </c>
      <c r="G735" s="32">
        <v>16</v>
      </c>
      <c r="H735" s="32" t="s">
        <v>49</v>
      </c>
      <c r="I735" s="32">
        <v>51</v>
      </c>
      <c r="J735" s="32">
        <v>3788.36</v>
      </c>
      <c r="K735" s="32">
        <v>60613.760000000002</v>
      </c>
    </row>
    <row r="736" spans="1:11" ht="15.5" x14ac:dyDescent="0.35">
      <c r="A736" s="31">
        <v>45219</v>
      </c>
      <c r="B736" s="32" t="s">
        <v>20</v>
      </c>
      <c r="C736" s="32" t="s">
        <v>21</v>
      </c>
      <c r="D736" s="32" t="s">
        <v>22</v>
      </c>
      <c r="E736" s="32" t="s">
        <v>11</v>
      </c>
      <c r="F736" s="32">
        <v>5</v>
      </c>
      <c r="G736" s="32">
        <v>2</v>
      </c>
      <c r="H736" s="32" t="s">
        <v>50</v>
      </c>
      <c r="I736" s="32">
        <v>23</v>
      </c>
      <c r="J736" s="32">
        <v>4527.13</v>
      </c>
      <c r="K736" s="32">
        <v>9054.26</v>
      </c>
    </row>
    <row r="737" spans="1:11" ht="15.5" hidden="1" x14ac:dyDescent="0.35">
      <c r="A737" s="31">
        <v>45091</v>
      </c>
      <c r="B737" s="32" t="s">
        <v>20</v>
      </c>
      <c r="C737" s="32" t="s">
        <v>21</v>
      </c>
      <c r="D737" s="32" t="s">
        <v>35</v>
      </c>
      <c r="E737" s="32" t="s">
        <v>24</v>
      </c>
      <c r="F737" s="32">
        <v>3</v>
      </c>
      <c r="G737" s="32">
        <v>20</v>
      </c>
      <c r="H737" s="32" t="s">
        <v>51</v>
      </c>
      <c r="I737" s="32">
        <v>38</v>
      </c>
      <c r="J737" s="32">
        <v>3753.15</v>
      </c>
      <c r="K737" s="32">
        <v>75063</v>
      </c>
    </row>
    <row r="738" spans="1:11" ht="15.5" x14ac:dyDescent="0.35">
      <c r="A738" s="31">
        <v>45144</v>
      </c>
      <c r="B738" s="32" t="s">
        <v>8</v>
      </c>
      <c r="C738" s="32" t="s">
        <v>9</v>
      </c>
      <c r="D738" s="32" t="s">
        <v>10</v>
      </c>
      <c r="E738" s="32" t="s">
        <v>11</v>
      </c>
      <c r="F738" s="32">
        <v>5</v>
      </c>
      <c r="G738" s="32">
        <v>6</v>
      </c>
      <c r="H738" s="32" t="s">
        <v>52</v>
      </c>
      <c r="I738" s="32">
        <v>29</v>
      </c>
      <c r="J738" s="32">
        <v>3363.77</v>
      </c>
      <c r="K738" s="32">
        <v>20182.62</v>
      </c>
    </row>
    <row r="739" spans="1:11" ht="15.5" x14ac:dyDescent="0.35">
      <c r="A739" s="31">
        <v>45172</v>
      </c>
      <c r="B739" s="32" t="s">
        <v>20</v>
      </c>
      <c r="C739" s="32" t="s">
        <v>21</v>
      </c>
      <c r="D739" s="32" t="s">
        <v>22</v>
      </c>
      <c r="E739" s="32" t="s">
        <v>11</v>
      </c>
      <c r="F739" s="32">
        <v>5</v>
      </c>
      <c r="G739" s="32">
        <v>12</v>
      </c>
      <c r="H739" s="32" t="s">
        <v>53</v>
      </c>
      <c r="I739" s="32">
        <v>39</v>
      </c>
      <c r="J739" s="32">
        <v>1973.14</v>
      </c>
      <c r="K739" s="32">
        <v>23677.68</v>
      </c>
    </row>
    <row r="740" spans="1:11" ht="15.5" x14ac:dyDescent="0.35">
      <c r="A740" s="31">
        <v>44993</v>
      </c>
      <c r="B740" s="32" t="s">
        <v>8</v>
      </c>
      <c r="C740" s="32" t="s">
        <v>28</v>
      </c>
      <c r="D740" s="32" t="s">
        <v>29</v>
      </c>
      <c r="E740" s="32" t="s">
        <v>11</v>
      </c>
      <c r="F740" s="32">
        <v>5</v>
      </c>
      <c r="G740" s="32">
        <v>16</v>
      </c>
      <c r="H740" s="32" t="s">
        <v>54</v>
      </c>
      <c r="I740" s="32">
        <v>33</v>
      </c>
      <c r="J740" s="32">
        <v>355.63</v>
      </c>
      <c r="K740" s="32">
        <v>5690.08</v>
      </c>
    </row>
    <row r="741" spans="1:11" ht="15.5" x14ac:dyDescent="0.35">
      <c r="A741" s="31">
        <v>45101</v>
      </c>
      <c r="B741" s="32" t="s">
        <v>20</v>
      </c>
      <c r="C741" s="32" t="s">
        <v>21</v>
      </c>
      <c r="D741" s="32" t="s">
        <v>34</v>
      </c>
      <c r="E741" s="32" t="s">
        <v>11</v>
      </c>
      <c r="F741" s="32">
        <v>5</v>
      </c>
      <c r="G741" s="32">
        <v>7</v>
      </c>
      <c r="H741" s="32" t="s">
        <v>55</v>
      </c>
      <c r="I741" s="32">
        <v>54</v>
      </c>
      <c r="J741" s="32">
        <v>4243.95</v>
      </c>
      <c r="K741" s="32">
        <v>29707.65</v>
      </c>
    </row>
    <row r="742" spans="1:11" ht="15.5" hidden="1" x14ac:dyDescent="0.35">
      <c r="A742" s="31">
        <v>45004</v>
      </c>
      <c r="B742" s="32" t="s">
        <v>20</v>
      </c>
      <c r="C742" s="32" t="s">
        <v>21</v>
      </c>
      <c r="D742" s="32" t="s">
        <v>35</v>
      </c>
      <c r="E742" s="32" t="s">
        <v>24</v>
      </c>
      <c r="F742" s="32">
        <v>3</v>
      </c>
      <c r="G742" s="32">
        <v>15</v>
      </c>
      <c r="H742" s="32" t="s">
        <v>56</v>
      </c>
      <c r="I742" s="32">
        <v>49</v>
      </c>
      <c r="J742" s="32">
        <v>3256.2</v>
      </c>
      <c r="K742" s="32">
        <v>48843</v>
      </c>
    </row>
    <row r="743" spans="1:11" ht="15.5" hidden="1" x14ac:dyDescent="0.35">
      <c r="A743" s="31">
        <v>45065</v>
      </c>
      <c r="B743" s="32" t="s">
        <v>8</v>
      </c>
      <c r="C743" s="32" t="s">
        <v>28</v>
      </c>
      <c r="D743" s="32" t="s">
        <v>30</v>
      </c>
      <c r="E743" s="32" t="s">
        <v>27</v>
      </c>
      <c r="F743" s="32">
        <v>2</v>
      </c>
      <c r="G743" s="32">
        <v>13</v>
      </c>
      <c r="H743" s="32" t="s">
        <v>57</v>
      </c>
      <c r="I743" s="32">
        <v>44</v>
      </c>
      <c r="J743" s="32">
        <v>4076.94</v>
      </c>
      <c r="K743" s="32">
        <v>53000.22</v>
      </c>
    </row>
    <row r="744" spans="1:11" ht="15.5" x14ac:dyDescent="0.35">
      <c r="A744" s="31">
        <v>45023</v>
      </c>
      <c r="B744" s="32" t="s">
        <v>12</v>
      </c>
      <c r="C744" s="32" t="s">
        <v>16</v>
      </c>
      <c r="D744" s="32" t="s">
        <v>25</v>
      </c>
      <c r="E744" s="32" t="s">
        <v>11</v>
      </c>
      <c r="F744" s="32">
        <v>5</v>
      </c>
      <c r="G744" s="32">
        <v>17</v>
      </c>
      <c r="H744" s="32" t="s">
        <v>58</v>
      </c>
      <c r="I744" s="32">
        <v>16</v>
      </c>
      <c r="J744" s="32">
        <v>3771.79</v>
      </c>
      <c r="K744" s="32">
        <v>64120.43</v>
      </c>
    </row>
    <row r="745" spans="1:11" ht="15.5" x14ac:dyDescent="0.35">
      <c r="A745" s="31">
        <v>45114</v>
      </c>
      <c r="B745" s="32" t="s">
        <v>12</v>
      </c>
      <c r="C745" s="32" t="s">
        <v>13</v>
      </c>
      <c r="D745" s="32" t="s">
        <v>14</v>
      </c>
      <c r="E745" s="32" t="s">
        <v>11</v>
      </c>
      <c r="F745" s="32">
        <v>5</v>
      </c>
      <c r="G745" s="32">
        <v>7</v>
      </c>
      <c r="H745" s="32" t="s">
        <v>59</v>
      </c>
      <c r="I745" s="32">
        <v>44</v>
      </c>
      <c r="J745" s="32">
        <v>2016.03</v>
      </c>
      <c r="K745" s="32">
        <v>14112.21</v>
      </c>
    </row>
    <row r="746" spans="1:11" ht="15.5" hidden="1" x14ac:dyDescent="0.35">
      <c r="A746" s="31">
        <v>45204</v>
      </c>
      <c r="B746" s="32" t="s">
        <v>8</v>
      </c>
      <c r="C746" s="32" t="s">
        <v>28</v>
      </c>
      <c r="D746" s="32" t="s">
        <v>29</v>
      </c>
      <c r="E746" s="32" t="s">
        <v>18</v>
      </c>
      <c r="F746" s="32">
        <v>4</v>
      </c>
      <c r="G746" s="32">
        <v>9</v>
      </c>
      <c r="H746" s="32" t="s">
        <v>48</v>
      </c>
      <c r="I746" s="32">
        <v>47</v>
      </c>
      <c r="J746" s="32">
        <v>722.4</v>
      </c>
      <c r="K746" s="32">
        <v>6501.6</v>
      </c>
    </row>
    <row r="747" spans="1:11" ht="15.5" x14ac:dyDescent="0.35">
      <c r="A747" s="31">
        <v>45018</v>
      </c>
      <c r="B747" s="32" t="s">
        <v>12</v>
      </c>
      <c r="C747" s="32" t="s">
        <v>13</v>
      </c>
      <c r="D747" s="32" t="s">
        <v>14</v>
      </c>
      <c r="E747" s="32" t="s">
        <v>11</v>
      </c>
      <c r="F747" s="32">
        <v>5</v>
      </c>
      <c r="G747" s="32">
        <v>5</v>
      </c>
      <c r="H747" s="32" t="s">
        <v>49</v>
      </c>
      <c r="I747" s="32">
        <v>54</v>
      </c>
      <c r="J747" s="32">
        <v>491.78</v>
      </c>
      <c r="K747" s="32">
        <v>2458.9</v>
      </c>
    </row>
    <row r="748" spans="1:11" ht="15.5" hidden="1" x14ac:dyDescent="0.35">
      <c r="A748" s="31">
        <v>44977</v>
      </c>
      <c r="B748" s="32" t="s">
        <v>8</v>
      </c>
      <c r="C748" s="32" t="s">
        <v>28</v>
      </c>
      <c r="D748" s="32" t="s">
        <v>29</v>
      </c>
      <c r="E748" s="32" t="s">
        <v>15</v>
      </c>
      <c r="F748" s="32">
        <v>1</v>
      </c>
      <c r="G748" s="32">
        <v>19</v>
      </c>
      <c r="H748" s="32" t="s">
        <v>50</v>
      </c>
      <c r="I748" s="32">
        <v>29</v>
      </c>
      <c r="J748" s="32">
        <v>2146.17</v>
      </c>
      <c r="K748" s="32">
        <v>40777.230000000003</v>
      </c>
    </row>
    <row r="749" spans="1:11" ht="15.5" hidden="1" x14ac:dyDescent="0.35">
      <c r="A749" s="31">
        <v>45070</v>
      </c>
      <c r="B749" s="32" t="s">
        <v>8</v>
      </c>
      <c r="C749" s="32" t="s">
        <v>28</v>
      </c>
      <c r="D749" s="32" t="s">
        <v>29</v>
      </c>
      <c r="E749" s="32" t="s">
        <v>24</v>
      </c>
      <c r="F749" s="32">
        <v>3</v>
      </c>
      <c r="G749" s="32">
        <v>14</v>
      </c>
      <c r="H749" s="32" t="s">
        <v>51</v>
      </c>
      <c r="I749" s="32">
        <v>43</v>
      </c>
      <c r="J749" s="32">
        <v>2715.54</v>
      </c>
      <c r="K749" s="32">
        <v>38017.56</v>
      </c>
    </row>
    <row r="750" spans="1:11" ht="15.5" hidden="1" x14ac:dyDescent="0.35">
      <c r="A750" s="31">
        <v>45026</v>
      </c>
      <c r="B750" s="32" t="s">
        <v>8</v>
      </c>
      <c r="C750" s="32" t="s">
        <v>9</v>
      </c>
      <c r="D750" s="32" t="s">
        <v>10</v>
      </c>
      <c r="E750" s="32" t="s">
        <v>27</v>
      </c>
      <c r="F750" s="32">
        <v>2</v>
      </c>
      <c r="G750" s="32">
        <v>11</v>
      </c>
      <c r="H750" s="32" t="s">
        <v>52</v>
      </c>
      <c r="I750" s="32">
        <v>53</v>
      </c>
      <c r="J750" s="32">
        <v>1708.99</v>
      </c>
      <c r="K750" s="32">
        <v>18798.89</v>
      </c>
    </row>
    <row r="751" spans="1:11" ht="15.5" hidden="1" x14ac:dyDescent="0.35">
      <c r="A751" s="31">
        <v>44969</v>
      </c>
      <c r="B751" s="32" t="s">
        <v>8</v>
      </c>
      <c r="C751" s="32" t="s">
        <v>28</v>
      </c>
      <c r="D751" s="32" t="s">
        <v>29</v>
      </c>
      <c r="E751" s="32" t="s">
        <v>24</v>
      </c>
      <c r="F751" s="32">
        <v>3</v>
      </c>
      <c r="G751" s="32">
        <v>1</v>
      </c>
      <c r="H751" s="32" t="s">
        <v>53</v>
      </c>
      <c r="I751" s="32">
        <v>46</v>
      </c>
      <c r="J751" s="32">
        <v>1898.15</v>
      </c>
      <c r="K751" s="32">
        <v>1898.15</v>
      </c>
    </row>
    <row r="752" spans="1:11" ht="15.5" x14ac:dyDescent="0.35">
      <c r="A752" s="31">
        <v>45213</v>
      </c>
      <c r="B752" s="32" t="s">
        <v>12</v>
      </c>
      <c r="C752" s="32" t="s">
        <v>16</v>
      </c>
      <c r="D752" s="32" t="s">
        <v>19</v>
      </c>
      <c r="E752" s="32" t="s">
        <v>11</v>
      </c>
      <c r="F752" s="32">
        <v>5</v>
      </c>
      <c r="G752" s="32">
        <v>1</v>
      </c>
      <c r="H752" s="32" t="s">
        <v>54</v>
      </c>
      <c r="I752" s="32">
        <v>49</v>
      </c>
      <c r="J752" s="32">
        <v>648.88</v>
      </c>
      <c r="K752" s="32">
        <v>648.88</v>
      </c>
    </row>
    <row r="753" spans="1:11" ht="15.5" x14ac:dyDescent="0.35">
      <c r="A753" s="31">
        <v>45284</v>
      </c>
      <c r="B753" s="32" t="s">
        <v>12</v>
      </c>
      <c r="C753" s="32" t="s">
        <v>13</v>
      </c>
      <c r="D753" s="32" t="s">
        <v>14</v>
      </c>
      <c r="E753" s="32" t="s">
        <v>11</v>
      </c>
      <c r="F753" s="32">
        <v>5</v>
      </c>
      <c r="G753" s="32">
        <v>8</v>
      </c>
      <c r="H753" s="32" t="s">
        <v>55</v>
      </c>
      <c r="I753" s="32">
        <v>19</v>
      </c>
      <c r="J753" s="32">
        <v>4516.82</v>
      </c>
      <c r="K753" s="32">
        <v>36134.559999999998</v>
      </c>
    </row>
    <row r="754" spans="1:11" ht="15.5" hidden="1" x14ac:dyDescent="0.35">
      <c r="A754" s="31">
        <v>45254</v>
      </c>
      <c r="B754" s="32" t="s">
        <v>20</v>
      </c>
      <c r="C754" s="32" t="s">
        <v>21</v>
      </c>
      <c r="D754" s="32" t="s">
        <v>35</v>
      </c>
      <c r="E754" s="32" t="s">
        <v>15</v>
      </c>
      <c r="F754" s="32">
        <v>1</v>
      </c>
      <c r="G754" s="32">
        <v>7</v>
      </c>
      <c r="H754" s="32" t="s">
        <v>56</v>
      </c>
      <c r="I754" s="32">
        <v>34</v>
      </c>
      <c r="J754" s="32">
        <v>1102.48</v>
      </c>
      <c r="K754" s="32">
        <v>7717.36</v>
      </c>
    </row>
    <row r="755" spans="1:11" ht="15.5" x14ac:dyDescent="0.35">
      <c r="A755" s="31">
        <v>45076</v>
      </c>
      <c r="B755" s="32" t="s">
        <v>12</v>
      </c>
      <c r="C755" s="32" t="s">
        <v>16</v>
      </c>
      <c r="D755" s="32" t="s">
        <v>19</v>
      </c>
      <c r="E755" s="32" t="s">
        <v>11</v>
      </c>
      <c r="F755" s="32">
        <v>5</v>
      </c>
      <c r="G755" s="32">
        <v>4</v>
      </c>
      <c r="H755" s="32" t="s">
        <v>57</v>
      </c>
      <c r="I755" s="32">
        <v>23</v>
      </c>
      <c r="J755" s="32">
        <v>2830.6</v>
      </c>
      <c r="K755" s="32">
        <v>11322.4</v>
      </c>
    </row>
    <row r="756" spans="1:11" ht="15.5" hidden="1" x14ac:dyDescent="0.35">
      <c r="A756" s="31">
        <v>45159</v>
      </c>
      <c r="B756" s="32" t="s">
        <v>12</v>
      </c>
      <c r="C756" s="32" t="s">
        <v>13</v>
      </c>
      <c r="D756" s="32" t="s">
        <v>33</v>
      </c>
      <c r="E756" s="32" t="s">
        <v>27</v>
      </c>
      <c r="F756" s="32">
        <v>2</v>
      </c>
      <c r="G756" s="32">
        <v>9</v>
      </c>
      <c r="H756" s="32" t="s">
        <v>58</v>
      </c>
      <c r="I756" s="32">
        <v>23</v>
      </c>
      <c r="J756" s="32">
        <v>515.97</v>
      </c>
      <c r="K756" s="32">
        <v>4643.7299999999996</v>
      </c>
    </row>
    <row r="757" spans="1:11" ht="15.5" hidden="1" x14ac:dyDescent="0.35">
      <c r="A757" s="31">
        <v>44945</v>
      </c>
      <c r="B757" s="32" t="s">
        <v>20</v>
      </c>
      <c r="C757" s="32" t="s">
        <v>21</v>
      </c>
      <c r="D757" s="32" t="s">
        <v>22</v>
      </c>
      <c r="E757" s="32" t="s">
        <v>27</v>
      </c>
      <c r="F757" s="32">
        <v>2</v>
      </c>
      <c r="G757" s="32">
        <v>8</v>
      </c>
      <c r="H757" s="32" t="s">
        <v>59</v>
      </c>
      <c r="I757" s="32">
        <v>41</v>
      </c>
      <c r="J757" s="32">
        <v>2019.04</v>
      </c>
      <c r="K757" s="32">
        <v>16152.32</v>
      </c>
    </row>
    <row r="758" spans="1:11" ht="15.5" hidden="1" x14ac:dyDescent="0.35">
      <c r="A758" s="31">
        <v>45016</v>
      </c>
      <c r="B758" s="32" t="s">
        <v>8</v>
      </c>
      <c r="C758" s="32" t="s">
        <v>9</v>
      </c>
      <c r="D758" s="32" t="s">
        <v>31</v>
      </c>
      <c r="E758" s="32" t="s">
        <v>18</v>
      </c>
      <c r="F758" s="32">
        <v>4</v>
      </c>
      <c r="G758" s="32">
        <v>1</v>
      </c>
      <c r="H758" s="32" t="s">
        <v>48</v>
      </c>
      <c r="I758" s="32">
        <v>41</v>
      </c>
      <c r="J758" s="32">
        <v>1889.5</v>
      </c>
      <c r="K758" s="32">
        <v>1889.5</v>
      </c>
    </row>
    <row r="759" spans="1:11" ht="15.5" hidden="1" x14ac:dyDescent="0.35">
      <c r="A759" s="31">
        <v>45096</v>
      </c>
      <c r="B759" s="32" t="s">
        <v>8</v>
      </c>
      <c r="C759" s="32" t="s">
        <v>9</v>
      </c>
      <c r="D759" s="32" t="s">
        <v>10</v>
      </c>
      <c r="E759" s="32" t="s">
        <v>27</v>
      </c>
      <c r="F759" s="32">
        <v>2</v>
      </c>
      <c r="G759" s="32">
        <v>2</v>
      </c>
      <c r="H759" s="32" t="s">
        <v>49</v>
      </c>
      <c r="I759" s="32">
        <v>19</v>
      </c>
      <c r="J759" s="32">
        <v>3239.94</v>
      </c>
      <c r="K759" s="32">
        <v>6479.88</v>
      </c>
    </row>
    <row r="760" spans="1:11" ht="15.5" x14ac:dyDescent="0.35">
      <c r="A760" s="31">
        <v>44946</v>
      </c>
      <c r="B760" s="32" t="s">
        <v>12</v>
      </c>
      <c r="C760" s="32" t="s">
        <v>16</v>
      </c>
      <c r="D760" s="32" t="s">
        <v>25</v>
      </c>
      <c r="E760" s="32" t="s">
        <v>11</v>
      </c>
      <c r="F760" s="32">
        <v>5</v>
      </c>
      <c r="G760" s="32">
        <v>11</v>
      </c>
      <c r="H760" s="32" t="s">
        <v>50</v>
      </c>
      <c r="I760" s="32">
        <v>23</v>
      </c>
      <c r="J760" s="32">
        <v>2426.48</v>
      </c>
      <c r="K760" s="32">
        <v>26691.279999999999</v>
      </c>
    </row>
    <row r="761" spans="1:11" ht="15.5" hidden="1" x14ac:dyDescent="0.35">
      <c r="A761" s="31">
        <v>45275</v>
      </c>
      <c r="B761" s="32" t="s">
        <v>12</v>
      </c>
      <c r="C761" s="32" t="s">
        <v>13</v>
      </c>
      <c r="D761" s="32" t="s">
        <v>14</v>
      </c>
      <c r="E761" s="32" t="s">
        <v>18</v>
      </c>
      <c r="F761" s="32">
        <v>4</v>
      </c>
      <c r="G761" s="32">
        <v>3</v>
      </c>
      <c r="H761" s="32" t="s">
        <v>51</v>
      </c>
      <c r="I761" s="32">
        <v>48</v>
      </c>
      <c r="J761" s="32">
        <v>1043.3900000000001</v>
      </c>
      <c r="K761" s="32">
        <v>3130.17</v>
      </c>
    </row>
    <row r="762" spans="1:11" ht="15.5" hidden="1" x14ac:dyDescent="0.35">
      <c r="A762" s="31">
        <v>44959</v>
      </c>
      <c r="B762" s="32" t="s">
        <v>8</v>
      </c>
      <c r="C762" s="32" t="s">
        <v>28</v>
      </c>
      <c r="D762" s="32" t="s">
        <v>32</v>
      </c>
      <c r="E762" s="32" t="s">
        <v>27</v>
      </c>
      <c r="F762" s="32">
        <v>2</v>
      </c>
      <c r="G762" s="32">
        <v>6</v>
      </c>
      <c r="H762" s="32" t="s">
        <v>52</v>
      </c>
      <c r="I762" s="32">
        <v>25</v>
      </c>
      <c r="J762" s="32">
        <v>3350.51</v>
      </c>
      <c r="K762" s="32">
        <v>20103.060000000001</v>
      </c>
    </row>
    <row r="763" spans="1:11" ht="15.5" x14ac:dyDescent="0.35">
      <c r="A763" s="31">
        <v>44934</v>
      </c>
      <c r="B763" s="32" t="s">
        <v>8</v>
      </c>
      <c r="C763" s="32" t="s">
        <v>28</v>
      </c>
      <c r="D763" s="32" t="s">
        <v>32</v>
      </c>
      <c r="E763" s="32" t="s">
        <v>11</v>
      </c>
      <c r="F763" s="32">
        <v>5</v>
      </c>
      <c r="G763" s="32">
        <v>11</v>
      </c>
      <c r="H763" s="32" t="s">
        <v>53</v>
      </c>
      <c r="I763" s="32">
        <v>44</v>
      </c>
      <c r="J763" s="32">
        <v>1278.32</v>
      </c>
      <c r="K763" s="32">
        <v>14061.52</v>
      </c>
    </row>
    <row r="764" spans="1:11" ht="15.5" hidden="1" x14ac:dyDescent="0.35">
      <c r="A764" s="31">
        <v>44974</v>
      </c>
      <c r="B764" s="32" t="s">
        <v>8</v>
      </c>
      <c r="C764" s="32" t="s">
        <v>28</v>
      </c>
      <c r="D764" s="32" t="s">
        <v>32</v>
      </c>
      <c r="E764" s="32" t="s">
        <v>24</v>
      </c>
      <c r="F764" s="32">
        <v>3</v>
      </c>
      <c r="G764" s="32">
        <v>20</v>
      </c>
      <c r="H764" s="32" t="s">
        <v>54</v>
      </c>
      <c r="I764" s="32">
        <v>50</v>
      </c>
      <c r="J764" s="32">
        <v>1353.54</v>
      </c>
      <c r="K764" s="32">
        <v>27070.799999999999</v>
      </c>
    </row>
    <row r="765" spans="1:11" ht="15.5" hidden="1" x14ac:dyDescent="0.35">
      <c r="A765" s="31">
        <v>44955</v>
      </c>
      <c r="B765" s="32" t="s">
        <v>8</v>
      </c>
      <c r="C765" s="32" t="s">
        <v>9</v>
      </c>
      <c r="D765" s="32" t="s">
        <v>23</v>
      </c>
      <c r="E765" s="32" t="s">
        <v>27</v>
      </c>
      <c r="F765" s="32">
        <v>2</v>
      </c>
      <c r="G765" s="32">
        <v>17</v>
      </c>
      <c r="H765" s="32" t="s">
        <v>55</v>
      </c>
      <c r="I765" s="32">
        <v>38</v>
      </c>
      <c r="J765" s="32">
        <v>1457.07</v>
      </c>
      <c r="K765" s="32">
        <v>24770.19</v>
      </c>
    </row>
    <row r="766" spans="1:11" ht="15.5" hidden="1" x14ac:dyDescent="0.35">
      <c r="A766" s="31">
        <v>45127</v>
      </c>
      <c r="B766" s="32" t="s">
        <v>12</v>
      </c>
      <c r="C766" s="32" t="s">
        <v>13</v>
      </c>
      <c r="D766" s="32" t="s">
        <v>33</v>
      </c>
      <c r="E766" s="32" t="s">
        <v>27</v>
      </c>
      <c r="F766" s="32">
        <v>2</v>
      </c>
      <c r="G766" s="32">
        <v>14</v>
      </c>
      <c r="H766" s="32" t="s">
        <v>56</v>
      </c>
      <c r="I766" s="32">
        <v>16</v>
      </c>
      <c r="J766" s="32">
        <v>4894.84</v>
      </c>
      <c r="K766" s="32">
        <v>68527.759999999995</v>
      </c>
    </row>
    <row r="767" spans="1:11" ht="15.5" hidden="1" x14ac:dyDescent="0.35">
      <c r="A767" s="31">
        <v>45182</v>
      </c>
      <c r="B767" s="32" t="s">
        <v>12</v>
      </c>
      <c r="C767" s="32" t="s">
        <v>16</v>
      </c>
      <c r="D767" s="32" t="s">
        <v>19</v>
      </c>
      <c r="E767" s="32" t="s">
        <v>18</v>
      </c>
      <c r="F767" s="32">
        <v>4</v>
      </c>
      <c r="G767" s="32">
        <v>8</v>
      </c>
      <c r="H767" s="32" t="s">
        <v>57</v>
      </c>
      <c r="I767" s="32">
        <v>38</v>
      </c>
      <c r="J767" s="32">
        <v>4651.3</v>
      </c>
      <c r="K767" s="32">
        <v>37210.400000000001</v>
      </c>
    </row>
    <row r="768" spans="1:11" ht="15.5" x14ac:dyDescent="0.35">
      <c r="A768" s="31">
        <v>45288</v>
      </c>
      <c r="B768" s="32" t="s">
        <v>8</v>
      </c>
      <c r="C768" s="32" t="s">
        <v>9</v>
      </c>
      <c r="D768" s="32" t="s">
        <v>31</v>
      </c>
      <c r="E768" s="32" t="s">
        <v>11</v>
      </c>
      <c r="F768" s="32">
        <v>5</v>
      </c>
      <c r="G768" s="32">
        <v>1</v>
      </c>
      <c r="H768" s="32" t="s">
        <v>58</v>
      </c>
      <c r="I768" s="32">
        <v>30</v>
      </c>
      <c r="J768" s="32">
        <v>1520.22</v>
      </c>
      <c r="K768" s="32">
        <v>1520.22</v>
      </c>
    </row>
    <row r="769" spans="1:11" ht="15.5" x14ac:dyDescent="0.35">
      <c r="A769" s="31">
        <v>45199</v>
      </c>
      <c r="B769" s="32" t="s">
        <v>12</v>
      </c>
      <c r="C769" s="32" t="s">
        <v>13</v>
      </c>
      <c r="D769" s="32" t="s">
        <v>26</v>
      </c>
      <c r="E769" s="32" t="s">
        <v>11</v>
      </c>
      <c r="F769" s="32">
        <v>5</v>
      </c>
      <c r="G769" s="32">
        <v>1</v>
      </c>
      <c r="H769" s="32" t="s">
        <v>59</v>
      </c>
      <c r="I769" s="32">
        <v>49</v>
      </c>
      <c r="J769" s="32">
        <v>3754.28</v>
      </c>
      <c r="K769" s="32">
        <v>3754.28</v>
      </c>
    </row>
    <row r="770" spans="1:11" ht="15.5" hidden="1" x14ac:dyDescent="0.35">
      <c r="A770" s="31">
        <v>45068</v>
      </c>
      <c r="B770" s="32" t="s">
        <v>12</v>
      </c>
      <c r="C770" s="32" t="s">
        <v>16</v>
      </c>
      <c r="D770" s="32" t="s">
        <v>19</v>
      </c>
      <c r="E770" s="32" t="s">
        <v>24</v>
      </c>
      <c r="F770" s="32">
        <v>3</v>
      </c>
      <c r="G770" s="32">
        <v>17</v>
      </c>
      <c r="H770" s="32" t="s">
        <v>48</v>
      </c>
      <c r="I770" s="32">
        <v>47</v>
      </c>
      <c r="J770" s="32">
        <v>947.7</v>
      </c>
      <c r="K770" s="32">
        <v>16110.9</v>
      </c>
    </row>
    <row r="771" spans="1:11" ht="15.5" hidden="1" x14ac:dyDescent="0.35">
      <c r="A771" s="31">
        <v>45181</v>
      </c>
      <c r="B771" s="32" t="s">
        <v>12</v>
      </c>
      <c r="C771" s="32" t="s">
        <v>13</v>
      </c>
      <c r="D771" s="32" t="s">
        <v>33</v>
      </c>
      <c r="E771" s="32" t="s">
        <v>18</v>
      </c>
      <c r="F771" s="32">
        <v>4</v>
      </c>
      <c r="G771" s="32">
        <v>6</v>
      </c>
      <c r="H771" s="32" t="s">
        <v>49</v>
      </c>
      <c r="I771" s="32">
        <v>51</v>
      </c>
      <c r="J771" s="32">
        <v>2207.64</v>
      </c>
      <c r="K771" s="32">
        <v>13245.84</v>
      </c>
    </row>
    <row r="772" spans="1:11" ht="15.5" hidden="1" x14ac:dyDescent="0.35">
      <c r="A772" s="31">
        <v>44936</v>
      </c>
      <c r="B772" s="32" t="s">
        <v>8</v>
      </c>
      <c r="C772" s="32" t="s">
        <v>9</v>
      </c>
      <c r="D772" s="32" t="s">
        <v>31</v>
      </c>
      <c r="E772" s="32" t="s">
        <v>18</v>
      </c>
      <c r="F772" s="32">
        <v>4</v>
      </c>
      <c r="G772" s="32">
        <v>8</v>
      </c>
      <c r="H772" s="32" t="s">
        <v>50</v>
      </c>
      <c r="I772" s="32">
        <v>41</v>
      </c>
      <c r="J772" s="32">
        <v>4146.82</v>
      </c>
      <c r="K772" s="32">
        <v>33174.559999999998</v>
      </c>
    </row>
    <row r="773" spans="1:11" ht="15.5" x14ac:dyDescent="0.35">
      <c r="A773" s="31">
        <v>44962</v>
      </c>
      <c r="B773" s="32" t="s">
        <v>12</v>
      </c>
      <c r="C773" s="32" t="s">
        <v>16</v>
      </c>
      <c r="D773" s="32" t="s">
        <v>25</v>
      </c>
      <c r="E773" s="32" t="s">
        <v>11</v>
      </c>
      <c r="F773" s="32">
        <v>5</v>
      </c>
      <c r="G773" s="32">
        <v>14</v>
      </c>
      <c r="H773" s="32" t="s">
        <v>51</v>
      </c>
      <c r="I773" s="32">
        <v>50</v>
      </c>
      <c r="J773" s="32">
        <v>1273.8399999999999</v>
      </c>
      <c r="K773" s="32">
        <v>17833.759999999998</v>
      </c>
    </row>
    <row r="774" spans="1:11" ht="15.5" hidden="1" x14ac:dyDescent="0.35">
      <c r="A774" s="31">
        <v>44978</v>
      </c>
      <c r="B774" s="32" t="s">
        <v>12</v>
      </c>
      <c r="C774" s="32" t="s">
        <v>16</v>
      </c>
      <c r="D774" s="32" t="s">
        <v>25</v>
      </c>
      <c r="E774" s="32" t="s">
        <v>18</v>
      </c>
      <c r="F774" s="32">
        <v>4</v>
      </c>
      <c r="G774" s="32">
        <v>4</v>
      </c>
      <c r="H774" s="32" t="s">
        <v>52</v>
      </c>
      <c r="I774" s="32">
        <v>31</v>
      </c>
      <c r="J774" s="32">
        <v>4878.16</v>
      </c>
      <c r="K774" s="32">
        <v>19512.64</v>
      </c>
    </row>
    <row r="775" spans="1:11" ht="15.5" x14ac:dyDescent="0.35">
      <c r="A775" s="31">
        <v>45035</v>
      </c>
      <c r="B775" s="32" t="s">
        <v>8</v>
      </c>
      <c r="C775" s="32" t="s">
        <v>28</v>
      </c>
      <c r="D775" s="32" t="s">
        <v>32</v>
      </c>
      <c r="E775" s="32" t="s">
        <v>11</v>
      </c>
      <c r="F775" s="32">
        <v>5</v>
      </c>
      <c r="G775" s="32">
        <v>11</v>
      </c>
      <c r="H775" s="32" t="s">
        <v>53</v>
      </c>
      <c r="I775" s="32">
        <v>23</v>
      </c>
      <c r="J775" s="32">
        <v>3072.59</v>
      </c>
      <c r="K775" s="32">
        <v>33798.49</v>
      </c>
    </row>
    <row r="776" spans="1:11" ht="15.5" hidden="1" x14ac:dyDescent="0.35">
      <c r="A776" s="31">
        <v>45191</v>
      </c>
      <c r="B776" s="32" t="s">
        <v>12</v>
      </c>
      <c r="C776" s="32" t="s">
        <v>13</v>
      </c>
      <c r="D776" s="32" t="s">
        <v>33</v>
      </c>
      <c r="E776" s="32" t="s">
        <v>18</v>
      </c>
      <c r="F776" s="32">
        <v>4</v>
      </c>
      <c r="G776" s="32">
        <v>12</v>
      </c>
      <c r="H776" s="32" t="s">
        <v>54</v>
      </c>
      <c r="I776" s="32">
        <v>16</v>
      </c>
      <c r="J776" s="32">
        <v>549.84</v>
      </c>
      <c r="K776" s="32">
        <v>6598.08</v>
      </c>
    </row>
    <row r="777" spans="1:11" ht="15.5" hidden="1" x14ac:dyDescent="0.35">
      <c r="A777" s="31">
        <v>45260</v>
      </c>
      <c r="B777" s="32" t="s">
        <v>12</v>
      </c>
      <c r="C777" s="32" t="s">
        <v>13</v>
      </c>
      <c r="D777" s="32" t="s">
        <v>26</v>
      </c>
      <c r="E777" s="32" t="s">
        <v>24</v>
      </c>
      <c r="F777" s="32">
        <v>3</v>
      </c>
      <c r="G777" s="32">
        <v>7</v>
      </c>
      <c r="H777" s="32" t="s">
        <v>55</v>
      </c>
      <c r="I777" s="32">
        <v>20</v>
      </c>
      <c r="J777" s="32">
        <v>3402.48</v>
      </c>
      <c r="K777" s="32">
        <v>23817.360000000001</v>
      </c>
    </row>
    <row r="778" spans="1:11" ht="15.5" hidden="1" x14ac:dyDescent="0.35">
      <c r="A778" s="31">
        <v>45288</v>
      </c>
      <c r="B778" s="32" t="s">
        <v>12</v>
      </c>
      <c r="C778" s="32" t="s">
        <v>13</v>
      </c>
      <c r="D778" s="32" t="s">
        <v>26</v>
      </c>
      <c r="E778" s="32" t="s">
        <v>27</v>
      </c>
      <c r="F778" s="32">
        <v>2</v>
      </c>
      <c r="G778" s="32">
        <v>1</v>
      </c>
      <c r="H778" s="32" t="s">
        <v>56</v>
      </c>
      <c r="I778" s="32">
        <v>25</v>
      </c>
      <c r="J778" s="32">
        <v>979.17</v>
      </c>
      <c r="K778" s="32">
        <v>979.17</v>
      </c>
    </row>
    <row r="779" spans="1:11" ht="15.5" hidden="1" x14ac:dyDescent="0.35">
      <c r="A779" s="31">
        <v>45187</v>
      </c>
      <c r="B779" s="32" t="s">
        <v>8</v>
      </c>
      <c r="C779" s="32" t="s">
        <v>28</v>
      </c>
      <c r="D779" s="32" t="s">
        <v>29</v>
      </c>
      <c r="E779" s="32" t="s">
        <v>24</v>
      </c>
      <c r="F779" s="32">
        <v>3</v>
      </c>
      <c r="G779" s="32">
        <v>14</v>
      </c>
      <c r="H779" s="32" t="s">
        <v>57</v>
      </c>
      <c r="I779" s="32">
        <v>20</v>
      </c>
      <c r="J779" s="32">
        <v>3433.55</v>
      </c>
      <c r="K779" s="32">
        <v>48069.7</v>
      </c>
    </row>
    <row r="780" spans="1:11" ht="15.5" hidden="1" x14ac:dyDescent="0.35">
      <c r="A780" s="31">
        <v>45067</v>
      </c>
      <c r="B780" s="32" t="s">
        <v>12</v>
      </c>
      <c r="C780" s="32" t="s">
        <v>13</v>
      </c>
      <c r="D780" s="32" t="s">
        <v>26</v>
      </c>
      <c r="E780" s="32" t="s">
        <v>15</v>
      </c>
      <c r="F780" s="32">
        <v>1</v>
      </c>
      <c r="G780" s="32">
        <v>5</v>
      </c>
      <c r="H780" s="32" t="s">
        <v>58</v>
      </c>
      <c r="I780" s="32">
        <v>16</v>
      </c>
      <c r="J780" s="32">
        <v>1757.01</v>
      </c>
      <c r="K780" s="32">
        <v>8785.0499999999993</v>
      </c>
    </row>
    <row r="781" spans="1:11" ht="15.5" hidden="1" x14ac:dyDescent="0.35">
      <c r="A781" s="31">
        <v>45119</v>
      </c>
      <c r="B781" s="32" t="s">
        <v>8</v>
      </c>
      <c r="C781" s="32" t="s">
        <v>28</v>
      </c>
      <c r="D781" s="32" t="s">
        <v>29</v>
      </c>
      <c r="E781" s="32" t="s">
        <v>18</v>
      </c>
      <c r="F781" s="32">
        <v>4</v>
      </c>
      <c r="G781" s="32">
        <v>16</v>
      </c>
      <c r="H781" s="32" t="s">
        <v>59</v>
      </c>
      <c r="I781" s="32">
        <v>34</v>
      </c>
      <c r="J781" s="32">
        <v>4858.3100000000004</v>
      </c>
      <c r="K781" s="32">
        <v>77732.960000000006</v>
      </c>
    </row>
    <row r="782" spans="1:11" ht="15.5" hidden="1" x14ac:dyDescent="0.35">
      <c r="A782" s="31">
        <v>45125</v>
      </c>
      <c r="B782" s="32" t="s">
        <v>12</v>
      </c>
      <c r="C782" s="32" t="s">
        <v>13</v>
      </c>
      <c r="D782" s="32" t="s">
        <v>26</v>
      </c>
      <c r="E782" s="32" t="s">
        <v>24</v>
      </c>
      <c r="F782" s="32">
        <v>3</v>
      </c>
      <c r="G782" s="32">
        <v>8</v>
      </c>
      <c r="H782" s="32" t="s">
        <v>48</v>
      </c>
      <c r="I782" s="32">
        <v>33</v>
      </c>
      <c r="J782" s="32">
        <v>1366.18</v>
      </c>
      <c r="K782" s="32">
        <v>10929.44</v>
      </c>
    </row>
    <row r="783" spans="1:11" ht="15.5" hidden="1" x14ac:dyDescent="0.35">
      <c r="A783" s="31">
        <v>45052</v>
      </c>
      <c r="B783" s="32" t="s">
        <v>12</v>
      </c>
      <c r="C783" s="32" t="s">
        <v>16</v>
      </c>
      <c r="D783" s="32" t="s">
        <v>25</v>
      </c>
      <c r="E783" s="32" t="s">
        <v>15</v>
      </c>
      <c r="F783" s="32">
        <v>1</v>
      </c>
      <c r="G783" s="32">
        <v>4</v>
      </c>
      <c r="H783" s="32" t="s">
        <v>49</v>
      </c>
      <c r="I783" s="32">
        <v>51</v>
      </c>
      <c r="J783" s="32">
        <v>2425.52</v>
      </c>
      <c r="K783" s="32">
        <v>9702.08</v>
      </c>
    </row>
    <row r="784" spans="1:11" ht="15.5" hidden="1" x14ac:dyDescent="0.35">
      <c r="A784" s="31">
        <v>45114</v>
      </c>
      <c r="B784" s="32" t="s">
        <v>12</v>
      </c>
      <c r="C784" s="32" t="s">
        <v>13</v>
      </c>
      <c r="D784" s="32" t="s">
        <v>14</v>
      </c>
      <c r="E784" s="32" t="s">
        <v>24</v>
      </c>
      <c r="F784" s="32">
        <v>3</v>
      </c>
      <c r="G784" s="32">
        <v>19</v>
      </c>
      <c r="H784" s="32" t="s">
        <v>50</v>
      </c>
      <c r="I784" s="32">
        <v>40</v>
      </c>
      <c r="J784" s="32">
        <v>4421.6899999999996</v>
      </c>
      <c r="K784" s="32">
        <v>84012.11</v>
      </c>
    </row>
    <row r="785" spans="1:11" ht="15.5" x14ac:dyDescent="0.35">
      <c r="A785" s="31">
        <v>45001</v>
      </c>
      <c r="B785" s="32" t="s">
        <v>12</v>
      </c>
      <c r="C785" s="32" t="s">
        <v>16</v>
      </c>
      <c r="D785" s="32" t="s">
        <v>19</v>
      </c>
      <c r="E785" s="32" t="s">
        <v>11</v>
      </c>
      <c r="F785" s="32">
        <v>5</v>
      </c>
      <c r="G785" s="32">
        <v>15</v>
      </c>
      <c r="H785" s="32" t="s">
        <v>51</v>
      </c>
      <c r="I785" s="32">
        <v>21</v>
      </c>
      <c r="J785" s="32">
        <v>4724.91</v>
      </c>
      <c r="K785" s="32">
        <v>70873.649999999994</v>
      </c>
    </row>
    <row r="786" spans="1:11" ht="15.5" hidden="1" x14ac:dyDescent="0.35">
      <c r="A786" s="31">
        <v>44959</v>
      </c>
      <c r="B786" s="32" t="s">
        <v>8</v>
      </c>
      <c r="C786" s="32" t="s">
        <v>28</v>
      </c>
      <c r="D786" s="32" t="s">
        <v>32</v>
      </c>
      <c r="E786" s="32" t="s">
        <v>18</v>
      </c>
      <c r="F786" s="32">
        <v>4</v>
      </c>
      <c r="G786" s="32">
        <v>15</v>
      </c>
      <c r="H786" s="32" t="s">
        <v>52</v>
      </c>
      <c r="I786" s="32">
        <v>20</v>
      </c>
      <c r="J786" s="32">
        <v>3555.88</v>
      </c>
      <c r="K786" s="32">
        <v>53338.2</v>
      </c>
    </row>
    <row r="787" spans="1:11" ht="15.5" hidden="1" x14ac:dyDescent="0.35">
      <c r="A787" s="31">
        <v>45154</v>
      </c>
      <c r="B787" s="32" t="s">
        <v>12</v>
      </c>
      <c r="C787" s="32" t="s">
        <v>16</v>
      </c>
      <c r="D787" s="32" t="s">
        <v>17</v>
      </c>
      <c r="E787" s="32" t="s">
        <v>15</v>
      </c>
      <c r="F787" s="32">
        <v>1</v>
      </c>
      <c r="G787" s="32">
        <v>12</v>
      </c>
      <c r="H787" s="32" t="s">
        <v>53</v>
      </c>
      <c r="I787" s="32">
        <v>52</v>
      </c>
      <c r="J787" s="32">
        <v>2557.5700000000002</v>
      </c>
      <c r="K787" s="32">
        <v>30690.84</v>
      </c>
    </row>
    <row r="788" spans="1:11" ht="15.5" hidden="1" x14ac:dyDescent="0.35">
      <c r="A788" s="31">
        <v>45140</v>
      </c>
      <c r="B788" s="32" t="s">
        <v>8</v>
      </c>
      <c r="C788" s="32" t="s">
        <v>28</v>
      </c>
      <c r="D788" s="32" t="s">
        <v>30</v>
      </c>
      <c r="E788" s="32" t="s">
        <v>15</v>
      </c>
      <c r="F788" s="32">
        <v>1</v>
      </c>
      <c r="G788" s="32">
        <v>5</v>
      </c>
      <c r="H788" s="32" t="s">
        <v>54</v>
      </c>
      <c r="I788" s="32">
        <v>55</v>
      </c>
      <c r="J788" s="32">
        <v>1997.76</v>
      </c>
      <c r="K788" s="32">
        <v>9988.7999999999993</v>
      </c>
    </row>
    <row r="789" spans="1:11" ht="15.5" hidden="1" x14ac:dyDescent="0.35">
      <c r="A789" s="31">
        <v>45021</v>
      </c>
      <c r="B789" s="32" t="s">
        <v>12</v>
      </c>
      <c r="C789" s="32" t="s">
        <v>16</v>
      </c>
      <c r="D789" s="32" t="s">
        <v>25</v>
      </c>
      <c r="E789" s="32" t="s">
        <v>24</v>
      </c>
      <c r="F789" s="32">
        <v>3</v>
      </c>
      <c r="G789" s="32">
        <v>9</v>
      </c>
      <c r="H789" s="32" t="s">
        <v>55</v>
      </c>
      <c r="I789" s="32">
        <v>37</v>
      </c>
      <c r="J789" s="32">
        <v>704.39</v>
      </c>
      <c r="K789" s="32">
        <v>6339.51</v>
      </c>
    </row>
    <row r="790" spans="1:11" ht="15.5" hidden="1" x14ac:dyDescent="0.35">
      <c r="A790" s="31">
        <v>45133</v>
      </c>
      <c r="B790" s="32" t="s">
        <v>12</v>
      </c>
      <c r="C790" s="32" t="s">
        <v>16</v>
      </c>
      <c r="D790" s="32" t="s">
        <v>25</v>
      </c>
      <c r="E790" s="32" t="s">
        <v>27</v>
      </c>
      <c r="F790" s="32">
        <v>2</v>
      </c>
      <c r="G790" s="32">
        <v>20</v>
      </c>
      <c r="H790" s="32" t="s">
        <v>56</v>
      </c>
      <c r="I790" s="32">
        <v>44</v>
      </c>
      <c r="J790" s="32">
        <v>2446.31</v>
      </c>
      <c r="K790" s="32">
        <v>48926.2</v>
      </c>
    </row>
    <row r="791" spans="1:11" ht="15.5" hidden="1" x14ac:dyDescent="0.35">
      <c r="A791" s="31">
        <v>45180</v>
      </c>
      <c r="B791" s="32" t="s">
        <v>8</v>
      </c>
      <c r="C791" s="32" t="s">
        <v>9</v>
      </c>
      <c r="D791" s="32" t="s">
        <v>23</v>
      </c>
      <c r="E791" s="32" t="s">
        <v>15</v>
      </c>
      <c r="F791" s="32">
        <v>1</v>
      </c>
      <c r="G791" s="32">
        <v>10</v>
      </c>
      <c r="H791" s="32" t="s">
        <v>57</v>
      </c>
      <c r="I791" s="32">
        <v>33</v>
      </c>
      <c r="J791" s="32">
        <v>2853.88</v>
      </c>
      <c r="K791" s="32">
        <v>28538.799999999999</v>
      </c>
    </row>
    <row r="792" spans="1:11" ht="15.5" x14ac:dyDescent="0.35">
      <c r="A792" s="31">
        <v>45012</v>
      </c>
      <c r="B792" s="32" t="s">
        <v>8</v>
      </c>
      <c r="C792" s="32" t="s">
        <v>28</v>
      </c>
      <c r="D792" s="32" t="s">
        <v>32</v>
      </c>
      <c r="E792" s="32" t="s">
        <v>11</v>
      </c>
      <c r="F792" s="32">
        <v>5</v>
      </c>
      <c r="G792" s="32">
        <v>15</v>
      </c>
      <c r="H792" s="32" t="s">
        <v>58</v>
      </c>
      <c r="I792" s="32">
        <v>55</v>
      </c>
      <c r="J792" s="32">
        <v>1098.31</v>
      </c>
      <c r="K792" s="32">
        <v>16474.650000000001</v>
      </c>
    </row>
    <row r="793" spans="1:11" ht="15.5" hidden="1" x14ac:dyDescent="0.35">
      <c r="A793" s="31">
        <v>45139</v>
      </c>
      <c r="B793" s="32" t="s">
        <v>12</v>
      </c>
      <c r="C793" s="32" t="s">
        <v>16</v>
      </c>
      <c r="D793" s="32" t="s">
        <v>19</v>
      </c>
      <c r="E793" s="32" t="s">
        <v>24</v>
      </c>
      <c r="F793" s="32">
        <v>3</v>
      </c>
      <c r="G793" s="32">
        <v>11</v>
      </c>
      <c r="H793" s="32" t="s">
        <v>59</v>
      </c>
      <c r="I793" s="32">
        <v>55</v>
      </c>
      <c r="J793" s="32">
        <v>968.17</v>
      </c>
      <c r="K793" s="32">
        <v>10649.87</v>
      </c>
    </row>
    <row r="794" spans="1:11" ht="15.5" hidden="1" x14ac:dyDescent="0.35">
      <c r="A794" s="31">
        <v>45035</v>
      </c>
      <c r="B794" s="32" t="s">
        <v>20</v>
      </c>
      <c r="C794" s="32" t="s">
        <v>21</v>
      </c>
      <c r="D794" s="32" t="s">
        <v>35</v>
      </c>
      <c r="E794" s="32" t="s">
        <v>24</v>
      </c>
      <c r="F794" s="32">
        <v>3</v>
      </c>
      <c r="G794" s="32">
        <v>10</v>
      </c>
      <c r="H794" s="32" t="s">
        <v>48</v>
      </c>
      <c r="I794" s="32">
        <v>30</v>
      </c>
      <c r="J794" s="32">
        <v>373.54</v>
      </c>
      <c r="K794" s="32">
        <v>3735.4</v>
      </c>
    </row>
    <row r="795" spans="1:11" ht="15.5" hidden="1" x14ac:dyDescent="0.35">
      <c r="A795" s="31">
        <v>44960</v>
      </c>
      <c r="B795" s="32" t="s">
        <v>20</v>
      </c>
      <c r="C795" s="32" t="s">
        <v>21</v>
      </c>
      <c r="D795" s="32" t="s">
        <v>34</v>
      </c>
      <c r="E795" s="32" t="s">
        <v>15</v>
      </c>
      <c r="F795" s="32">
        <v>1</v>
      </c>
      <c r="G795" s="32">
        <v>4</v>
      </c>
      <c r="H795" s="32" t="s">
        <v>49</v>
      </c>
      <c r="I795" s="32">
        <v>51</v>
      </c>
      <c r="J795" s="32">
        <v>1938.6</v>
      </c>
      <c r="K795" s="32">
        <v>7754.4</v>
      </c>
    </row>
    <row r="796" spans="1:11" ht="15.5" hidden="1" x14ac:dyDescent="0.35">
      <c r="A796" s="31">
        <v>45229</v>
      </c>
      <c r="B796" s="32" t="s">
        <v>12</v>
      </c>
      <c r="C796" s="32" t="s">
        <v>16</v>
      </c>
      <c r="D796" s="32" t="s">
        <v>19</v>
      </c>
      <c r="E796" s="32" t="s">
        <v>27</v>
      </c>
      <c r="F796" s="32">
        <v>2</v>
      </c>
      <c r="G796" s="32">
        <v>9</v>
      </c>
      <c r="H796" s="32" t="s">
        <v>50</v>
      </c>
      <c r="I796" s="32">
        <v>45</v>
      </c>
      <c r="J796" s="32">
        <v>3643.26</v>
      </c>
      <c r="K796" s="32">
        <v>32789.339999999997</v>
      </c>
    </row>
    <row r="797" spans="1:11" ht="15.5" hidden="1" x14ac:dyDescent="0.35">
      <c r="A797" s="31">
        <v>45055</v>
      </c>
      <c r="B797" s="32" t="s">
        <v>8</v>
      </c>
      <c r="C797" s="32" t="s">
        <v>9</v>
      </c>
      <c r="D797" s="32" t="s">
        <v>23</v>
      </c>
      <c r="E797" s="32" t="s">
        <v>27</v>
      </c>
      <c r="F797" s="32">
        <v>2</v>
      </c>
      <c r="G797" s="32">
        <v>19</v>
      </c>
      <c r="H797" s="32" t="s">
        <v>51</v>
      </c>
      <c r="I797" s="32">
        <v>22</v>
      </c>
      <c r="J797" s="32">
        <v>3374.33</v>
      </c>
      <c r="K797" s="32">
        <v>64112.27</v>
      </c>
    </row>
    <row r="798" spans="1:11" ht="15.5" hidden="1" x14ac:dyDescent="0.35">
      <c r="A798" s="31">
        <v>45224</v>
      </c>
      <c r="B798" s="32" t="s">
        <v>20</v>
      </c>
      <c r="C798" s="32" t="s">
        <v>21</v>
      </c>
      <c r="D798" s="32" t="s">
        <v>35</v>
      </c>
      <c r="E798" s="32" t="s">
        <v>24</v>
      </c>
      <c r="F798" s="32">
        <v>3</v>
      </c>
      <c r="G798" s="32">
        <v>4</v>
      </c>
      <c r="H798" s="32" t="s">
        <v>52</v>
      </c>
      <c r="I798" s="32">
        <v>45</v>
      </c>
      <c r="J798" s="32">
        <v>700.07</v>
      </c>
      <c r="K798" s="32">
        <v>2800.28</v>
      </c>
    </row>
    <row r="799" spans="1:11" ht="15.5" hidden="1" x14ac:dyDescent="0.35">
      <c r="A799" s="31">
        <v>45187</v>
      </c>
      <c r="B799" s="32" t="s">
        <v>12</v>
      </c>
      <c r="C799" s="32" t="s">
        <v>13</v>
      </c>
      <c r="D799" s="32" t="s">
        <v>26</v>
      </c>
      <c r="E799" s="32" t="s">
        <v>27</v>
      </c>
      <c r="F799" s="32">
        <v>2</v>
      </c>
      <c r="G799" s="32">
        <v>11</v>
      </c>
      <c r="H799" s="32" t="s">
        <v>53</v>
      </c>
      <c r="I799" s="32">
        <v>17</v>
      </c>
      <c r="J799" s="32">
        <v>2677.03</v>
      </c>
      <c r="K799" s="32">
        <v>29447.33</v>
      </c>
    </row>
    <row r="800" spans="1:11" ht="15.5" hidden="1" x14ac:dyDescent="0.35">
      <c r="A800" s="31">
        <v>45140</v>
      </c>
      <c r="B800" s="32" t="s">
        <v>12</v>
      </c>
      <c r="C800" s="32" t="s">
        <v>16</v>
      </c>
      <c r="D800" s="32" t="s">
        <v>19</v>
      </c>
      <c r="E800" s="32" t="s">
        <v>27</v>
      </c>
      <c r="F800" s="32">
        <v>2</v>
      </c>
      <c r="G800" s="32">
        <v>13</v>
      </c>
      <c r="H800" s="32" t="s">
        <v>54</v>
      </c>
      <c r="I800" s="32">
        <v>55</v>
      </c>
      <c r="J800" s="32">
        <v>1220.76</v>
      </c>
      <c r="K800" s="32">
        <v>15869.88</v>
      </c>
    </row>
    <row r="801" spans="1:11" ht="15.5" x14ac:dyDescent="0.35">
      <c r="A801" s="31">
        <v>45099</v>
      </c>
      <c r="B801" s="32" t="s">
        <v>8</v>
      </c>
      <c r="C801" s="32" t="s">
        <v>9</v>
      </c>
      <c r="D801" s="32" t="s">
        <v>23</v>
      </c>
      <c r="E801" s="32" t="s">
        <v>11</v>
      </c>
      <c r="F801" s="32">
        <v>5</v>
      </c>
      <c r="G801" s="32">
        <v>1</v>
      </c>
      <c r="H801" s="32" t="s">
        <v>55</v>
      </c>
      <c r="I801" s="32">
        <v>52</v>
      </c>
      <c r="J801" s="32">
        <v>4640.17</v>
      </c>
      <c r="K801" s="32">
        <v>4640.17</v>
      </c>
    </row>
    <row r="802" spans="1:11" ht="15.5" hidden="1" x14ac:dyDescent="0.35">
      <c r="A802" s="31">
        <v>44965</v>
      </c>
      <c r="B802" s="32" t="s">
        <v>12</v>
      </c>
      <c r="C802" s="32" t="s">
        <v>16</v>
      </c>
      <c r="D802" s="32" t="s">
        <v>17</v>
      </c>
      <c r="E802" s="32" t="s">
        <v>18</v>
      </c>
      <c r="F802" s="32">
        <v>4</v>
      </c>
      <c r="G802" s="32">
        <v>12</v>
      </c>
      <c r="H802" s="32" t="s">
        <v>56</v>
      </c>
      <c r="I802" s="32">
        <v>31</v>
      </c>
      <c r="J802" s="32">
        <v>1608.11</v>
      </c>
      <c r="K802" s="32">
        <v>19297.32</v>
      </c>
    </row>
    <row r="803" spans="1:11" ht="15.5" hidden="1" x14ac:dyDescent="0.35">
      <c r="A803" s="31">
        <v>45218</v>
      </c>
      <c r="B803" s="32" t="s">
        <v>8</v>
      </c>
      <c r="C803" s="32" t="s">
        <v>9</v>
      </c>
      <c r="D803" s="32" t="s">
        <v>23</v>
      </c>
      <c r="E803" s="32" t="s">
        <v>27</v>
      </c>
      <c r="F803" s="32">
        <v>2</v>
      </c>
      <c r="G803" s="32">
        <v>8</v>
      </c>
      <c r="H803" s="32" t="s">
        <v>57</v>
      </c>
      <c r="I803" s="32">
        <v>51</v>
      </c>
      <c r="J803" s="32">
        <v>3615.06</v>
      </c>
      <c r="K803" s="32">
        <v>28920.48</v>
      </c>
    </row>
    <row r="804" spans="1:11" ht="15.5" hidden="1" x14ac:dyDescent="0.35">
      <c r="A804" s="31">
        <v>45071</v>
      </c>
      <c r="B804" s="32" t="s">
        <v>8</v>
      </c>
      <c r="C804" s="32" t="s">
        <v>9</v>
      </c>
      <c r="D804" s="32" t="s">
        <v>23</v>
      </c>
      <c r="E804" s="32" t="s">
        <v>24</v>
      </c>
      <c r="F804" s="32">
        <v>3</v>
      </c>
      <c r="G804" s="32">
        <v>7</v>
      </c>
      <c r="H804" s="32" t="s">
        <v>58</v>
      </c>
      <c r="I804" s="32">
        <v>27</v>
      </c>
      <c r="J804" s="32">
        <v>4238.07</v>
      </c>
      <c r="K804" s="32">
        <v>29666.49</v>
      </c>
    </row>
    <row r="805" spans="1:11" ht="15.5" x14ac:dyDescent="0.35">
      <c r="A805" s="31">
        <v>45239</v>
      </c>
      <c r="B805" s="32" t="s">
        <v>12</v>
      </c>
      <c r="C805" s="32" t="s">
        <v>13</v>
      </c>
      <c r="D805" s="32" t="s">
        <v>33</v>
      </c>
      <c r="E805" s="32" t="s">
        <v>11</v>
      </c>
      <c r="F805" s="32">
        <v>5</v>
      </c>
      <c r="G805" s="32">
        <v>16</v>
      </c>
      <c r="H805" s="32" t="s">
        <v>59</v>
      </c>
      <c r="I805" s="32">
        <v>24</v>
      </c>
      <c r="J805" s="32">
        <v>3981.76</v>
      </c>
      <c r="K805" s="32">
        <v>63708.160000000003</v>
      </c>
    </row>
    <row r="806" spans="1:11" ht="15.5" hidden="1" x14ac:dyDescent="0.35">
      <c r="A806" s="31">
        <v>44943</v>
      </c>
      <c r="B806" s="32" t="s">
        <v>20</v>
      </c>
      <c r="C806" s="32" t="s">
        <v>21</v>
      </c>
      <c r="D806" s="32" t="s">
        <v>22</v>
      </c>
      <c r="E806" s="32" t="s">
        <v>24</v>
      </c>
      <c r="F806" s="32">
        <v>3</v>
      </c>
      <c r="G806" s="32">
        <v>6</v>
      </c>
      <c r="H806" s="32" t="s">
        <v>48</v>
      </c>
      <c r="I806" s="32">
        <v>30</v>
      </c>
      <c r="J806" s="32">
        <v>3671.84</v>
      </c>
      <c r="K806" s="32">
        <v>22031.040000000001</v>
      </c>
    </row>
    <row r="807" spans="1:11" ht="15.5" hidden="1" x14ac:dyDescent="0.35">
      <c r="A807" s="31">
        <v>45214</v>
      </c>
      <c r="B807" s="32" t="s">
        <v>12</v>
      </c>
      <c r="C807" s="32" t="s">
        <v>16</v>
      </c>
      <c r="D807" s="32" t="s">
        <v>25</v>
      </c>
      <c r="E807" s="32" t="s">
        <v>24</v>
      </c>
      <c r="F807" s="32">
        <v>3</v>
      </c>
      <c r="G807" s="32">
        <v>3</v>
      </c>
      <c r="H807" s="32" t="s">
        <v>49</v>
      </c>
      <c r="I807" s="32">
        <v>20</v>
      </c>
      <c r="J807" s="32">
        <v>1046.06</v>
      </c>
      <c r="K807" s="32">
        <v>3138.18</v>
      </c>
    </row>
    <row r="808" spans="1:11" ht="15.5" hidden="1" x14ac:dyDescent="0.35">
      <c r="A808" s="31">
        <v>45270</v>
      </c>
      <c r="B808" s="32" t="s">
        <v>12</v>
      </c>
      <c r="C808" s="32" t="s">
        <v>16</v>
      </c>
      <c r="D808" s="32" t="s">
        <v>19</v>
      </c>
      <c r="E808" s="32" t="s">
        <v>15</v>
      </c>
      <c r="F808" s="32">
        <v>1</v>
      </c>
      <c r="G808" s="32">
        <v>8</v>
      </c>
      <c r="H808" s="32" t="s">
        <v>50</v>
      </c>
      <c r="I808" s="32">
        <v>54</v>
      </c>
      <c r="J808" s="32">
        <v>1595.76</v>
      </c>
      <c r="K808" s="32">
        <v>12766.08</v>
      </c>
    </row>
    <row r="809" spans="1:11" ht="15.5" hidden="1" x14ac:dyDescent="0.35">
      <c r="A809" s="31">
        <v>45191</v>
      </c>
      <c r="B809" s="32" t="s">
        <v>20</v>
      </c>
      <c r="C809" s="32" t="s">
        <v>21</v>
      </c>
      <c r="D809" s="32" t="s">
        <v>22</v>
      </c>
      <c r="E809" s="32" t="s">
        <v>27</v>
      </c>
      <c r="F809" s="32">
        <v>2</v>
      </c>
      <c r="G809" s="32">
        <v>8</v>
      </c>
      <c r="H809" s="32" t="s">
        <v>51</v>
      </c>
      <c r="I809" s="32">
        <v>55</v>
      </c>
      <c r="J809" s="32">
        <v>4866.58</v>
      </c>
      <c r="K809" s="32">
        <v>38932.639999999999</v>
      </c>
    </row>
    <row r="810" spans="1:11" ht="15.5" hidden="1" x14ac:dyDescent="0.35">
      <c r="A810" s="31">
        <v>45194</v>
      </c>
      <c r="B810" s="32" t="s">
        <v>8</v>
      </c>
      <c r="C810" s="32" t="s">
        <v>28</v>
      </c>
      <c r="D810" s="32" t="s">
        <v>32</v>
      </c>
      <c r="E810" s="32" t="s">
        <v>18</v>
      </c>
      <c r="F810" s="32">
        <v>4</v>
      </c>
      <c r="G810" s="32">
        <v>2</v>
      </c>
      <c r="H810" s="32" t="s">
        <v>52</v>
      </c>
      <c r="I810" s="32">
        <v>24</v>
      </c>
      <c r="J810" s="32">
        <v>4176.99</v>
      </c>
      <c r="K810" s="32">
        <v>8353.98</v>
      </c>
    </row>
    <row r="811" spans="1:11" ht="15.5" hidden="1" x14ac:dyDescent="0.35">
      <c r="A811" s="31">
        <v>45203</v>
      </c>
      <c r="B811" s="32" t="s">
        <v>20</v>
      </c>
      <c r="C811" s="32" t="s">
        <v>21</v>
      </c>
      <c r="D811" s="32" t="s">
        <v>22</v>
      </c>
      <c r="E811" s="32" t="s">
        <v>27</v>
      </c>
      <c r="F811" s="32">
        <v>2</v>
      </c>
      <c r="G811" s="32">
        <v>16</v>
      </c>
      <c r="H811" s="32" t="s">
        <v>53</v>
      </c>
      <c r="I811" s="32">
        <v>34</v>
      </c>
      <c r="J811" s="32">
        <v>4860.07</v>
      </c>
      <c r="K811" s="32">
        <v>77761.119999999995</v>
      </c>
    </row>
    <row r="812" spans="1:11" ht="15.5" hidden="1" x14ac:dyDescent="0.35">
      <c r="A812" s="31">
        <v>45126</v>
      </c>
      <c r="B812" s="32" t="s">
        <v>12</v>
      </c>
      <c r="C812" s="32" t="s">
        <v>13</v>
      </c>
      <c r="D812" s="32" t="s">
        <v>26</v>
      </c>
      <c r="E812" s="32" t="s">
        <v>15</v>
      </c>
      <c r="F812" s="32">
        <v>1</v>
      </c>
      <c r="G812" s="32">
        <v>4</v>
      </c>
      <c r="H812" s="32" t="s">
        <v>54</v>
      </c>
      <c r="I812" s="32">
        <v>55</v>
      </c>
      <c r="J812" s="32">
        <v>277.45</v>
      </c>
      <c r="K812" s="32">
        <v>1109.8</v>
      </c>
    </row>
    <row r="813" spans="1:11" ht="15.5" hidden="1" x14ac:dyDescent="0.35">
      <c r="A813" s="31">
        <v>44965</v>
      </c>
      <c r="B813" s="32" t="s">
        <v>12</v>
      </c>
      <c r="C813" s="32" t="s">
        <v>13</v>
      </c>
      <c r="D813" s="32" t="s">
        <v>26</v>
      </c>
      <c r="E813" s="32" t="s">
        <v>18</v>
      </c>
      <c r="F813" s="32">
        <v>4</v>
      </c>
      <c r="G813" s="32">
        <v>13</v>
      </c>
      <c r="H813" s="32" t="s">
        <v>55</v>
      </c>
      <c r="I813" s="32">
        <v>19</v>
      </c>
      <c r="J813" s="32">
        <v>1030.9000000000001</v>
      </c>
      <c r="K813" s="32">
        <v>13401.7</v>
      </c>
    </row>
    <row r="814" spans="1:11" ht="15.5" hidden="1" x14ac:dyDescent="0.35">
      <c r="A814" s="31">
        <v>45258</v>
      </c>
      <c r="B814" s="32" t="s">
        <v>12</v>
      </c>
      <c r="C814" s="32" t="s">
        <v>13</v>
      </c>
      <c r="D814" s="32" t="s">
        <v>33</v>
      </c>
      <c r="E814" s="32" t="s">
        <v>24</v>
      </c>
      <c r="F814" s="32">
        <v>3</v>
      </c>
      <c r="G814" s="32">
        <v>16</v>
      </c>
      <c r="H814" s="32" t="s">
        <v>56</v>
      </c>
      <c r="I814" s="32">
        <v>28</v>
      </c>
      <c r="J814" s="32">
        <v>2573.33</v>
      </c>
      <c r="K814" s="32">
        <v>41173.279999999999</v>
      </c>
    </row>
    <row r="815" spans="1:11" ht="15.5" x14ac:dyDescent="0.35">
      <c r="A815" s="31">
        <v>44942</v>
      </c>
      <c r="B815" s="32" t="s">
        <v>12</v>
      </c>
      <c r="C815" s="32" t="s">
        <v>16</v>
      </c>
      <c r="D815" s="32" t="s">
        <v>17</v>
      </c>
      <c r="E815" s="32" t="s">
        <v>11</v>
      </c>
      <c r="F815" s="32">
        <v>5</v>
      </c>
      <c r="G815" s="32">
        <v>18</v>
      </c>
      <c r="H815" s="32" t="s">
        <v>57</v>
      </c>
      <c r="I815" s="32">
        <v>52</v>
      </c>
      <c r="J815" s="32">
        <v>1134.8800000000001</v>
      </c>
      <c r="K815" s="32">
        <v>20427.84</v>
      </c>
    </row>
    <row r="816" spans="1:11" ht="15.5" hidden="1" x14ac:dyDescent="0.35">
      <c r="A816" s="31">
        <v>45283</v>
      </c>
      <c r="B816" s="32" t="s">
        <v>20</v>
      </c>
      <c r="C816" s="32" t="s">
        <v>21</v>
      </c>
      <c r="D816" s="32" t="s">
        <v>34</v>
      </c>
      <c r="E816" s="32" t="s">
        <v>24</v>
      </c>
      <c r="F816" s="32">
        <v>3</v>
      </c>
      <c r="G816" s="32">
        <v>13</v>
      </c>
      <c r="H816" s="32" t="s">
        <v>58</v>
      </c>
      <c r="I816" s="32">
        <v>22</v>
      </c>
      <c r="J816" s="32">
        <v>802.18</v>
      </c>
      <c r="K816" s="32">
        <v>10428.34</v>
      </c>
    </row>
    <row r="817" spans="1:11" ht="15.5" x14ac:dyDescent="0.35">
      <c r="A817" s="31">
        <v>45288</v>
      </c>
      <c r="B817" s="32" t="s">
        <v>12</v>
      </c>
      <c r="C817" s="32" t="s">
        <v>16</v>
      </c>
      <c r="D817" s="32" t="s">
        <v>25</v>
      </c>
      <c r="E817" s="32" t="s">
        <v>11</v>
      </c>
      <c r="F817" s="32">
        <v>5</v>
      </c>
      <c r="G817" s="32">
        <v>10</v>
      </c>
      <c r="H817" s="32" t="s">
        <v>59</v>
      </c>
      <c r="I817" s="32">
        <v>46</v>
      </c>
      <c r="J817" s="32">
        <v>568.6</v>
      </c>
      <c r="K817" s="32">
        <v>5686</v>
      </c>
    </row>
    <row r="818" spans="1:11" ht="15.5" hidden="1" x14ac:dyDescent="0.35">
      <c r="A818" s="31">
        <v>45192</v>
      </c>
      <c r="B818" s="32" t="s">
        <v>8</v>
      </c>
      <c r="C818" s="32" t="s">
        <v>9</v>
      </c>
      <c r="D818" s="32" t="s">
        <v>23</v>
      </c>
      <c r="E818" s="32" t="s">
        <v>15</v>
      </c>
      <c r="F818" s="32">
        <v>1</v>
      </c>
      <c r="G818" s="32">
        <v>7</v>
      </c>
      <c r="H818" s="32" t="s">
        <v>48</v>
      </c>
      <c r="I818" s="32">
        <v>18</v>
      </c>
      <c r="J818" s="32">
        <v>1801.74</v>
      </c>
      <c r="K818" s="32">
        <v>12612.18</v>
      </c>
    </row>
    <row r="819" spans="1:11" ht="15.5" hidden="1" x14ac:dyDescent="0.35">
      <c r="A819" s="31">
        <v>45138</v>
      </c>
      <c r="B819" s="32" t="s">
        <v>12</v>
      </c>
      <c r="C819" s="32" t="s">
        <v>13</v>
      </c>
      <c r="D819" s="32" t="s">
        <v>33</v>
      </c>
      <c r="E819" s="32" t="s">
        <v>15</v>
      </c>
      <c r="F819" s="32">
        <v>1</v>
      </c>
      <c r="G819" s="32">
        <v>13</v>
      </c>
      <c r="H819" s="32" t="s">
        <v>49</v>
      </c>
      <c r="I819" s="32">
        <v>20</v>
      </c>
      <c r="J819" s="32">
        <v>968.18</v>
      </c>
      <c r="K819" s="32">
        <v>12586.34</v>
      </c>
    </row>
    <row r="820" spans="1:11" ht="15.5" x14ac:dyDescent="0.35">
      <c r="A820" s="31">
        <v>45034</v>
      </c>
      <c r="B820" s="32" t="s">
        <v>12</v>
      </c>
      <c r="C820" s="32" t="s">
        <v>13</v>
      </c>
      <c r="D820" s="32" t="s">
        <v>14</v>
      </c>
      <c r="E820" s="32" t="s">
        <v>11</v>
      </c>
      <c r="F820" s="32">
        <v>5</v>
      </c>
      <c r="G820" s="32">
        <v>6</v>
      </c>
      <c r="H820" s="32" t="s">
        <v>50</v>
      </c>
      <c r="I820" s="32">
        <v>53</v>
      </c>
      <c r="J820" s="32">
        <v>3439.83</v>
      </c>
      <c r="K820" s="32">
        <v>20638.98</v>
      </c>
    </row>
    <row r="821" spans="1:11" ht="15.5" hidden="1" x14ac:dyDescent="0.35">
      <c r="A821" s="31">
        <v>45146</v>
      </c>
      <c r="B821" s="32" t="s">
        <v>12</v>
      </c>
      <c r="C821" s="32" t="s">
        <v>13</v>
      </c>
      <c r="D821" s="32" t="s">
        <v>26</v>
      </c>
      <c r="E821" s="32" t="s">
        <v>18</v>
      </c>
      <c r="F821" s="32">
        <v>4</v>
      </c>
      <c r="G821" s="32">
        <v>15</v>
      </c>
      <c r="H821" s="32" t="s">
        <v>51</v>
      </c>
      <c r="I821" s="32">
        <v>48</v>
      </c>
      <c r="J821" s="32">
        <v>3943.63</v>
      </c>
      <c r="K821" s="32">
        <v>59154.45</v>
      </c>
    </row>
    <row r="822" spans="1:11" ht="15.5" x14ac:dyDescent="0.35">
      <c r="A822" s="31">
        <v>45172</v>
      </c>
      <c r="B822" s="32" t="s">
        <v>20</v>
      </c>
      <c r="C822" s="32" t="s">
        <v>21</v>
      </c>
      <c r="D822" s="32" t="s">
        <v>35</v>
      </c>
      <c r="E822" s="32" t="s">
        <v>11</v>
      </c>
      <c r="F822" s="32">
        <v>5</v>
      </c>
      <c r="G822" s="32">
        <v>11</v>
      </c>
      <c r="H822" s="32" t="s">
        <v>52</v>
      </c>
      <c r="I822" s="32">
        <v>28</v>
      </c>
      <c r="J822" s="32">
        <v>1418.67</v>
      </c>
      <c r="K822" s="32">
        <v>15605.37</v>
      </c>
    </row>
    <row r="823" spans="1:11" ht="15.5" hidden="1" x14ac:dyDescent="0.35">
      <c r="A823" s="31">
        <v>44938</v>
      </c>
      <c r="B823" s="32" t="s">
        <v>12</v>
      </c>
      <c r="C823" s="32" t="s">
        <v>13</v>
      </c>
      <c r="D823" s="32" t="s">
        <v>26</v>
      </c>
      <c r="E823" s="32" t="s">
        <v>24</v>
      </c>
      <c r="F823" s="32">
        <v>3</v>
      </c>
      <c r="G823" s="32">
        <v>16</v>
      </c>
      <c r="H823" s="32" t="s">
        <v>53</v>
      </c>
      <c r="I823" s="32">
        <v>18</v>
      </c>
      <c r="J823" s="32">
        <v>2976.17</v>
      </c>
      <c r="K823" s="32">
        <v>47618.720000000001</v>
      </c>
    </row>
    <row r="824" spans="1:11" ht="15.5" hidden="1" x14ac:dyDescent="0.35">
      <c r="A824" s="31">
        <v>45109</v>
      </c>
      <c r="B824" s="32" t="s">
        <v>20</v>
      </c>
      <c r="C824" s="32" t="s">
        <v>21</v>
      </c>
      <c r="D824" s="32" t="s">
        <v>34</v>
      </c>
      <c r="E824" s="32" t="s">
        <v>15</v>
      </c>
      <c r="F824" s="32">
        <v>1</v>
      </c>
      <c r="G824" s="32">
        <v>4</v>
      </c>
      <c r="H824" s="32" t="s">
        <v>54</v>
      </c>
      <c r="I824" s="32">
        <v>47</v>
      </c>
      <c r="J824" s="32">
        <v>2984.27</v>
      </c>
      <c r="K824" s="32">
        <v>11937.08</v>
      </c>
    </row>
    <row r="825" spans="1:11" ht="15.5" hidden="1" x14ac:dyDescent="0.35">
      <c r="A825" s="31">
        <v>44997</v>
      </c>
      <c r="B825" s="32" t="s">
        <v>12</v>
      </c>
      <c r="C825" s="32" t="s">
        <v>13</v>
      </c>
      <c r="D825" s="32" t="s">
        <v>26</v>
      </c>
      <c r="E825" s="32" t="s">
        <v>18</v>
      </c>
      <c r="F825" s="32">
        <v>4</v>
      </c>
      <c r="G825" s="32">
        <v>2</v>
      </c>
      <c r="H825" s="32" t="s">
        <v>55</v>
      </c>
      <c r="I825" s="32">
        <v>35</v>
      </c>
      <c r="J825" s="32">
        <v>1888.47</v>
      </c>
      <c r="K825" s="32">
        <v>3776.94</v>
      </c>
    </row>
    <row r="826" spans="1:11" ht="15.5" x14ac:dyDescent="0.35">
      <c r="A826" s="31">
        <v>45234</v>
      </c>
      <c r="B826" s="32" t="s">
        <v>8</v>
      </c>
      <c r="C826" s="32" t="s">
        <v>28</v>
      </c>
      <c r="D826" s="32" t="s">
        <v>32</v>
      </c>
      <c r="E826" s="32" t="s">
        <v>11</v>
      </c>
      <c r="F826" s="32">
        <v>5</v>
      </c>
      <c r="G826" s="32">
        <v>18</v>
      </c>
      <c r="H826" s="32" t="s">
        <v>56</v>
      </c>
      <c r="I826" s="32">
        <v>21</v>
      </c>
      <c r="J826" s="32">
        <v>651.22</v>
      </c>
      <c r="K826" s="32">
        <v>11721.96</v>
      </c>
    </row>
    <row r="827" spans="1:11" ht="15.5" x14ac:dyDescent="0.35">
      <c r="A827" s="31">
        <v>45089</v>
      </c>
      <c r="B827" s="32" t="s">
        <v>12</v>
      </c>
      <c r="C827" s="32" t="s">
        <v>16</v>
      </c>
      <c r="D827" s="32" t="s">
        <v>25</v>
      </c>
      <c r="E827" s="32" t="s">
        <v>11</v>
      </c>
      <c r="F827" s="32">
        <v>5</v>
      </c>
      <c r="G827" s="32">
        <v>3</v>
      </c>
      <c r="H827" s="32" t="s">
        <v>57</v>
      </c>
      <c r="I827" s="32">
        <v>44</v>
      </c>
      <c r="J827" s="32">
        <v>3109.18</v>
      </c>
      <c r="K827" s="32">
        <v>9327.5400000000009</v>
      </c>
    </row>
    <row r="828" spans="1:11" ht="15.5" x14ac:dyDescent="0.35">
      <c r="A828" s="31">
        <v>45143</v>
      </c>
      <c r="B828" s="32" t="s">
        <v>8</v>
      </c>
      <c r="C828" s="32" t="s">
        <v>9</v>
      </c>
      <c r="D828" s="32" t="s">
        <v>31</v>
      </c>
      <c r="E828" s="32" t="s">
        <v>11</v>
      </c>
      <c r="F828" s="32">
        <v>5</v>
      </c>
      <c r="G828" s="32">
        <v>11</v>
      </c>
      <c r="H828" s="32" t="s">
        <v>58</v>
      </c>
      <c r="I828" s="32">
        <v>23</v>
      </c>
      <c r="J828" s="32">
        <v>587.46</v>
      </c>
      <c r="K828" s="32">
        <v>6462.06</v>
      </c>
    </row>
    <row r="829" spans="1:11" ht="15.5" hidden="1" x14ac:dyDescent="0.35">
      <c r="A829" s="31">
        <v>44972</v>
      </c>
      <c r="B829" s="32" t="s">
        <v>20</v>
      </c>
      <c r="C829" s="32" t="s">
        <v>21</v>
      </c>
      <c r="D829" s="32" t="s">
        <v>34</v>
      </c>
      <c r="E829" s="32" t="s">
        <v>15</v>
      </c>
      <c r="F829" s="32">
        <v>1</v>
      </c>
      <c r="G829" s="32">
        <v>1</v>
      </c>
      <c r="H829" s="32" t="s">
        <v>59</v>
      </c>
      <c r="I829" s="32">
        <v>49</v>
      </c>
      <c r="J829" s="32">
        <v>2466.0100000000002</v>
      </c>
      <c r="K829" s="32">
        <v>2466.0100000000002</v>
      </c>
    </row>
    <row r="830" spans="1:11" ht="15.5" hidden="1" x14ac:dyDescent="0.35">
      <c r="A830" s="31">
        <v>45223</v>
      </c>
      <c r="B830" s="32" t="s">
        <v>8</v>
      </c>
      <c r="C830" s="32" t="s">
        <v>28</v>
      </c>
      <c r="D830" s="32" t="s">
        <v>29</v>
      </c>
      <c r="E830" s="32" t="s">
        <v>24</v>
      </c>
      <c r="F830" s="32">
        <v>3</v>
      </c>
      <c r="G830" s="32">
        <v>19</v>
      </c>
      <c r="H830" s="32" t="s">
        <v>48</v>
      </c>
      <c r="I830" s="32">
        <v>23</v>
      </c>
      <c r="J830" s="32">
        <v>3907.56</v>
      </c>
      <c r="K830" s="32">
        <v>74243.64</v>
      </c>
    </row>
    <row r="831" spans="1:11" ht="15.5" hidden="1" x14ac:dyDescent="0.35">
      <c r="A831" s="31">
        <v>45129</v>
      </c>
      <c r="B831" s="32" t="s">
        <v>20</v>
      </c>
      <c r="C831" s="32" t="s">
        <v>21</v>
      </c>
      <c r="D831" s="32" t="s">
        <v>22</v>
      </c>
      <c r="E831" s="32" t="s">
        <v>15</v>
      </c>
      <c r="F831" s="32">
        <v>1</v>
      </c>
      <c r="G831" s="32">
        <v>5</v>
      </c>
      <c r="H831" s="32" t="s">
        <v>49</v>
      </c>
      <c r="I831" s="32">
        <v>31</v>
      </c>
      <c r="J831" s="32">
        <v>2463.9499999999998</v>
      </c>
      <c r="K831" s="32">
        <v>12319.75</v>
      </c>
    </row>
    <row r="832" spans="1:11" ht="15.5" x14ac:dyDescent="0.35">
      <c r="A832" s="31">
        <v>44933</v>
      </c>
      <c r="B832" s="32" t="s">
        <v>12</v>
      </c>
      <c r="C832" s="32" t="s">
        <v>13</v>
      </c>
      <c r="D832" s="32" t="s">
        <v>14</v>
      </c>
      <c r="E832" s="32" t="s">
        <v>11</v>
      </c>
      <c r="F832" s="32">
        <v>5</v>
      </c>
      <c r="G832" s="32">
        <v>7</v>
      </c>
      <c r="H832" s="32" t="s">
        <v>50</v>
      </c>
      <c r="I832" s="32">
        <v>24</v>
      </c>
      <c r="J832" s="32">
        <v>410.28</v>
      </c>
      <c r="K832" s="32">
        <v>2871.96</v>
      </c>
    </row>
    <row r="833" spans="1:11" ht="15.5" hidden="1" x14ac:dyDescent="0.35">
      <c r="A833" s="31">
        <v>45069</v>
      </c>
      <c r="B833" s="32" t="s">
        <v>8</v>
      </c>
      <c r="C833" s="32" t="s">
        <v>28</v>
      </c>
      <c r="D833" s="32" t="s">
        <v>30</v>
      </c>
      <c r="E833" s="32" t="s">
        <v>18</v>
      </c>
      <c r="F833" s="32">
        <v>4</v>
      </c>
      <c r="G833" s="32">
        <v>16</v>
      </c>
      <c r="H833" s="32" t="s">
        <v>51</v>
      </c>
      <c r="I833" s="32">
        <v>44</v>
      </c>
      <c r="J833" s="32">
        <v>704.88</v>
      </c>
      <c r="K833" s="32">
        <v>11278.08</v>
      </c>
    </row>
    <row r="834" spans="1:11" ht="15.5" hidden="1" x14ac:dyDescent="0.35">
      <c r="A834" s="31">
        <v>44932</v>
      </c>
      <c r="B834" s="32" t="s">
        <v>12</v>
      </c>
      <c r="C834" s="32" t="s">
        <v>16</v>
      </c>
      <c r="D834" s="32" t="s">
        <v>17</v>
      </c>
      <c r="E834" s="32" t="s">
        <v>18</v>
      </c>
      <c r="F834" s="32">
        <v>4</v>
      </c>
      <c r="G834" s="32">
        <v>2</v>
      </c>
      <c r="H834" s="32" t="s">
        <v>52</v>
      </c>
      <c r="I834" s="32">
        <v>48</v>
      </c>
      <c r="J834" s="32">
        <v>779.35</v>
      </c>
      <c r="K834" s="32">
        <v>1558.7</v>
      </c>
    </row>
    <row r="835" spans="1:11" ht="15.5" hidden="1" x14ac:dyDescent="0.35">
      <c r="A835" s="31">
        <v>45135</v>
      </c>
      <c r="B835" s="32" t="s">
        <v>20</v>
      </c>
      <c r="C835" s="32" t="s">
        <v>21</v>
      </c>
      <c r="D835" s="32" t="s">
        <v>35</v>
      </c>
      <c r="E835" s="32" t="s">
        <v>15</v>
      </c>
      <c r="F835" s="32">
        <v>1</v>
      </c>
      <c r="G835" s="32">
        <v>18</v>
      </c>
      <c r="H835" s="32" t="s">
        <v>53</v>
      </c>
      <c r="I835" s="32">
        <v>49</v>
      </c>
      <c r="J835" s="32">
        <v>276.35000000000002</v>
      </c>
      <c r="K835" s="32">
        <v>4974.3</v>
      </c>
    </row>
    <row r="836" spans="1:11" ht="15.5" hidden="1" x14ac:dyDescent="0.35">
      <c r="A836" s="31">
        <v>44980</v>
      </c>
      <c r="B836" s="32" t="s">
        <v>12</v>
      </c>
      <c r="C836" s="32" t="s">
        <v>13</v>
      </c>
      <c r="D836" s="32" t="s">
        <v>26</v>
      </c>
      <c r="E836" s="32" t="s">
        <v>18</v>
      </c>
      <c r="F836" s="32">
        <v>4</v>
      </c>
      <c r="G836" s="32">
        <v>12</v>
      </c>
      <c r="H836" s="32" t="s">
        <v>54</v>
      </c>
      <c r="I836" s="32">
        <v>53</v>
      </c>
      <c r="J836" s="32">
        <v>4964.87</v>
      </c>
      <c r="K836" s="32">
        <v>59578.44</v>
      </c>
    </row>
    <row r="837" spans="1:11" ht="15.5" hidden="1" x14ac:dyDescent="0.35">
      <c r="A837" s="31">
        <v>45092</v>
      </c>
      <c r="B837" s="32" t="s">
        <v>8</v>
      </c>
      <c r="C837" s="32" t="s">
        <v>28</v>
      </c>
      <c r="D837" s="32" t="s">
        <v>30</v>
      </c>
      <c r="E837" s="32" t="s">
        <v>18</v>
      </c>
      <c r="F837" s="32">
        <v>4</v>
      </c>
      <c r="G837" s="32">
        <v>10</v>
      </c>
      <c r="H837" s="32" t="s">
        <v>55</v>
      </c>
      <c r="I837" s="32">
        <v>30</v>
      </c>
      <c r="J837" s="32">
        <v>1979.32</v>
      </c>
      <c r="K837" s="32">
        <v>19793.2</v>
      </c>
    </row>
    <row r="838" spans="1:11" ht="15.5" hidden="1" x14ac:dyDescent="0.35">
      <c r="A838" s="31">
        <v>45174</v>
      </c>
      <c r="B838" s="32" t="s">
        <v>8</v>
      </c>
      <c r="C838" s="32" t="s">
        <v>28</v>
      </c>
      <c r="D838" s="32" t="s">
        <v>30</v>
      </c>
      <c r="E838" s="32" t="s">
        <v>24</v>
      </c>
      <c r="F838" s="32">
        <v>3</v>
      </c>
      <c r="G838" s="32">
        <v>7</v>
      </c>
      <c r="H838" s="32" t="s">
        <v>56</v>
      </c>
      <c r="I838" s="32">
        <v>19</v>
      </c>
      <c r="J838" s="32">
        <v>978.46</v>
      </c>
      <c r="K838" s="32">
        <v>6849.22</v>
      </c>
    </row>
    <row r="839" spans="1:11" ht="15.5" hidden="1" x14ac:dyDescent="0.35">
      <c r="A839" s="31">
        <v>45082</v>
      </c>
      <c r="B839" s="32" t="s">
        <v>20</v>
      </c>
      <c r="C839" s="32" t="s">
        <v>21</v>
      </c>
      <c r="D839" s="32" t="s">
        <v>34</v>
      </c>
      <c r="E839" s="32" t="s">
        <v>27</v>
      </c>
      <c r="F839" s="32">
        <v>2</v>
      </c>
      <c r="G839" s="32">
        <v>1</v>
      </c>
      <c r="H839" s="32" t="s">
        <v>57</v>
      </c>
      <c r="I839" s="32">
        <v>43</v>
      </c>
      <c r="J839" s="32">
        <v>1591.88</v>
      </c>
      <c r="K839" s="32">
        <v>1591.88</v>
      </c>
    </row>
    <row r="840" spans="1:11" ht="15.5" hidden="1" x14ac:dyDescent="0.35">
      <c r="A840" s="31">
        <v>44986</v>
      </c>
      <c r="B840" s="32" t="s">
        <v>12</v>
      </c>
      <c r="C840" s="32" t="s">
        <v>16</v>
      </c>
      <c r="D840" s="32" t="s">
        <v>25</v>
      </c>
      <c r="E840" s="32" t="s">
        <v>18</v>
      </c>
      <c r="F840" s="32">
        <v>4</v>
      </c>
      <c r="G840" s="32">
        <v>12</v>
      </c>
      <c r="H840" s="32" t="s">
        <v>58</v>
      </c>
      <c r="I840" s="32">
        <v>27</v>
      </c>
      <c r="J840" s="32">
        <v>4403.8500000000004</v>
      </c>
      <c r="K840" s="32">
        <v>52846.2</v>
      </c>
    </row>
    <row r="841" spans="1:11" ht="15.5" hidden="1" x14ac:dyDescent="0.35">
      <c r="A841" s="31">
        <v>44977</v>
      </c>
      <c r="B841" s="32" t="s">
        <v>12</v>
      </c>
      <c r="C841" s="32" t="s">
        <v>16</v>
      </c>
      <c r="D841" s="32" t="s">
        <v>19</v>
      </c>
      <c r="E841" s="32" t="s">
        <v>15</v>
      </c>
      <c r="F841" s="32">
        <v>1</v>
      </c>
      <c r="G841" s="32">
        <v>8</v>
      </c>
      <c r="H841" s="32" t="s">
        <v>59</v>
      </c>
      <c r="I841" s="32">
        <v>17</v>
      </c>
      <c r="J841" s="32">
        <v>1481.04</v>
      </c>
      <c r="K841" s="32">
        <v>11848.32</v>
      </c>
    </row>
    <row r="842" spans="1:11" ht="15.5" hidden="1" x14ac:dyDescent="0.35">
      <c r="A842" s="31">
        <v>45109</v>
      </c>
      <c r="B842" s="32" t="s">
        <v>12</v>
      </c>
      <c r="C842" s="32" t="s">
        <v>13</v>
      </c>
      <c r="D842" s="32" t="s">
        <v>26</v>
      </c>
      <c r="E842" s="32" t="s">
        <v>24</v>
      </c>
      <c r="F842" s="32">
        <v>3</v>
      </c>
      <c r="G842" s="32">
        <v>20</v>
      </c>
      <c r="H842" s="32" t="s">
        <v>48</v>
      </c>
      <c r="I842" s="32">
        <v>39</v>
      </c>
      <c r="J842" s="32">
        <v>722.13</v>
      </c>
      <c r="K842" s="32">
        <v>14442.6</v>
      </c>
    </row>
    <row r="843" spans="1:11" ht="15.5" hidden="1" x14ac:dyDescent="0.35">
      <c r="A843" s="31">
        <v>44963</v>
      </c>
      <c r="B843" s="32" t="s">
        <v>20</v>
      </c>
      <c r="C843" s="32" t="s">
        <v>21</v>
      </c>
      <c r="D843" s="32" t="s">
        <v>34</v>
      </c>
      <c r="E843" s="32" t="s">
        <v>15</v>
      </c>
      <c r="F843" s="32">
        <v>1</v>
      </c>
      <c r="G843" s="32">
        <v>6</v>
      </c>
      <c r="H843" s="32" t="s">
        <v>49</v>
      </c>
      <c r="I843" s="32">
        <v>26</v>
      </c>
      <c r="J843" s="32">
        <v>2772.51</v>
      </c>
      <c r="K843" s="32">
        <v>16635.060000000001</v>
      </c>
    </row>
    <row r="844" spans="1:11" ht="15.5" hidden="1" x14ac:dyDescent="0.35">
      <c r="A844" s="31">
        <v>45075</v>
      </c>
      <c r="B844" s="32" t="s">
        <v>12</v>
      </c>
      <c r="C844" s="32" t="s">
        <v>13</v>
      </c>
      <c r="D844" s="32" t="s">
        <v>33</v>
      </c>
      <c r="E844" s="32" t="s">
        <v>24</v>
      </c>
      <c r="F844" s="32">
        <v>3</v>
      </c>
      <c r="G844" s="32">
        <v>4</v>
      </c>
      <c r="H844" s="32" t="s">
        <v>50</v>
      </c>
      <c r="I844" s="32">
        <v>16</v>
      </c>
      <c r="J844" s="32">
        <v>1993.97</v>
      </c>
      <c r="K844" s="32">
        <v>7975.88</v>
      </c>
    </row>
    <row r="845" spans="1:11" ht="15.5" hidden="1" x14ac:dyDescent="0.35">
      <c r="A845" s="31">
        <v>44960</v>
      </c>
      <c r="B845" s="32" t="s">
        <v>8</v>
      </c>
      <c r="C845" s="32" t="s">
        <v>28</v>
      </c>
      <c r="D845" s="32" t="s">
        <v>29</v>
      </c>
      <c r="E845" s="32" t="s">
        <v>24</v>
      </c>
      <c r="F845" s="32">
        <v>3</v>
      </c>
      <c r="G845" s="32">
        <v>4</v>
      </c>
      <c r="H845" s="32" t="s">
        <v>51</v>
      </c>
      <c r="I845" s="32">
        <v>25</v>
      </c>
      <c r="J845" s="32">
        <v>2514.88</v>
      </c>
      <c r="K845" s="32">
        <v>10059.52</v>
      </c>
    </row>
    <row r="846" spans="1:11" ht="15.5" hidden="1" x14ac:dyDescent="0.35">
      <c r="A846" s="31">
        <v>45133</v>
      </c>
      <c r="B846" s="32" t="s">
        <v>8</v>
      </c>
      <c r="C846" s="32" t="s">
        <v>28</v>
      </c>
      <c r="D846" s="32" t="s">
        <v>32</v>
      </c>
      <c r="E846" s="32" t="s">
        <v>24</v>
      </c>
      <c r="F846" s="32">
        <v>3</v>
      </c>
      <c r="G846" s="32">
        <v>15</v>
      </c>
      <c r="H846" s="32" t="s">
        <v>52</v>
      </c>
      <c r="I846" s="32">
        <v>33</v>
      </c>
      <c r="J846" s="32">
        <v>2006.04</v>
      </c>
      <c r="K846" s="32">
        <v>30090.6</v>
      </c>
    </row>
    <row r="847" spans="1:11" ht="15.5" hidden="1" x14ac:dyDescent="0.35">
      <c r="A847" s="31">
        <v>45128</v>
      </c>
      <c r="B847" s="32" t="s">
        <v>8</v>
      </c>
      <c r="C847" s="32" t="s">
        <v>9</v>
      </c>
      <c r="D847" s="32" t="s">
        <v>23</v>
      </c>
      <c r="E847" s="32" t="s">
        <v>15</v>
      </c>
      <c r="F847" s="32">
        <v>1</v>
      </c>
      <c r="G847" s="32">
        <v>16</v>
      </c>
      <c r="H847" s="32" t="s">
        <v>53</v>
      </c>
      <c r="I847" s="32">
        <v>28</v>
      </c>
      <c r="J847" s="32">
        <v>4780.7700000000004</v>
      </c>
      <c r="K847" s="32">
        <v>76492.320000000007</v>
      </c>
    </row>
    <row r="848" spans="1:11" ht="15.5" hidden="1" x14ac:dyDescent="0.35">
      <c r="A848" s="31">
        <v>44980</v>
      </c>
      <c r="B848" s="32" t="s">
        <v>8</v>
      </c>
      <c r="C848" s="32" t="s">
        <v>28</v>
      </c>
      <c r="D848" s="32" t="s">
        <v>32</v>
      </c>
      <c r="E848" s="32" t="s">
        <v>18</v>
      </c>
      <c r="F848" s="32">
        <v>4</v>
      </c>
      <c r="G848" s="32">
        <v>19</v>
      </c>
      <c r="H848" s="32" t="s">
        <v>54</v>
      </c>
      <c r="I848" s="32">
        <v>20</v>
      </c>
      <c r="J848" s="32">
        <v>1067.6199999999999</v>
      </c>
      <c r="K848" s="32">
        <v>20284.78</v>
      </c>
    </row>
    <row r="849" spans="1:11" ht="15.5" hidden="1" x14ac:dyDescent="0.35">
      <c r="A849" s="31">
        <v>45168</v>
      </c>
      <c r="B849" s="32" t="s">
        <v>12</v>
      </c>
      <c r="C849" s="32" t="s">
        <v>16</v>
      </c>
      <c r="D849" s="32" t="s">
        <v>19</v>
      </c>
      <c r="E849" s="32" t="s">
        <v>24</v>
      </c>
      <c r="F849" s="32">
        <v>3</v>
      </c>
      <c r="G849" s="32">
        <v>3</v>
      </c>
      <c r="H849" s="32" t="s">
        <v>55</v>
      </c>
      <c r="I849" s="32">
        <v>50</v>
      </c>
      <c r="J849" s="32">
        <v>4363.3</v>
      </c>
      <c r="K849" s="32">
        <v>13089.9</v>
      </c>
    </row>
    <row r="850" spans="1:11" ht="15.5" x14ac:dyDescent="0.35">
      <c r="A850" s="31">
        <v>45242</v>
      </c>
      <c r="B850" s="32" t="s">
        <v>8</v>
      </c>
      <c r="C850" s="32" t="s">
        <v>9</v>
      </c>
      <c r="D850" s="32" t="s">
        <v>10</v>
      </c>
      <c r="E850" s="32" t="s">
        <v>11</v>
      </c>
      <c r="F850" s="32">
        <v>5</v>
      </c>
      <c r="G850" s="32">
        <v>14</v>
      </c>
      <c r="H850" s="32" t="s">
        <v>56</v>
      </c>
      <c r="I850" s="32">
        <v>24</v>
      </c>
      <c r="J850" s="32">
        <v>492.06</v>
      </c>
      <c r="K850" s="32">
        <v>6888.84</v>
      </c>
    </row>
    <row r="851" spans="1:11" ht="15.5" hidden="1" x14ac:dyDescent="0.35">
      <c r="A851" s="31">
        <v>45170</v>
      </c>
      <c r="B851" s="32" t="s">
        <v>8</v>
      </c>
      <c r="C851" s="32" t="s">
        <v>28</v>
      </c>
      <c r="D851" s="32" t="s">
        <v>30</v>
      </c>
      <c r="E851" s="32" t="s">
        <v>18</v>
      </c>
      <c r="F851" s="32">
        <v>4</v>
      </c>
      <c r="G851" s="32">
        <v>19</v>
      </c>
      <c r="H851" s="32" t="s">
        <v>57</v>
      </c>
      <c r="I851" s="32">
        <v>25</v>
      </c>
      <c r="J851" s="32">
        <v>3326.91</v>
      </c>
      <c r="K851" s="32">
        <v>63211.29</v>
      </c>
    </row>
    <row r="852" spans="1:11" ht="15.5" hidden="1" x14ac:dyDescent="0.35">
      <c r="A852" s="31">
        <v>45223</v>
      </c>
      <c r="B852" s="32" t="s">
        <v>12</v>
      </c>
      <c r="C852" s="32" t="s">
        <v>13</v>
      </c>
      <c r="D852" s="32" t="s">
        <v>33</v>
      </c>
      <c r="E852" s="32" t="s">
        <v>18</v>
      </c>
      <c r="F852" s="32">
        <v>4</v>
      </c>
      <c r="G852" s="32">
        <v>11</v>
      </c>
      <c r="H852" s="32" t="s">
        <v>58</v>
      </c>
      <c r="I852" s="32">
        <v>20</v>
      </c>
      <c r="J852" s="32">
        <v>841.99</v>
      </c>
      <c r="K852" s="32">
        <v>9261.89</v>
      </c>
    </row>
    <row r="853" spans="1:11" ht="15.5" hidden="1" x14ac:dyDescent="0.35">
      <c r="A853" s="31">
        <v>45242</v>
      </c>
      <c r="B853" s="32" t="s">
        <v>8</v>
      </c>
      <c r="C853" s="32" t="s">
        <v>9</v>
      </c>
      <c r="D853" s="32" t="s">
        <v>10</v>
      </c>
      <c r="E853" s="32" t="s">
        <v>27</v>
      </c>
      <c r="F853" s="32">
        <v>2</v>
      </c>
      <c r="G853" s="32">
        <v>7</v>
      </c>
      <c r="H853" s="32" t="s">
        <v>59</v>
      </c>
      <c r="I853" s="32">
        <v>37</v>
      </c>
      <c r="J853" s="32">
        <v>1458</v>
      </c>
      <c r="K853" s="32">
        <v>10206</v>
      </c>
    </row>
    <row r="854" spans="1:11" ht="15.5" hidden="1" x14ac:dyDescent="0.35">
      <c r="A854" s="31">
        <v>45167</v>
      </c>
      <c r="B854" s="32" t="s">
        <v>8</v>
      </c>
      <c r="C854" s="32" t="s">
        <v>9</v>
      </c>
      <c r="D854" s="32" t="s">
        <v>23</v>
      </c>
      <c r="E854" s="32" t="s">
        <v>18</v>
      </c>
      <c r="F854" s="32">
        <v>4</v>
      </c>
      <c r="G854" s="32">
        <v>5</v>
      </c>
      <c r="H854" s="32" t="s">
        <v>48</v>
      </c>
      <c r="I854" s="32">
        <v>37</v>
      </c>
      <c r="J854" s="32">
        <v>3342.48</v>
      </c>
      <c r="K854" s="32">
        <v>16712.400000000001</v>
      </c>
    </row>
    <row r="855" spans="1:11" ht="15.5" x14ac:dyDescent="0.35">
      <c r="A855" s="31">
        <v>44995</v>
      </c>
      <c r="B855" s="32" t="s">
        <v>12</v>
      </c>
      <c r="C855" s="32" t="s">
        <v>13</v>
      </c>
      <c r="D855" s="32" t="s">
        <v>33</v>
      </c>
      <c r="E855" s="32" t="s">
        <v>11</v>
      </c>
      <c r="F855" s="32">
        <v>5</v>
      </c>
      <c r="G855" s="32">
        <v>5</v>
      </c>
      <c r="H855" s="32" t="s">
        <v>49</v>
      </c>
      <c r="I855" s="32">
        <v>16</v>
      </c>
      <c r="J855" s="32">
        <v>4300.7</v>
      </c>
      <c r="K855" s="32">
        <v>21503.5</v>
      </c>
    </row>
    <row r="856" spans="1:11" ht="15.5" x14ac:dyDescent="0.35">
      <c r="A856" s="31">
        <v>45052</v>
      </c>
      <c r="B856" s="32" t="s">
        <v>20</v>
      </c>
      <c r="C856" s="32" t="s">
        <v>21</v>
      </c>
      <c r="D856" s="32" t="s">
        <v>22</v>
      </c>
      <c r="E856" s="32" t="s">
        <v>11</v>
      </c>
      <c r="F856" s="32">
        <v>5</v>
      </c>
      <c r="G856" s="32">
        <v>18</v>
      </c>
      <c r="H856" s="32" t="s">
        <v>50</v>
      </c>
      <c r="I856" s="32">
        <v>47</v>
      </c>
      <c r="J856" s="32">
        <v>4861.3100000000004</v>
      </c>
      <c r="K856" s="32">
        <v>87503.58</v>
      </c>
    </row>
    <row r="857" spans="1:11" ht="15.5" hidden="1" x14ac:dyDescent="0.35">
      <c r="A857" s="31">
        <v>45238</v>
      </c>
      <c r="B857" s="32" t="s">
        <v>20</v>
      </c>
      <c r="C857" s="32" t="s">
        <v>21</v>
      </c>
      <c r="D857" s="32" t="s">
        <v>22</v>
      </c>
      <c r="E857" s="32" t="s">
        <v>27</v>
      </c>
      <c r="F857" s="32">
        <v>2</v>
      </c>
      <c r="G857" s="32">
        <v>17</v>
      </c>
      <c r="H857" s="32" t="s">
        <v>51</v>
      </c>
      <c r="I857" s="32">
        <v>52</v>
      </c>
      <c r="J857" s="32">
        <v>2216.38</v>
      </c>
      <c r="K857" s="32">
        <v>37678.46</v>
      </c>
    </row>
    <row r="858" spans="1:11" ht="15.5" hidden="1" x14ac:dyDescent="0.35">
      <c r="A858" s="31">
        <v>45168</v>
      </c>
      <c r="B858" s="32" t="s">
        <v>20</v>
      </c>
      <c r="C858" s="32" t="s">
        <v>21</v>
      </c>
      <c r="D858" s="32" t="s">
        <v>22</v>
      </c>
      <c r="E858" s="32" t="s">
        <v>18</v>
      </c>
      <c r="F858" s="32">
        <v>4</v>
      </c>
      <c r="G858" s="32">
        <v>18</v>
      </c>
      <c r="H858" s="32" t="s">
        <v>52</v>
      </c>
      <c r="I858" s="32">
        <v>37</v>
      </c>
      <c r="J858" s="32">
        <v>448.42</v>
      </c>
      <c r="K858" s="32">
        <v>8071.56</v>
      </c>
    </row>
    <row r="859" spans="1:11" ht="15.5" hidden="1" x14ac:dyDescent="0.35">
      <c r="A859" s="31">
        <v>45258</v>
      </c>
      <c r="B859" s="32" t="s">
        <v>8</v>
      </c>
      <c r="C859" s="32" t="s">
        <v>9</v>
      </c>
      <c r="D859" s="32" t="s">
        <v>31</v>
      </c>
      <c r="E859" s="32" t="s">
        <v>18</v>
      </c>
      <c r="F859" s="32">
        <v>4</v>
      </c>
      <c r="G859" s="32">
        <v>20</v>
      </c>
      <c r="H859" s="32" t="s">
        <v>53</v>
      </c>
      <c r="I859" s="32">
        <v>25</v>
      </c>
      <c r="J859" s="32">
        <v>4226.93</v>
      </c>
      <c r="K859" s="32">
        <v>84538.6</v>
      </c>
    </row>
    <row r="860" spans="1:11" ht="15.5" hidden="1" x14ac:dyDescent="0.35">
      <c r="A860" s="31">
        <v>45131</v>
      </c>
      <c r="B860" s="32" t="s">
        <v>8</v>
      </c>
      <c r="C860" s="32" t="s">
        <v>9</v>
      </c>
      <c r="D860" s="32" t="s">
        <v>31</v>
      </c>
      <c r="E860" s="32" t="s">
        <v>18</v>
      </c>
      <c r="F860" s="32">
        <v>4</v>
      </c>
      <c r="G860" s="32">
        <v>16</v>
      </c>
      <c r="H860" s="32" t="s">
        <v>54</v>
      </c>
      <c r="I860" s="32">
        <v>28</v>
      </c>
      <c r="J860" s="32">
        <v>1575.89</v>
      </c>
      <c r="K860" s="32">
        <v>25214.240000000002</v>
      </c>
    </row>
    <row r="861" spans="1:11" ht="15.5" x14ac:dyDescent="0.35">
      <c r="A861" s="31">
        <v>45025</v>
      </c>
      <c r="B861" s="32" t="s">
        <v>12</v>
      </c>
      <c r="C861" s="32" t="s">
        <v>13</v>
      </c>
      <c r="D861" s="32" t="s">
        <v>33</v>
      </c>
      <c r="E861" s="32" t="s">
        <v>11</v>
      </c>
      <c r="F861" s="32">
        <v>5</v>
      </c>
      <c r="G861" s="32">
        <v>8</v>
      </c>
      <c r="H861" s="32" t="s">
        <v>55</v>
      </c>
      <c r="I861" s="32">
        <v>41</v>
      </c>
      <c r="J861" s="32">
        <v>1968.58</v>
      </c>
      <c r="K861" s="32">
        <v>15748.64</v>
      </c>
    </row>
    <row r="862" spans="1:11" ht="15.5" hidden="1" x14ac:dyDescent="0.35">
      <c r="A862" s="31">
        <v>45183</v>
      </c>
      <c r="B862" s="32" t="s">
        <v>8</v>
      </c>
      <c r="C862" s="32" t="s">
        <v>28</v>
      </c>
      <c r="D862" s="32" t="s">
        <v>29</v>
      </c>
      <c r="E862" s="32" t="s">
        <v>18</v>
      </c>
      <c r="F862" s="32">
        <v>4</v>
      </c>
      <c r="G862" s="32">
        <v>4</v>
      </c>
      <c r="H862" s="32" t="s">
        <v>56</v>
      </c>
      <c r="I862" s="32">
        <v>39</v>
      </c>
      <c r="J862" s="32">
        <v>3377.27</v>
      </c>
      <c r="K862" s="32">
        <v>13509.08</v>
      </c>
    </row>
    <row r="863" spans="1:11" ht="15.5" x14ac:dyDescent="0.35">
      <c r="A863" s="31">
        <v>44979</v>
      </c>
      <c r="B863" s="32" t="s">
        <v>12</v>
      </c>
      <c r="C863" s="32" t="s">
        <v>13</v>
      </c>
      <c r="D863" s="32" t="s">
        <v>33</v>
      </c>
      <c r="E863" s="32" t="s">
        <v>11</v>
      </c>
      <c r="F863" s="32">
        <v>5</v>
      </c>
      <c r="G863" s="32">
        <v>2</v>
      </c>
      <c r="H863" s="32" t="s">
        <v>57</v>
      </c>
      <c r="I863" s="32">
        <v>18</v>
      </c>
      <c r="J863" s="32">
        <v>296.52999999999997</v>
      </c>
      <c r="K863" s="32">
        <v>593.05999999999995</v>
      </c>
    </row>
    <row r="864" spans="1:11" ht="15.5" hidden="1" x14ac:dyDescent="0.35">
      <c r="A864" s="31">
        <v>45257</v>
      </c>
      <c r="B864" s="32" t="s">
        <v>8</v>
      </c>
      <c r="C864" s="32" t="s">
        <v>28</v>
      </c>
      <c r="D864" s="32" t="s">
        <v>30</v>
      </c>
      <c r="E864" s="32" t="s">
        <v>15</v>
      </c>
      <c r="F864" s="32">
        <v>1</v>
      </c>
      <c r="G864" s="32">
        <v>12</v>
      </c>
      <c r="H864" s="32" t="s">
        <v>58</v>
      </c>
      <c r="I864" s="32">
        <v>19</v>
      </c>
      <c r="J864" s="32">
        <v>749.68</v>
      </c>
      <c r="K864" s="32">
        <v>8996.16</v>
      </c>
    </row>
    <row r="865" spans="1:11" ht="15.5" hidden="1" x14ac:dyDescent="0.35">
      <c r="A865" s="31">
        <v>44988</v>
      </c>
      <c r="B865" s="32" t="s">
        <v>8</v>
      </c>
      <c r="C865" s="32" t="s">
        <v>9</v>
      </c>
      <c r="D865" s="32" t="s">
        <v>23</v>
      </c>
      <c r="E865" s="32" t="s">
        <v>27</v>
      </c>
      <c r="F865" s="32">
        <v>2</v>
      </c>
      <c r="G865" s="32">
        <v>11</v>
      </c>
      <c r="H865" s="32" t="s">
        <v>59</v>
      </c>
      <c r="I865" s="32">
        <v>19</v>
      </c>
      <c r="J865" s="32">
        <v>3584.06</v>
      </c>
      <c r="K865" s="32">
        <v>39424.660000000003</v>
      </c>
    </row>
    <row r="866" spans="1:11" ht="15.5" hidden="1" x14ac:dyDescent="0.35">
      <c r="A866" s="31">
        <v>45232</v>
      </c>
      <c r="B866" s="32" t="s">
        <v>8</v>
      </c>
      <c r="C866" s="32" t="s">
        <v>9</v>
      </c>
      <c r="D866" s="32" t="s">
        <v>23</v>
      </c>
      <c r="E866" s="32" t="s">
        <v>18</v>
      </c>
      <c r="F866" s="32">
        <v>4</v>
      </c>
      <c r="G866" s="32">
        <v>15</v>
      </c>
      <c r="H866" s="32" t="s">
        <v>48</v>
      </c>
      <c r="I866" s="32">
        <v>52</v>
      </c>
      <c r="J866" s="32">
        <v>2869.14</v>
      </c>
      <c r="K866" s="32">
        <v>43037.1</v>
      </c>
    </row>
    <row r="867" spans="1:11" ht="15.5" hidden="1" x14ac:dyDescent="0.35">
      <c r="A867" s="31">
        <v>44961</v>
      </c>
      <c r="B867" s="32" t="s">
        <v>8</v>
      </c>
      <c r="C867" s="32" t="s">
        <v>9</v>
      </c>
      <c r="D867" s="32" t="s">
        <v>10</v>
      </c>
      <c r="E867" s="32" t="s">
        <v>27</v>
      </c>
      <c r="F867" s="32">
        <v>2</v>
      </c>
      <c r="G867" s="32">
        <v>17</v>
      </c>
      <c r="H867" s="32" t="s">
        <v>49</v>
      </c>
      <c r="I867" s="32">
        <v>42</v>
      </c>
      <c r="J867" s="32">
        <v>4100.2700000000004</v>
      </c>
      <c r="K867" s="32">
        <v>69704.59</v>
      </c>
    </row>
    <row r="868" spans="1:11" ht="15.5" hidden="1" x14ac:dyDescent="0.35">
      <c r="A868" s="31">
        <v>45227</v>
      </c>
      <c r="B868" s="32" t="s">
        <v>12</v>
      </c>
      <c r="C868" s="32" t="s">
        <v>16</v>
      </c>
      <c r="D868" s="32" t="s">
        <v>17</v>
      </c>
      <c r="E868" s="32" t="s">
        <v>24</v>
      </c>
      <c r="F868" s="32">
        <v>3</v>
      </c>
      <c r="G868" s="32">
        <v>3</v>
      </c>
      <c r="H868" s="32" t="s">
        <v>50</v>
      </c>
      <c r="I868" s="32">
        <v>38</v>
      </c>
      <c r="J868" s="32">
        <v>2756.83</v>
      </c>
      <c r="K868" s="32">
        <v>8270.49</v>
      </c>
    </row>
    <row r="869" spans="1:11" ht="15.5" hidden="1" x14ac:dyDescent="0.35">
      <c r="A869" s="31">
        <v>45278</v>
      </c>
      <c r="B869" s="32" t="s">
        <v>12</v>
      </c>
      <c r="C869" s="32" t="s">
        <v>16</v>
      </c>
      <c r="D869" s="32" t="s">
        <v>19</v>
      </c>
      <c r="E869" s="32" t="s">
        <v>15</v>
      </c>
      <c r="F869" s="32">
        <v>1</v>
      </c>
      <c r="G869" s="32">
        <v>13</v>
      </c>
      <c r="H869" s="32" t="s">
        <v>51</v>
      </c>
      <c r="I869" s="32">
        <v>21</v>
      </c>
      <c r="J869" s="32">
        <v>2829.47</v>
      </c>
      <c r="K869" s="32">
        <v>36783.11</v>
      </c>
    </row>
    <row r="870" spans="1:11" ht="15.5" hidden="1" x14ac:dyDescent="0.35">
      <c r="A870" s="31">
        <v>45032</v>
      </c>
      <c r="B870" s="32" t="s">
        <v>8</v>
      </c>
      <c r="C870" s="32" t="s">
        <v>28</v>
      </c>
      <c r="D870" s="32" t="s">
        <v>30</v>
      </c>
      <c r="E870" s="32" t="s">
        <v>18</v>
      </c>
      <c r="F870" s="32">
        <v>4</v>
      </c>
      <c r="G870" s="32">
        <v>17</v>
      </c>
      <c r="H870" s="32" t="s">
        <v>52</v>
      </c>
      <c r="I870" s="32">
        <v>21</v>
      </c>
      <c r="J870" s="32">
        <v>1340.98</v>
      </c>
      <c r="K870" s="32">
        <v>22796.66</v>
      </c>
    </row>
    <row r="871" spans="1:11" ht="15.5" x14ac:dyDescent="0.35">
      <c r="A871" s="31">
        <v>44985</v>
      </c>
      <c r="B871" s="32" t="s">
        <v>12</v>
      </c>
      <c r="C871" s="32" t="s">
        <v>13</v>
      </c>
      <c r="D871" s="32" t="s">
        <v>14</v>
      </c>
      <c r="E871" s="32" t="s">
        <v>11</v>
      </c>
      <c r="F871" s="32">
        <v>5</v>
      </c>
      <c r="G871" s="32">
        <v>10</v>
      </c>
      <c r="H871" s="32" t="s">
        <v>53</v>
      </c>
      <c r="I871" s="32">
        <v>45</v>
      </c>
      <c r="J871" s="32">
        <v>429.69</v>
      </c>
      <c r="K871" s="32">
        <v>4296.8999999999996</v>
      </c>
    </row>
    <row r="872" spans="1:11" ht="15.5" x14ac:dyDescent="0.35">
      <c r="A872" s="31">
        <v>45105</v>
      </c>
      <c r="B872" s="32" t="s">
        <v>8</v>
      </c>
      <c r="C872" s="32" t="s">
        <v>9</v>
      </c>
      <c r="D872" s="32" t="s">
        <v>23</v>
      </c>
      <c r="E872" s="32" t="s">
        <v>11</v>
      </c>
      <c r="F872" s="32">
        <v>5</v>
      </c>
      <c r="G872" s="32">
        <v>17</v>
      </c>
      <c r="H872" s="32" t="s">
        <v>54</v>
      </c>
      <c r="I872" s="32">
        <v>31</v>
      </c>
      <c r="J872" s="32">
        <v>4982.8100000000004</v>
      </c>
      <c r="K872" s="32">
        <v>84707.77</v>
      </c>
    </row>
    <row r="873" spans="1:11" ht="15.5" hidden="1" x14ac:dyDescent="0.35">
      <c r="A873" s="31">
        <v>45049</v>
      </c>
      <c r="B873" s="32" t="s">
        <v>8</v>
      </c>
      <c r="C873" s="32" t="s">
        <v>9</v>
      </c>
      <c r="D873" s="32" t="s">
        <v>10</v>
      </c>
      <c r="E873" s="32" t="s">
        <v>15</v>
      </c>
      <c r="F873" s="32">
        <v>1</v>
      </c>
      <c r="G873" s="32">
        <v>19</v>
      </c>
      <c r="H873" s="32" t="s">
        <v>55</v>
      </c>
      <c r="I873" s="32">
        <v>39</v>
      </c>
      <c r="J873" s="32">
        <v>4137.4399999999996</v>
      </c>
      <c r="K873" s="32">
        <v>78611.360000000001</v>
      </c>
    </row>
    <row r="874" spans="1:11" ht="15.5" hidden="1" x14ac:dyDescent="0.35">
      <c r="A874" s="31">
        <v>45205</v>
      </c>
      <c r="B874" s="32" t="s">
        <v>20</v>
      </c>
      <c r="C874" s="32" t="s">
        <v>21</v>
      </c>
      <c r="D874" s="32" t="s">
        <v>22</v>
      </c>
      <c r="E874" s="32" t="s">
        <v>27</v>
      </c>
      <c r="F874" s="32">
        <v>2</v>
      </c>
      <c r="G874" s="32">
        <v>4</v>
      </c>
      <c r="H874" s="32" t="s">
        <v>56</v>
      </c>
      <c r="I874" s="32">
        <v>22</v>
      </c>
      <c r="J874" s="32">
        <v>1147.06</v>
      </c>
      <c r="K874" s="32">
        <v>4588.24</v>
      </c>
    </row>
    <row r="875" spans="1:11" ht="15.5" hidden="1" x14ac:dyDescent="0.35">
      <c r="A875" s="31">
        <v>44975</v>
      </c>
      <c r="B875" s="32" t="s">
        <v>12</v>
      </c>
      <c r="C875" s="32" t="s">
        <v>13</v>
      </c>
      <c r="D875" s="32" t="s">
        <v>14</v>
      </c>
      <c r="E875" s="32" t="s">
        <v>18</v>
      </c>
      <c r="F875" s="32">
        <v>4</v>
      </c>
      <c r="G875" s="32">
        <v>15</v>
      </c>
      <c r="H875" s="32" t="s">
        <v>57</v>
      </c>
      <c r="I875" s="32">
        <v>53</v>
      </c>
      <c r="J875" s="32">
        <v>1972.75</v>
      </c>
      <c r="K875" s="32">
        <v>29591.25</v>
      </c>
    </row>
    <row r="876" spans="1:11" ht="15.5" hidden="1" x14ac:dyDescent="0.35">
      <c r="A876" s="31">
        <v>45121</v>
      </c>
      <c r="B876" s="32" t="s">
        <v>20</v>
      </c>
      <c r="C876" s="32" t="s">
        <v>21</v>
      </c>
      <c r="D876" s="32" t="s">
        <v>22</v>
      </c>
      <c r="E876" s="32" t="s">
        <v>27</v>
      </c>
      <c r="F876" s="32">
        <v>2</v>
      </c>
      <c r="G876" s="32">
        <v>16</v>
      </c>
      <c r="H876" s="32" t="s">
        <v>58</v>
      </c>
      <c r="I876" s="32">
        <v>54</v>
      </c>
      <c r="J876" s="32">
        <v>1192.3800000000001</v>
      </c>
      <c r="K876" s="32">
        <v>19078.080000000002</v>
      </c>
    </row>
    <row r="877" spans="1:11" ht="15.5" x14ac:dyDescent="0.35">
      <c r="A877" s="31">
        <v>45113</v>
      </c>
      <c r="B877" s="32" t="s">
        <v>8</v>
      </c>
      <c r="C877" s="32" t="s">
        <v>9</v>
      </c>
      <c r="D877" s="32" t="s">
        <v>23</v>
      </c>
      <c r="E877" s="32" t="s">
        <v>11</v>
      </c>
      <c r="F877" s="32">
        <v>5</v>
      </c>
      <c r="G877" s="32">
        <v>5</v>
      </c>
      <c r="H877" s="32" t="s">
        <v>59</v>
      </c>
      <c r="I877" s="32">
        <v>52</v>
      </c>
      <c r="J877" s="32">
        <v>2545.9299999999998</v>
      </c>
      <c r="K877" s="32">
        <v>12729.65</v>
      </c>
    </row>
    <row r="878" spans="1:11" ht="15.5" hidden="1" x14ac:dyDescent="0.35">
      <c r="A878" s="31">
        <v>45074</v>
      </c>
      <c r="B878" s="32" t="s">
        <v>12</v>
      </c>
      <c r="C878" s="32" t="s">
        <v>16</v>
      </c>
      <c r="D878" s="32" t="s">
        <v>25</v>
      </c>
      <c r="E878" s="32" t="s">
        <v>27</v>
      </c>
      <c r="F878" s="32">
        <v>2</v>
      </c>
      <c r="G878" s="32">
        <v>20</v>
      </c>
      <c r="H878" s="32" t="s">
        <v>48</v>
      </c>
      <c r="I878" s="32">
        <v>47</v>
      </c>
      <c r="J878" s="32">
        <v>2860.96</v>
      </c>
      <c r="K878" s="32">
        <v>57219.199999999997</v>
      </c>
    </row>
    <row r="879" spans="1:11" ht="15.5" hidden="1" x14ac:dyDescent="0.35">
      <c r="A879" s="31">
        <v>45039</v>
      </c>
      <c r="B879" s="32" t="s">
        <v>8</v>
      </c>
      <c r="C879" s="32" t="s">
        <v>9</v>
      </c>
      <c r="D879" s="32" t="s">
        <v>10</v>
      </c>
      <c r="E879" s="32" t="s">
        <v>27</v>
      </c>
      <c r="F879" s="32">
        <v>2</v>
      </c>
      <c r="G879" s="32">
        <v>14</v>
      </c>
      <c r="H879" s="32" t="s">
        <v>49</v>
      </c>
      <c r="I879" s="32">
        <v>31</v>
      </c>
      <c r="J879" s="32">
        <v>2775.33</v>
      </c>
      <c r="K879" s="32">
        <v>38854.620000000003</v>
      </c>
    </row>
    <row r="880" spans="1:11" ht="15.5" x14ac:dyDescent="0.35">
      <c r="A880" s="31">
        <v>45039</v>
      </c>
      <c r="B880" s="32" t="s">
        <v>12</v>
      </c>
      <c r="C880" s="32" t="s">
        <v>13</v>
      </c>
      <c r="D880" s="32" t="s">
        <v>33</v>
      </c>
      <c r="E880" s="32" t="s">
        <v>11</v>
      </c>
      <c r="F880" s="32">
        <v>5</v>
      </c>
      <c r="G880" s="32">
        <v>15</v>
      </c>
      <c r="H880" s="32" t="s">
        <v>50</v>
      </c>
      <c r="I880" s="32">
        <v>43</v>
      </c>
      <c r="J880" s="32">
        <v>3285.68</v>
      </c>
      <c r="K880" s="32">
        <v>49285.2</v>
      </c>
    </row>
    <row r="881" spans="1:11" ht="15.5" hidden="1" x14ac:dyDescent="0.35">
      <c r="A881" s="31">
        <v>45225</v>
      </c>
      <c r="B881" s="32" t="s">
        <v>12</v>
      </c>
      <c r="C881" s="32" t="s">
        <v>13</v>
      </c>
      <c r="D881" s="32" t="s">
        <v>33</v>
      </c>
      <c r="E881" s="32" t="s">
        <v>24</v>
      </c>
      <c r="F881" s="32">
        <v>3</v>
      </c>
      <c r="G881" s="32">
        <v>18</v>
      </c>
      <c r="H881" s="32" t="s">
        <v>51</v>
      </c>
      <c r="I881" s="32">
        <v>50</v>
      </c>
      <c r="J881" s="32">
        <v>1132.04</v>
      </c>
      <c r="K881" s="32">
        <v>20376.72</v>
      </c>
    </row>
    <row r="882" spans="1:11" ht="15.5" hidden="1" x14ac:dyDescent="0.35">
      <c r="A882" s="31">
        <v>45083</v>
      </c>
      <c r="B882" s="32" t="s">
        <v>8</v>
      </c>
      <c r="C882" s="32" t="s">
        <v>9</v>
      </c>
      <c r="D882" s="32" t="s">
        <v>10</v>
      </c>
      <c r="E882" s="32" t="s">
        <v>24</v>
      </c>
      <c r="F882" s="32">
        <v>3</v>
      </c>
      <c r="G882" s="32">
        <v>6</v>
      </c>
      <c r="H882" s="32" t="s">
        <v>52</v>
      </c>
      <c r="I882" s="32">
        <v>55</v>
      </c>
      <c r="J882" s="32">
        <v>1205.3599999999999</v>
      </c>
      <c r="K882" s="32">
        <v>7232.16</v>
      </c>
    </row>
    <row r="883" spans="1:11" ht="15.5" hidden="1" x14ac:dyDescent="0.35">
      <c r="A883" s="31">
        <v>45144</v>
      </c>
      <c r="B883" s="32" t="s">
        <v>8</v>
      </c>
      <c r="C883" s="32" t="s">
        <v>28</v>
      </c>
      <c r="D883" s="32" t="s">
        <v>30</v>
      </c>
      <c r="E883" s="32" t="s">
        <v>18</v>
      </c>
      <c r="F883" s="32">
        <v>4</v>
      </c>
      <c r="G883" s="32">
        <v>20</v>
      </c>
      <c r="H883" s="32" t="s">
        <v>53</v>
      </c>
      <c r="I883" s="32">
        <v>23</v>
      </c>
      <c r="J883" s="32">
        <v>4944.01</v>
      </c>
      <c r="K883" s="32">
        <v>98880.2</v>
      </c>
    </row>
    <row r="884" spans="1:11" ht="15.5" x14ac:dyDescent="0.35">
      <c r="A884" s="31">
        <v>45181</v>
      </c>
      <c r="B884" s="32" t="s">
        <v>12</v>
      </c>
      <c r="C884" s="32" t="s">
        <v>13</v>
      </c>
      <c r="D884" s="32" t="s">
        <v>26</v>
      </c>
      <c r="E884" s="32" t="s">
        <v>11</v>
      </c>
      <c r="F884" s="32">
        <v>5</v>
      </c>
      <c r="G884" s="32">
        <v>11</v>
      </c>
      <c r="H884" s="32" t="s">
        <v>54</v>
      </c>
      <c r="I884" s="32">
        <v>37</v>
      </c>
      <c r="J884" s="32">
        <v>268.13</v>
      </c>
      <c r="K884" s="32">
        <v>2949.43</v>
      </c>
    </row>
    <row r="885" spans="1:11" ht="15.5" x14ac:dyDescent="0.35">
      <c r="A885" s="31">
        <v>45112</v>
      </c>
      <c r="B885" s="32" t="s">
        <v>20</v>
      </c>
      <c r="C885" s="32" t="s">
        <v>21</v>
      </c>
      <c r="D885" s="32" t="s">
        <v>22</v>
      </c>
      <c r="E885" s="32" t="s">
        <v>11</v>
      </c>
      <c r="F885" s="32">
        <v>5</v>
      </c>
      <c r="G885" s="32">
        <v>14</v>
      </c>
      <c r="H885" s="32" t="s">
        <v>55</v>
      </c>
      <c r="I885" s="32">
        <v>23</v>
      </c>
      <c r="J885" s="32">
        <v>564.63</v>
      </c>
      <c r="K885" s="32">
        <v>7904.82</v>
      </c>
    </row>
    <row r="886" spans="1:11" ht="15.5" hidden="1" x14ac:dyDescent="0.35">
      <c r="A886" s="31">
        <v>45090</v>
      </c>
      <c r="B886" s="32" t="s">
        <v>20</v>
      </c>
      <c r="C886" s="32" t="s">
        <v>21</v>
      </c>
      <c r="D886" s="32" t="s">
        <v>34</v>
      </c>
      <c r="E886" s="32" t="s">
        <v>18</v>
      </c>
      <c r="F886" s="32">
        <v>4</v>
      </c>
      <c r="G886" s="32">
        <v>5</v>
      </c>
      <c r="H886" s="32" t="s">
        <v>56</v>
      </c>
      <c r="I886" s="32">
        <v>35</v>
      </c>
      <c r="J886" s="32">
        <v>1412.08</v>
      </c>
      <c r="K886" s="32">
        <v>7060.4</v>
      </c>
    </row>
    <row r="887" spans="1:11" ht="15.5" hidden="1" x14ac:dyDescent="0.35">
      <c r="A887" s="31">
        <v>45074</v>
      </c>
      <c r="B887" s="32" t="s">
        <v>12</v>
      </c>
      <c r="C887" s="32" t="s">
        <v>13</v>
      </c>
      <c r="D887" s="32" t="s">
        <v>26</v>
      </c>
      <c r="E887" s="32" t="s">
        <v>24</v>
      </c>
      <c r="F887" s="32">
        <v>3</v>
      </c>
      <c r="G887" s="32">
        <v>2</v>
      </c>
      <c r="H887" s="32" t="s">
        <v>57</v>
      </c>
      <c r="I887" s="32">
        <v>45</v>
      </c>
      <c r="J887" s="32">
        <v>4019.4</v>
      </c>
      <c r="K887" s="32">
        <v>8038.8</v>
      </c>
    </row>
    <row r="888" spans="1:11" ht="15.5" hidden="1" x14ac:dyDescent="0.35">
      <c r="A888" s="31">
        <v>45104</v>
      </c>
      <c r="B888" s="32" t="s">
        <v>8</v>
      </c>
      <c r="C888" s="32" t="s">
        <v>9</v>
      </c>
      <c r="D888" s="32" t="s">
        <v>31</v>
      </c>
      <c r="E888" s="32" t="s">
        <v>15</v>
      </c>
      <c r="F888" s="32">
        <v>1</v>
      </c>
      <c r="G888" s="32">
        <v>12</v>
      </c>
      <c r="H888" s="32" t="s">
        <v>58</v>
      </c>
      <c r="I888" s="32">
        <v>52</v>
      </c>
      <c r="J888" s="32">
        <v>3076.03</v>
      </c>
      <c r="K888" s="32">
        <v>36912.36</v>
      </c>
    </row>
    <row r="889" spans="1:11" ht="15.5" hidden="1" x14ac:dyDescent="0.35">
      <c r="A889" s="31">
        <v>45008</v>
      </c>
      <c r="B889" s="32" t="s">
        <v>20</v>
      </c>
      <c r="C889" s="32" t="s">
        <v>21</v>
      </c>
      <c r="D889" s="32" t="s">
        <v>22</v>
      </c>
      <c r="E889" s="32" t="s">
        <v>15</v>
      </c>
      <c r="F889" s="32">
        <v>1</v>
      </c>
      <c r="G889" s="32">
        <v>2</v>
      </c>
      <c r="H889" s="32" t="s">
        <v>59</v>
      </c>
      <c r="I889" s="32">
        <v>20</v>
      </c>
      <c r="J889" s="32">
        <v>233.75</v>
      </c>
      <c r="K889" s="32">
        <v>467.5</v>
      </c>
    </row>
    <row r="890" spans="1:11" ht="15.5" x14ac:dyDescent="0.35">
      <c r="A890" s="31">
        <v>45027</v>
      </c>
      <c r="B890" s="32" t="s">
        <v>8</v>
      </c>
      <c r="C890" s="32" t="s">
        <v>9</v>
      </c>
      <c r="D890" s="32" t="s">
        <v>10</v>
      </c>
      <c r="E890" s="32" t="s">
        <v>11</v>
      </c>
      <c r="F890" s="32">
        <v>5</v>
      </c>
      <c r="G890" s="32">
        <v>9</v>
      </c>
      <c r="H890" s="32" t="s">
        <v>48</v>
      </c>
      <c r="I890" s="32">
        <v>53</v>
      </c>
      <c r="J890" s="32">
        <v>2376.12</v>
      </c>
      <c r="K890" s="32">
        <v>21385.08</v>
      </c>
    </row>
    <row r="891" spans="1:11" ht="15.5" hidden="1" x14ac:dyDescent="0.35">
      <c r="A891" s="31">
        <v>45107</v>
      </c>
      <c r="B891" s="32" t="s">
        <v>12</v>
      </c>
      <c r="C891" s="32" t="s">
        <v>13</v>
      </c>
      <c r="D891" s="32" t="s">
        <v>33</v>
      </c>
      <c r="E891" s="32" t="s">
        <v>24</v>
      </c>
      <c r="F891" s="32">
        <v>3</v>
      </c>
      <c r="G891" s="32">
        <v>20</v>
      </c>
      <c r="H891" s="32" t="s">
        <v>49</v>
      </c>
      <c r="I891" s="32">
        <v>50</v>
      </c>
      <c r="J891" s="32">
        <v>603.49</v>
      </c>
      <c r="K891" s="32">
        <v>12069.8</v>
      </c>
    </row>
    <row r="892" spans="1:11" ht="15.5" hidden="1" x14ac:dyDescent="0.35">
      <c r="A892" s="31">
        <v>45069</v>
      </c>
      <c r="B892" s="32" t="s">
        <v>12</v>
      </c>
      <c r="C892" s="32" t="s">
        <v>13</v>
      </c>
      <c r="D892" s="32" t="s">
        <v>14</v>
      </c>
      <c r="E892" s="32" t="s">
        <v>18</v>
      </c>
      <c r="F892" s="32">
        <v>4</v>
      </c>
      <c r="G892" s="32">
        <v>15</v>
      </c>
      <c r="H892" s="32" t="s">
        <v>50</v>
      </c>
      <c r="I892" s="32">
        <v>27</v>
      </c>
      <c r="J892" s="32">
        <v>4269.32</v>
      </c>
      <c r="K892" s="32">
        <v>64039.8</v>
      </c>
    </row>
    <row r="893" spans="1:11" ht="15.5" hidden="1" x14ac:dyDescent="0.35">
      <c r="A893" s="31">
        <v>45192</v>
      </c>
      <c r="B893" s="32" t="s">
        <v>8</v>
      </c>
      <c r="C893" s="32" t="s">
        <v>9</v>
      </c>
      <c r="D893" s="32" t="s">
        <v>10</v>
      </c>
      <c r="E893" s="32" t="s">
        <v>27</v>
      </c>
      <c r="F893" s="32">
        <v>2</v>
      </c>
      <c r="G893" s="32">
        <v>6</v>
      </c>
      <c r="H893" s="32" t="s">
        <v>51</v>
      </c>
      <c r="I893" s="32">
        <v>44</v>
      </c>
      <c r="J893" s="32">
        <v>686.38</v>
      </c>
      <c r="K893" s="32">
        <v>4118.28</v>
      </c>
    </row>
    <row r="894" spans="1:11" ht="15.5" hidden="1" x14ac:dyDescent="0.35">
      <c r="A894" s="31">
        <v>45108</v>
      </c>
      <c r="B894" s="32" t="s">
        <v>20</v>
      </c>
      <c r="C894" s="32" t="s">
        <v>21</v>
      </c>
      <c r="D894" s="32" t="s">
        <v>35</v>
      </c>
      <c r="E894" s="32" t="s">
        <v>24</v>
      </c>
      <c r="F894" s="32">
        <v>3</v>
      </c>
      <c r="G894" s="32">
        <v>14</v>
      </c>
      <c r="H894" s="32" t="s">
        <v>52</v>
      </c>
      <c r="I894" s="32">
        <v>50</v>
      </c>
      <c r="J894" s="32">
        <v>2429.23</v>
      </c>
      <c r="K894" s="32">
        <v>34009.22</v>
      </c>
    </row>
    <row r="895" spans="1:11" ht="15.5" hidden="1" x14ac:dyDescent="0.35">
      <c r="A895" s="31">
        <v>44960</v>
      </c>
      <c r="B895" s="32" t="s">
        <v>8</v>
      </c>
      <c r="C895" s="32" t="s">
        <v>28</v>
      </c>
      <c r="D895" s="32" t="s">
        <v>32</v>
      </c>
      <c r="E895" s="32" t="s">
        <v>18</v>
      </c>
      <c r="F895" s="32">
        <v>4</v>
      </c>
      <c r="G895" s="32">
        <v>5</v>
      </c>
      <c r="H895" s="32" t="s">
        <v>53</v>
      </c>
      <c r="I895" s="32">
        <v>29</v>
      </c>
      <c r="J895" s="32">
        <v>3770.46</v>
      </c>
      <c r="K895" s="32">
        <v>18852.3</v>
      </c>
    </row>
    <row r="896" spans="1:11" ht="15.5" x14ac:dyDescent="0.35">
      <c r="A896" s="31">
        <v>45278</v>
      </c>
      <c r="B896" s="32" t="s">
        <v>8</v>
      </c>
      <c r="C896" s="32" t="s">
        <v>28</v>
      </c>
      <c r="D896" s="32" t="s">
        <v>32</v>
      </c>
      <c r="E896" s="32" t="s">
        <v>11</v>
      </c>
      <c r="F896" s="32">
        <v>5</v>
      </c>
      <c r="G896" s="32">
        <v>5</v>
      </c>
      <c r="H896" s="32" t="s">
        <v>54</v>
      </c>
      <c r="I896" s="32">
        <v>53</v>
      </c>
      <c r="J896" s="32">
        <v>2162.08</v>
      </c>
      <c r="K896" s="32">
        <v>10810.4</v>
      </c>
    </row>
    <row r="897" spans="1:11" ht="15.5" hidden="1" x14ac:dyDescent="0.35">
      <c r="A897" s="31">
        <v>45128</v>
      </c>
      <c r="B897" s="32" t="s">
        <v>20</v>
      </c>
      <c r="C897" s="32" t="s">
        <v>21</v>
      </c>
      <c r="D897" s="32" t="s">
        <v>35</v>
      </c>
      <c r="E897" s="32" t="s">
        <v>18</v>
      </c>
      <c r="F897" s="32">
        <v>4</v>
      </c>
      <c r="G897" s="32">
        <v>6</v>
      </c>
      <c r="H897" s="32" t="s">
        <v>55</v>
      </c>
      <c r="I897" s="32">
        <v>29</v>
      </c>
      <c r="J897" s="32">
        <v>1366.98</v>
      </c>
      <c r="K897" s="32">
        <v>8201.8799999999992</v>
      </c>
    </row>
    <row r="898" spans="1:11" ht="15.5" hidden="1" x14ac:dyDescent="0.35">
      <c r="A898" s="31">
        <v>45186</v>
      </c>
      <c r="B898" s="32" t="s">
        <v>20</v>
      </c>
      <c r="C898" s="32" t="s">
        <v>21</v>
      </c>
      <c r="D898" s="32" t="s">
        <v>22</v>
      </c>
      <c r="E898" s="32" t="s">
        <v>15</v>
      </c>
      <c r="F898" s="32">
        <v>1</v>
      </c>
      <c r="G898" s="32">
        <v>7</v>
      </c>
      <c r="H898" s="32" t="s">
        <v>56</v>
      </c>
      <c r="I898" s="32">
        <v>28</v>
      </c>
      <c r="J898" s="32">
        <v>3063.53</v>
      </c>
      <c r="K898" s="32">
        <v>21444.71</v>
      </c>
    </row>
    <row r="899" spans="1:11" ht="15.5" hidden="1" x14ac:dyDescent="0.35">
      <c r="A899" s="31">
        <v>45010</v>
      </c>
      <c r="B899" s="32" t="s">
        <v>12</v>
      </c>
      <c r="C899" s="32" t="s">
        <v>16</v>
      </c>
      <c r="D899" s="32" t="s">
        <v>25</v>
      </c>
      <c r="E899" s="32" t="s">
        <v>18</v>
      </c>
      <c r="F899" s="32">
        <v>4</v>
      </c>
      <c r="G899" s="32">
        <v>17</v>
      </c>
      <c r="H899" s="32" t="s">
        <v>57</v>
      </c>
      <c r="I899" s="32">
        <v>47</v>
      </c>
      <c r="J899" s="32">
        <v>578.88</v>
      </c>
      <c r="K899" s="32">
        <v>9840.9599999999991</v>
      </c>
    </row>
    <row r="900" spans="1:11" ht="15.5" hidden="1" x14ac:dyDescent="0.35">
      <c r="A900" s="31">
        <v>45107</v>
      </c>
      <c r="B900" s="32" t="s">
        <v>20</v>
      </c>
      <c r="C900" s="32" t="s">
        <v>21</v>
      </c>
      <c r="D900" s="32" t="s">
        <v>35</v>
      </c>
      <c r="E900" s="32" t="s">
        <v>27</v>
      </c>
      <c r="F900" s="32">
        <v>2</v>
      </c>
      <c r="G900" s="32">
        <v>12</v>
      </c>
      <c r="H900" s="32" t="s">
        <v>58</v>
      </c>
      <c r="I900" s="32">
        <v>36</v>
      </c>
      <c r="J900" s="32">
        <v>3981.34</v>
      </c>
      <c r="K900" s="32">
        <v>47776.08</v>
      </c>
    </row>
    <row r="901" spans="1:11" ht="15.5" hidden="1" x14ac:dyDescent="0.35">
      <c r="A901" s="31">
        <v>44979</v>
      </c>
      <c r="B901" s="32" t="s">
        <v>12</v>
      </c>
      <c r="C901" s="32" t="s">
        <v>13</v>
      </c>
      <c r="D901" s="32" t="s">
        <v>14</v>
      </c>
      <c r="E901" s="32" t="s">
        <v>15</v>
      </c>
      <c r="F901" s="32">
        <v>1</v>
      </c>
      <c r="G901" s="32">
        <v>20</v>
      </c>
      <c r="H901" s="32" t="s">
        <v>59</v>
      </c>
      <c r="I901" s="32">
        <v>47</v>
      </c>
      <c r="J901" s="32">
        <v>2750.28</v>
      </c>
      <c r="K901" s="32">
        <v>55005.599999999999</v>
      </c>
    </row>
    <row r="902" spans="1:11" ht="15.5" hidden="1" x14ac:dyDescent="0.35">
      <c r="A902" s="31">
        <v>45176</v>
      </c>
      <c r="B902" s="32" t="s">
        <v>8</v>
      </c>
      <c r="C902" s="32" t="s">
        <v>9</v>
      </c>
      <c r="D902" s="32" t="s">
        <v>10</v>
      </c>
      <c r="E902" s="32" t="s">
        <v>15</v>
      </c>
      <c r="F902" s="32">
        <v>1</v>
      </c>
      <c r="G902" s="32">
        <v>13</v>
      </c>
      <c r="H902" s="32" t="s">
        <v>48</v>
      </c>
      <c r="I902" s="32">
        <v>38</v>
      </c>
      <c r="J902" s="32">
        <v>2809.29</v>
      </c>
      <c r="K902" s="32">
        <v>36520.769999999997</v>
      </c>
    </row>
    <row r="903" spans="1:11" ht="15.5" x14ac:dyDescent="0.35">
      <c r="A903" s="31">
        <v>44947</v>
      </c>
      <c r="B903" s="32" t="s">
        <v>12</v>
      </c>
      <c r="C903" s="32" t="s">
        <v>16</v>
      </c>
      <c r="D903" s="32" t="s">
        <v>19</v>
      </c>
      <c r="E903" s="32" t="s">
        <v>11</v>
      </c>
      <c r="F903" s="32">
        <v>5</v>
      </c>
      <c r="G903" s="32">
        <v>14</v>
      </c>
      <c r="H903" s="32" t="s">
        <v>49</v>
      </c>
      <c r="I903" s="32">
        <v>40</v>
      </c>
      <c r="J903" s="32">
        <v>1487.12</v>
      </c>
      <c r="K903" s="32">
        <v>20819.68</v>
      </c>
    </row>
    <row r="904" spans="1:11" ht="15.5" hidden="1" x14ac:dyDescent="0.35">
      <c r="A904" s="31">
        <v>45285</v>
      </c>
      <c r="B904" s="32" t="s">
        <v>12</v>
      </c>
      <c r="C904" s="32" t="s">
        <v>16</v>
      </c>
      <c r="D904" s="32" t="s">
        <v>17</v>
      </c>
      <c r="E904" s="32" t="s">
        <v>27</v>
      </c>
      <c r="F904" s="32">
        <v>2</v>
      </c>
      <c r="G904" s="32">
        <v>18</v>
      </c>
      <c r="H904" s="32" t="s">
        <v>50</v>
      </c>
      <c r="I904" s="32">
        <v>23</v>
      </c>
      <c r="J904" s="32">
        <v>1279.4100000000001</v>
      </c>
      <c r="K904" s="32">
        <v>23029.38</v>
      </c>
    </row>
    <row r="905" spans="1:11" ht="15.5" hidden="1" x14ac:dyDescent="0.35">
      <c r="A905" s="31">
        <v>44951</v>
      </c>
      <c r="B905" s="32" t="s">
        <v>8</v>
      </c>
      <c r="C905" s="32" t="s">
        <v>9</v>
      </c>
      <c r="D905" s="32" t="s">
        <v>31</v>
      </c>
      <c r="E905" s="32" t="s">
        <v>24</v>
      </c>
      <c r="F905" s="32">
        <v>3</v>
      </c>
      <c r="G905" s="32">
        <v>2</v>
      </c>
      <c r="H905" s="32" t="s">
        <v>51</v>
      </c>
      <c r="I905" s="32">
        <v>51</v>
      </c>
      <c r="J905" s="32">
        <v>4439.5</v>
      </c>
      <c r="K905" s="32">
        <v>8879</v>
      </c>
    </row>
    <row r="906" spans="1:11" ht="15.5" x14ac:dyDescent="0.35">
      <c r="A906" s="31">
        <v>45023</v>
      </c>
      <c r="B906" s="32" t="s">
        <v>8</v>
      </c>
      <c r="C906" s="32" t="s">
        <v>9</v>
      </c>
      <c r="D906" s="32" t="s">
        <v>10</v>
      </c>
      <c r="E906" s="32" t="s">
        <v>11</v>
      </c>
      <c r="F906" s="32">
        <v>5</v>
      </c>
      <c r="G906" s="32">
        <v>13</v>
      </c>
      <c r="H906" s="32" t="s">
        <v>52</v>
      </c>
      <c r="I906" s="32">
        <v>53</v>
      </c>
      <c r="J906" s="32">
        <v>4850.17</v>
      </c>
      <c r="K906" s="32">
        <v>63052.21</v>
      </c>
    </row>
    <row r="907" spans="1:11" ht="15.5" hidden="1" x14ac:dyDescent="0.35">
      <c r="A907" s="31">
        <v>45070</v>
      </c>
      <c r="B907" s="32" t="s">
        <v>8</v>
      </c>
      <c r="C907" s="32" t="s">
        <v>9</v>
      </c>
      <c r="D907" s="32" t="s">
        <v>23</v>
      </c>
      <c r="E907" s="32" t="s">
        <v>24</v>
      </c>
      <c r="F907" s="32">
        <v>3</v>
      </c>
      <c r="G907" s="32">
        <v>4</v>
      </c>
      <c r="H907" s="32" t="s">
        <v>53</v>
      </c>
      <c r="I907" s="32">
        <v>43</v>
      </c>
      <c r="J907" s="32">
        <v>2792.23</v>
      </c>
      <c r="K907" s="32">
        <v>11168.92</v>
      </c>
    </row>
    <row r="908" spans="1:11" ht="15.5" x14ac:dyDescent="0.35">
      <c r="A908" s="31">
        <v>45140</v>
      </c>
      <c r="B908" s="32" t="s">
        <v>8</v>
      </c>
      <c r="C908" s="32" t="s">
        <v>28</v>
      </c>
      <c r="D908" s="32" t="s">
        <v>29</v>
      </c>
      <c r="E908" s="32" t="s">
        <v>11</v>
      </c>
      <c r="F908" s="32">
        <v>5</v>
      </c>
      <c r="G908" s="32">
        <v>17</v>
      </c>
      <c r="H908" s="32" t="s">
        <v>54</v>
      </c>
      <c r="I908" s="32">
        <v>42</v>
      </c>
      <c r="J908" s="32">
        <v>4953.04</v>
      </c>
      <c r="K908" s="32">
        <v>84201.68</v>
      </c>
    </row>
    <row r="909" spans="1:11" ht="15.5" x14ac:dyDescent="0.35">
      <c r="A909" s="31">
        <v>45198</v>
      </c>
      <c r="B909" s="32" t="s">
        <v>12</v>
      </c>
      <c r="C909" s="32" t="s">
        <v>13</v>
      </c>
      <c r="D909" s="32" t="s">
        <v>14</v>
      </c>
      <c r="E909" s="32" t="s">
        <v>11</v>
      </c>
      <c r="F909" s="32">
        <v>5</v>
      </c>
      <c r="G909" s="32">
        <v>14</v>
      </c>
      <c r="H909" s="32" t="s">
        <v>55</v>
      </c>
      <c r="I909" s="32">
        <v>18</v>
      </c>
      <c r="J909" s="32">
        <v>4192.8599999999997</v>
      </c>
      <c r="K909" s="32">
        <v>58700.04</v>
      </c>
    </row>
    <row r="910" spans="1:11" ht="15.5" hidden="1" x14ac:dyDescent="0.35">
      <c r="A910" s="31">
        <v>45134</v>
      </c>
      <c r="B910" s="32" t="s">
        <v>12</v>
      </c>
      <c r="C910" s="32" t="s">
        <v>13</v>
      </c>
      <c r="D910" s="32" t="s">
        <v>33</v>
      </c>
      <c r="E910" s="32" t="s">
        <v>24</v>
      </c>
      <c r="F910" s="32">
        <v>3</v>
      </c>
      <c r="G910" s="32">
        <v>19</v>
      </c>
      <c r="H910" s="32" t="s">
        <v>56</v>
      </c>
      <c r="I910" s="32">
        <v>23</v>
      </c>
      <c r="J910" s="32">
        <v>2848.96</v>
      </c>
      <c r="K910" s="32">
        <v>54130.239999999998</v>
      </c>
    </row>
    <row r="911" spans="1:11" ht="15.5" x14ac:dyDescent="0.35">
      <c r="A911" s="31">
        <v>45199</v>
      </c>
      <c r="B911" s="32" t="s">
        <v>8</v>
      </c>
      <c r="C911" s="32" t="s">
        <v>9</v>
      </c>
      <c r="D911" s="32" t="s">
        <v>10</v>
      </c>
      <c r="E911" s="32" t="s">
        <v>11</v>
      </c>
      <c r="F911" s="32">
        <v>5</v>
      </c>
      <c r="G911" s="32">
        <v>12</v>
      </c>
      <c r="H911" s="32" t="s">
        <v>57</v>
      </c>
      <c r="I911" s="32">
        <v>33</v>
      </c>
      <c r="J911" s="32">
        <v>1352.89</v>
      </c>
      <c r="K911" s="32">
        <v>16234.68</v>
      </c>
    </row>
    <row r="912" spans="1:11" ht="15.5" hidden="1" x14ac:dyDescent="0.35">
      <c r="A912" s="31">
        <v>45101</v>
      </c>
      <c r="B912" s="32" t="s">
        <v>12</v>
      </c>
      <c r="C912" s="32" t="s">
        <v>16</v>
      </c>
      <c r="D912" s="32" t="s">
        <v>25</v>
      </c>
      <c r="E912" s="32" t="s">
        <v>24</v>
      </c>
      <c r="F912" s="32">
        <v>3</v>
      </c>
      <c r="G912" s="32">
        <v>14</v>
      </c>
      <c r="H912" s="32" t="s">
        <v>58</v>
      </c>
      <c r="I912" s="32">
        <v>41</v>
      </c>
      <c r="J912" s="32">
        <v>264.60000000000002</v>
      </c>
      <c r="K912" s="32">
        <v>3704.4</v>
      </c>
    </row>
    <row r="913" spans="1:11" ht="15.5" x14ac:dyDescent="0.35">
      <c r="A913" s="31">
        <v>45115</v>
      </c>
      <c r="B913" s="32" t="s">
        <v>12</v>
      </c>
      <c r="C913" s="32" t="s">
        <v>13</v>
      </c>
      <c r="D913" s="32" t="s">
        <v>14</v>
      </c>
      <c r="E913" s="32" t="s">
        <v>11</v>
      </c>
      <c r="F913" s="32">
        <v>5</v>
      </c>
      <c r="G913" s="32">
        <v>17</v>
      </c>
      <c r="H913" s="32" t="s">
        <v>59</v>
      </c>
      <c r="I913" s="32">
        <v>43</v>
      </c>
      <c r="J913" s="32">
        <v>2316.09</v>
      </c>
      <c r="K913" s="32">
        <v>39373.53</v>
      </c>
    </row>
    <row r="914" spans="1:11" ht="15.5" x14ac:dyDescent="0.35">
      <c r="A914" s="31">
        <v>45123</v>
      </c>
      <c r="B914" s="32" t="s">
        <v>8</v>
      </c>
      <c r="C914" s="32" t="s">
        <v>9</v>
      </c>
      <c r="D914" s="32" t="s">
        <v>31</v>
      </c>
      <c r="E914" s="32" t="s">
        <v>11</v>
      </c>
      <c r="F914" s="32">
        <v>5</v>
      </c>
      <c r="G914" s="32">
        <v>8</v>
      </c>
      <c r="H914" s="32" t="s">
        <v>48</v>
      </c>
      <c r="I914" s="32">
        <v>44</v>
      </c>
      <c r="J914" s="32">
        <v>1371.28</v>
      </c>
      <c r="K914" s="32">
        <v>10970.24</v>
      </c>
    </row>
    <row r="915" spans="1:11" ht="15.5" hidden="1" x14ac:dyDescent="0.35">
      <c r="A915" s="31">
        <v>44958</v>
      </c>
      <c r="B915" s="32" t="s">
        <v>20</v>
      </c>
      <c r="C915" s="32" t="s">
        <v>21</v>
      </c>
      <c r="D915" s="32" t="s">
        <v>22</v>
      </c>
      <c r="E915" s="32" t="s">
        <v>15</v>
      </c>
      <c r="F915" s="32">
        <v>1</v>
      </c>
      <c r="G915" s="32">
        <v>10</v>
      </c>
      <c r="H915" s="32" t="s">
        <v>49</v>
      </c>
      <c r="I915" s="32">
        <v>53</v>
      </c>
      <c r="J915" s="32">
        <v>4298.32</v>
      </c>
      <c r="K915" s="32">
        <v>42983.199999999997</v>
      </c>
    </row>
    <row r="916" spans="1:11" ht="15.5" hidden="1" x14ac:dyDescent="0.35">
      <c r="A916" s="31">
        <v>44989</v>
      </c>
      <c r="B916" s="32" t="s">
        <v>12</v>
      </c>
      <c r="C916" s="32" t="s">
        <v>13</v>
      </c>
      <c r="D916" s="32" t="s">
        <v>33</v>
      </c>
      <c r="E916" s="32" t="s">
        <v>15</v>
      </c>
      <c r="F916" s="32">
        <v>1</v>
      </c>
      <c r="G916" s="32">
        <v>19</v>
      </c>
      <c r="H916" s="32" t="s">
        <v>50</v>
      </c>
      <c r="I916" s="32">
        <v>44</v>
      </c>
      <c r="J916" s="32">
        <v>636.20000000000005</v>
      </c>
      <c r="K916" s="32">
        <v>12087.8</v>
      </c>
    </row>
    <row r="917" spans="1:11" ht="15.5" hidden="1" x14ac:dyDescent="0.35">
      <c r="A917" s="31">
        <v>45092</v>
      </c>
      <c r="B917" s="32" t="s">
        <v>20</v>
      </c>
      <c r="C917" s="32" t="s">
        <v>21</v>
      </c>
      <c r="D917" s="32" t="s">
        <v>22</v>
      </c>
      <c r="E917" s="32" t="s">
        <v>24</v>
      </c>
      <c r="F917" s="32">
        <v>3</v>
      </c>
      <c r="G917" s="32">
        <v>15</v>
      </c>
      <c r="H917" s="32" t="s">
        <v>51</v>
      </c>
      <c r="I917" s="32">
        <v>16</v>
      </c>
      <c r="J917" s="32">
        <v>3218.59</v>
      </c>
      <c r="K917" s="32">
        <v>48278.85</v>
      </c>
    </row>
    <row r="918" spans="1:11" ht="15.5" hidden="1" x14ac:dyDescent="0.35">
      <c r="A918" s="31">
        <v>45180</v>
      </c>
      <c r="B918" s="32" t="s">
        <v>8</v>
      </c>
      <c r="C918" s="32" t="s">
        <v>9</v>
      </c>
      <c r="D918" s="32" t="s">
        <v>31</v>
      </c>
      <c r="E918" s="32" t="s">
        <v>18</v>
      </c>
      <c r="F918" s="32">
        <v>4</v>
      </c>
      <c r="G918" s="32">
        <v>9</v>
      </c>
      <c r="H918" s="32" t="s">
        <v>52</v>
      </c>
      <c r="I918" s="32">
        <v>24</v>
      </c>
      <c r="J918" s="32">
        <v>2660.79</v>
      </c>
      <c r="K918" s="32">
        <v>23947.11</v>
      </c>
    </row>
    <row r="919" spans="1:11" ht="15.5" hidden="1" x14ac:dyDescent="0.35">
      <c r="A919" s="31">
        <v>45168</v>
      </c>
      <c r="B919" s="32" t="s">
        <v>20</v>
      </c>
      <c r="C919" s="32" t="s">
        <v>21</v>
      </c>
      <c r="D919" s="32" t="s">
        <v>22</v>
      </c>
      <c r="E919" s="32" t="s">
        <v>18</v>
      </c>
      <c r="F919" s="32">
        <v>4</v>
      </c>
      <c r="G919" s="32">
        <v>5</v>
      </c>
      <c r="H919" s="32" t="s">
        <v>53</v>
      </c>
      <c r="I919" s="32">
        <v>30</v>
      </c>
      <c r="J919" s="32">
        <v>334.29</v>
      </c>
      <c r="K919" s="32">
        <v>1671.45</v>
      </c>
    </row>
    <row r="920" spans="1:11" ht="15.5" hidden="1" x14ac:dyDescent="0.35">
      <c r="A920" s="31">
        <v>45032</v>
      </c>
      <c r="B920" s="32" t="s">
        <v>12</v>
      </c>
      <c r="C920" s="32" t="s">
        <v>16</v>
      </c>
      <c r="D920" s="32" t="s">
        <v>19</v>
      </c>
      <c r="E920" s="32" t="s">
        <v>24</v>
      </c>
      <c r="F920" s="32">
        <v>3</v>
      </c>
      <c r="G920" s="32">
        <v>10</v>
      </c>
      <c r="H920" s="32" t="s">
        <v>54</v>
      </c>
      <c r="I920" s="32">
        <v>29</v>
      </c>
      <c r="J920" s="32">
        <v>2861.62</v>
      </c>
      <c r="K920" s="32">
        <v>28616.2</v>
      </c>
    </row>
    <row r="921" spans="1:11" ht="15.5" hidden="1" x14ac:dyDescent="0.35">
      <c r="A921" s="31">
        <v>45038</v>
      </c>
      <c r="B921" s="32" t="s">
        <v>12</v>
      </c>
      <c r="C921" s="32" t="s">
        <v>16</v>
      </c>
      <c r="D921" s="32" t="s">
        <v>25</v>
      </c>
      <c r="E921" s="32" t="s">
        <v>27</v>
      </c>
      <c r="F921" s="32">
        <v>2</v>
      </c>
      <c r="G921" s="32">
        <v>4</v>
      </c>
      <c r="H921" s="32" t="s">
        <v>55</v>
      </c>
      <c r="I921" s="32">
        <v>24</v>
      </c>
      <c r="J921" s="32">
        <v>4782.74</v>
      </c>
      <c r="K921" s="32">
        <v>19130.96</v>
      </c>
    </row>
    <row r="922" spans="1:11" ht="15.5" hidden="1" x14ac:dyDescent="0.35">
      <c r="A922" s="31">
        <v>45097</v>
      </c>
      <c r="B922" s="32" t="s">
        <v>12</v>
      </c>
      <c r="C922" s="32" t="s">
        <v>16</v>
      </c>
      <c r="D922" s="32" t="s">
        <v>25</v>
      </c>
      <c r="E922" s="32" t="s">
        <v>15</v>
      </c>
      <c r="F922" s="32">
        <v>1</v>
      </c>
      <c r="G922" s="32">
        <v>19</v>
      </c>
      <c r="H922" s="32" t="s">
        <v>56</v>
      </c>
      <c r="I922" s="32">
        <v>20</v>
      </c>
      <c r="J922" s="32">
        <v>2304.92</v>
      </c>
      <c r="K922" s="32">
        <v>43793.48</v>
      </c>
    </row>
    <row r="923" spans="1:11" ht="15.5" hidden="1" x14ac:dyDescent="0.35">
      <c r="A923" s="31">
        <v>45114</v>
      </c>
      <c r="B923" s="32" t="s">
        <v>12</v>
      </c>
      <c r="C923" s="32" t="s">
        <v>16</v>
      </c>
      <c r="D923" s="32" t="s">
        <v>25</v>
      </c>
      <c r="E923" s="32" t="s">
        <v>27</v>
      </c>
      <c r="F923" s="32">
        <v>2</v>
      </c>
      <c r="G923" s="32">
        <v>1</v>
      </c>
      <c r="H923" s="32" t="s">
        <v>57</v>
      </c>
      <c r="I923" s="32">
        <v>34</v>
      </c>
      <c r="J923" s="32">
        <v>1355.14</v>
      </c>
      <c r="K923" s="32">
        <v>1355.14</v>
      </c>
    </row>
    <row r="924" spans="1:11" ht="15.5" hidden="1" x14ac:dyDescent="0.35">
      <c r="A924" s="31">
        <v>44977</v>
      </c>
      <c r="B924" s="32" t="s">
        <v>8</v>
      </c>
      <c r="C924" s="32" t="s">
        <v>9</v>
      </c>
      <c r="D924" s="32" t="s">
        <v>31</v>
      </c>
      <c r="E924" s="32" t="s">
        <v>15</v>
      </c>
      <c r="F924" s="32">
        <v>1</v>
      </c>
      <c r="G924" s="32">
        <v>19</v>
      </c>
      <c r="H924" s="32" t="s">
        <v>58</v>
      </c>
      <c r="I924" s="32">
        <v>50</v>
      </c>
      <c r="J924" s="32">
        <v>3683.04</v>
      </c>
      <c r="K924" s="32">
        <v>69977.759999999995</v>
      </c>
    </row>
    <row r="925" spans="1:11" ht="15.5" hidden="1" x14ac:dyDescent="0.35">
      <c r="A925" s="31">
        <v>45133</v>
      </c>
      <c r="B925" s="32" t="s">
        <v>12</v>
      </c>
      <c r="C925" s="32" t="s">
        <v>16</v>
      </c>
      <c r="D925" s="32" t="s">
        <v>25</v>
      </c>
      <c r="E925" s="32" t="s">
        <v>15</v>
      </c>
      <c r="F925" s="32">
        <v>1</v>
      </c>
      <c r="G925" s="32">
        <v>5</v>
      </c>
      <c r="H925" s="32" t="s">
        <v>59</v>
      </c>
      <c r="I925" s="32">
        <v>38</v>
      </c>
      <c r="J925" s="32">
        <v>4281.1499999999996</v>
      </c>
      <c r="K925" s="32">
        <v>21405.75</v>
      </c>
    </row>
    <row r="926" spans="1:11" ht="15.5" x14ac:dyDescent="0.35">
      <c r="A926" s="31">
        <v>45156</v>
      </c>
      <c r="B926" s="32" t="s">
        <v>12</v>
      </c>
      <c r="C926" s="32" t="s">
        <v>16</v>
      </c>
      <c r="D926" s="32" t="s">
        <v>19</v>
      </c>
      <c r="E926" s="32" t="s">
        <v>11</v>
      </c>
      <c r="F926" s="32">
        <v>5</v>
      </c>
      <c r="G926" s="32">
        <v>3</v>
      </c>
      <c r="H926" s="32" t="s">
        <v>48</v>
      </c>
      <c r="I926" s="32">
        <v>48</v>
      </c>
      <c r="J926" s="32">
        <v>1577.9</v>
      </c>
      <c r="K926" s="32">
        <v>4733.7</v>
      </c>
    </row>
    <row r="927" spans="1:11" ht="15.5" hidden="1" x14ac:dyDescent="0.35">
      <c r="A927" s="31">
        <v>44996</v>
      </c>
      <c r="B927" s="32" t="s">
        <v>12</v>
      </c>
      <c r="C927" s="32" t="s">
        <v>16</v>
      </c>
      <c r="D927" s="32" t="s">
        <v>19</v>
      </c>
      <c r="E927" s="32" t="s">
        <v>15</v>
      </c>
      <c r="F927" s="32">
        <v>1</v>
      </c>
      <c r="G927" s="32">
        <v>19</v>
      </c>
      <c r="H927" s="32" t="s">
        <v>49</v>
      </c>
      <c r="I927" s="32">
        <v>53</v>
      </c>
      <c r="J927" s="32">
        <v>2814.94</v>
      </c>
      <c r="K927" s="32">
        <v>53483.86</v>
      </c>
    </row>
    <row r="928" spans="1:11" ht="15.5" hidden="1" x14ac:dyDescent="0.35">
      <c r="A928" s="31">
        <v>45280</v>
      </c>
      <c r="B928" s="32" t="s">
        <v>12</v>
      </c>
      <c r="C928" s="32" t="s">
        <v>13</v>
      </c>
      <c r="D928" s="32" t="s">
        <v>14</v>
      </c>
      <c r="E928" s="32" t="s">
        <v>18</v>
      </c>
      <c r="F928" s="32">
        <v>4</v>
      </c>
      <c r="G928" s="32">
        <v>13</v>
      </c>
      <c r="H928" s="32" t="s">
        <v>50</v>
      </c>
      <c r="I928" s="32">
        <v>30</v>
      </c>
      <c r="J928" s="32">
        <v>512.69000000000005</v>
      </c>
      <c r="K928" s="32">
        <v>6664.97</v>
      </c>
    </row>
    <row r="929" spans="1:11" ht="15.5" hidden="1" x14ac:dyDescent="0.35">
      <c r="A929" s="31">
        <v>45024</v>
      </c>
      <c r="B929" s="32" t="s">
        <v>20</v>
      </c>
      <c r="C929" s="32" t="s">
        <v>21</v>
      </c>
      <c r="D929" s="32" t="s">
        <v>35</v>
      </c>
      <c r="E929" s="32" t="s">
        <v>18</v>
      </c>
      <c r="F929" s="32">
        <v>4</v>
      </c>
      <c r="G929" s="32">
        <v>6</v>
      </c>
      <c r="H929" s="32" t="s">
        <v>51</v>
      </c>
      <c r="I929" s="32">
        <v>48</v>
      </c>
      <c r="J929" s="32">
        <v>4939.09</v>
      </c>
      <c r="K929" s="32">
        <v>29634.54</v>
      </c>
    </row>
    <row r="930" spans="1:11" ht="15.5" hidden="1" x14ac:dyDescent="0.35">
      <c r="A930" s="31">
        <v>45003</v>
      </c>
      <c r="B930" s="32" t="s">
        <v>20</v>
      </c>
      <c r="C930" s="32" t="s">
        <v>21</v>
      </c>
      <c r="D930" s="32" t="s">
        <v>22</v>
      </c>
      <c r="E930" s="32" t="s">
        <v>15</v>
      </c>
      <c r="F930" s="32">
        <v>1</v>
      </c>
      <c r="G930" s="32">
        <v>6</v>
      </c>
      <c r="H930" s="32" t="s">
        <v>52</v>
      </c>
      <c r="I930" s="32">
        <v>26</v>
      </c>
      <c r="J930" s="32">
        <v>4984.92</v>
      </c>
      <c r="K930" s="32">
        <v>29909.52</v>
      </c>
    </row>
    <row r="931" spans="1:11" ht="15.5" x14ac:dyDescent="0.35">
      <c r="A931" s="31">
        <v>45198</v>
      </c>
      <c r="B931" s="32" t="s">
        <v>8</v>
      </c>
      <c r="C931" s="32" t="s">
        <v>9</v>
      </c>
      <c r="D931" s="32" t="s">
        <v>31</v>
      </c>
      <c r="E931" s="32" t="s">
        <v>11</v>
      </c>
      <c r="F931" s="32">
        <v>5</v>
      </c>
      <c r="G931" s="32">
        <v>9</v>
      </c>
      <c r="H931" s="32" t="s">
        <v>53</v>
      </c>
      <c r="I931" s="32">
        <v>17</v>
      </c>
      <c r="J931" s="32">
        <v>1001.37</v>
      </c>
      <c r="K931" s="32">
        <v>9012.33</v>
      </c>
    </row>
    <row r="932" spans="1:11" ht="15.5" hidden="1" x14ac:dyDescent="0.35">
      <c r="A932" s="31">
        <v>45016</v>
      </c>
      <c r="B932" s="32" t="s">
        <v>12</v>
      </c>
      <c r="C932" s="32" t="s">
        <v>16</v>
      </c>
      <c r="D932" s="32" t="s">
        <v>17</v>
      </c>
      <c r="E932" s="32" t="s">
        <v>15</v>
      </c>
      <c r="F932" s="32">
        <v>1</v>
      </c>
      <c r="G932" s="32">
        <v>17</v>
      </c>
      <c r="H932" s="32" t="s">
        <v>54</v>
      </c>
      <c r="I932" s="32">
        <v>44</v>
      </c>
      <c r="J932" s="32">
        <v>4515.21</v>
      </c>
      <c r="K932" s="32">
        <v>76758.570000000007</v>
      </c>
    </row>
    <row r="933" spans="1:11" ht="15.5" hidden="1" x14ac:dyDescent="0.35">
      <c r="A933" s="31">
        <v>45243</v>
      </c>
      <c r="B933" s="32" t="s">
        <v>20</v>
      </c>
      <c r="C933" s="32" t="s">
        <v>21</v>
      </c>
      <c r="D933" s="32" t="s">
        <v>34</v>
      </c>
      <c r="E933" s="32" t="s">
        <v>24</v>
      </c>
      <c r="F933" s="32">
        <v>3</v>
      </c>
      <c r="G933" s="32">
        <v>19</v>
      </c>
      <c r="H933" s="32" t="s">
        <v>55</v>
      </c>
      <c r="I933" s="32">
        <v>27</v>
      </c>
      <c r="J933" s="32">
        <v>2532.7800000000002</v>
      </c>
      <c r="K933" s="32">
        <v>48122.82</v>
      </c>
    </row>
    <row r="934" spans="1:11" ht="15.5" hidden="1" x14ac:dyDescent="0.35">
      <c r="A934" s="31">
        <v>45260</v>
      </c>
      <c r="B934" s="32" t="s">
        <v>12</v>
      </c>
      <c r="C934" s="32" t="s">
        <v>16</v>
      </c>
      <c r="D934" s="32" t="s">
        <v>19</v>
      </c>
      <c r="E934" s="32" t="s">
        <v>24</v>
      </c>
      <c r="F934" s="32">
        <v>3</v>
      </c>
      <c r="G934" s="32">
        <v>17</v>
      </c>
      <c r="H934" s="32" t="s">
        <v>56</v>
      </c>
      <c r="I934" s="32">
        <v>16</v>
      </c>
      <c r="J934" s="32">
        <v>4890.5</v>
      </c>
      <c r="K934" s="32">
        <v>83138.5</v>
      </c>
    </row>
    <row r="935" spans="1:11" ht="15.5" hidden="1" x14ac:dyDescent="0.35">
      <c r="A935" s="31">
        <v>45161</v>
      </c>
      <c r="B935" s="32" t="s">
        <v>12</v>
      </c>
      <c r="C935" s="32" t="s">
        <v>16</v>
      </c>
      <c r="D935" s="32" t="s">
        <v>19</v>
      </c>
      <c r="E935" s="32" t="s">
        <v>18</v>
      </c>
      <c r="F935" s="32">
        <v>4</v>
      </c>
      <c r="G935" s="32">
        <v>3</v>
      </c>
      <c r="H935" s="32" t="s">
        <v>57</v>
      </c>
      <c r="I935" s="32">
        <v>35</v>
      </c>
      <c r="J935" s="32">
        <v>1076.57</v>
      </c>
      <c r="K935" s="32">
        <v>3229.71</v>
      </c>
    </row>
    <row r="936" spans="1:11" ht="15.5" hidden="1" x14ac:dyDescent="0.35">
      <c r="A936" s="31">
        <v>45204</v>
      </c>
      <c r="B936" s="32" t="s">
        <v>12</v>
      </c>
      <c r="C936" s="32" t="s">
        <v>13</v>
      </c>
      <c r="D936" s="32" t="s">
        <v>33</v>
      </c>
      <c r="E936" s="32" t="s">
        <v>18</v>
      </c>
      <c r="F936" s="32">
        <v>4</v>
      </c>
      <c r="G936" s="32">
        <v>10</v>
      </c>
      <c r="H936" s="32" t="s">
        <v>58</v>
      </c>
      <c r="I936" s="32">
        <v>28</v>
      </c>
      <c r="J936" s="32">
        <v>3540.6</v>
      </c>
      <c r="K936" s="32">
        <v>35406</v>
      </c>
    </row>
    <row r="937" spans="1:11" ht="15.5" hidden="1" x14ac:dyDescent="0.35">
      <c r="A937" s="31">
        <v>44999</v>
      </c>
      <c r="B937" s="32" t="s">
        <v>8</v>
      </c>
      <c r="C937" s="32" t="s">
        <v>28</v>
      </c>
      <c r="D937" s="32" t="s">
        <v>32</v>
      </c>
      <c r="E937" s="32" t="s">
        <v>27</v>
      </c>
      <c r="F937" s="32">
        <v>2</v>
      </c>
      <c r="G937" s="32">
        <v>13</v>
      </c>
      <c r="H937" s="32" t="s">
        <v>59</v>
      </c>
      <c r="I937" s="32">
        <v>54</v>
      </c>
      <c r="J937" s="32">
        <v>2163.4</v>
      </c>
      <c r="K937" s="32">
        <v>28124.2</v>
      </c>
    </row>
    <row r="938" spans="1:11" ht="15.5" hidden="1" x14ac:dyDescent="0.35">
      <c r="A938" s="31">
        <v>45122</v>
      </c>
      <c r="B938" s="32" t="s">
        <v>8</v>
      </c>
      <c r="C938" s="32" t="s">
        <v>9</v>
      </c>
      <c r="D938" s="32" t="s">
        <v>10</v>
      </c>
      <c r="E938" s="32" t="s">
        <v>15</v>
      </c>
      <c r="F938" s="32">
        <v>1</v>
      </c>
      <c r="G938" s="32">
        <v>20</v>
      </c>
      <c r="H938" s="32" t="s">
        <v>48</v>
      </c>
      <c r="I938" s="32">
        <v>38</v>
      </c>
      <c r="J938" s="32">
        <v>1977</v>
      </c>
      <c r="K938" s="32">
        <v>39540</v>
      </c>
    </row>
    <row r="939" spans="1:11" ht="15.5" hidden="1" x14ac:dyDescent="0.35">
      <c r="A939" s="31">
        <v>45032</v>
      </c>
      <c r="B939" s="32" t="s">
        <v>20</v>
      </c>
      <c r="C939" s="32" t="s">
        <v>21</v>
      </c>
      <c r="D939" s="32" t="s">
        <v>35</v>
      </c>
      <c r="E939" s="32" t="s">
        <v>15</v>
      </c>
      <c r="F939" s="32">
        <v>1</v>
      </c>
      <c r="G939" s="32">
        <v>2</v>
      </c>
      <c r="H939" s="32" t="s">
        <v>49</v>
      </c>
      <c r="I939" s="32">
        <v>31</v>
      </c>
      <c r="J939" s="32">
        <v>528.62</v>
      </c>
      <c r="K939" s="32">
        <v>1057.24</v>
      </c>
    </row>
    <row r="940" spans="1:11" ht="15.5" x14ac:dyDescent="0.35">
      <c r="A940" s="31">
        <v>45000</v>
      </c>
      <c r="B940" s="32" t="s">
        <v>20</v>
      </c>
      <c r="C940" s="32" t="s">
        <v>21</v>
      </c>
      <c r="D940" s="32" t="s">
        <v>34</v>
      </c>
      <c r="E940" s="32" t="s">
        <v>11</v>
      </c>
      <c r="F940" s="32">
        <v>5</v>
      </c>
      <c r="G940" s="32">
        <v>19</v>
      </c>
      <c r="H940" s="32" t="s">
        <v>50</v>
      </c>
      <c r="I940" s="32">
        <v>20</v>
      </c>
      <c r="J940" s="32">
        <v>1093.8900000000001</v>
      </c>
      <c r="K940" s="32">
        <v>20783.91</v>
      </c>
    </row>
    <row r="941" spans="1:11" ht="15.5" x14ac:dyDescent="0.35">
      <c r="A941" s="31">
        <v>45145</v>
      </c>
      <c r="B941" s="32" t="s">
        <v>12</v>
      </c>
      <c r="C941" s="32" t="s">
        <v>16</v>
      </c>
      <c r="D941" s="32" t="s">
        <v>19</v>
      </c>
      <c r="E941" s="32" t="s">
        <v>11</v>
      </c>
      <c r="F941" s="32">
        <v>5</v>
      </c>
      <c r="G941" s="32">
        <v>15</v>
      </c>
      <c r="H941" s="32" t="s">
        <v>51</v>
      </c>
      <c r="I941" s="32">
        <v>25</v>
      </c>
      <c r="J941" s="32">
        <v>3897.39</v>
      </c>
      <c r="K941" s="32">
        <v>58460.85</v>
      </c>
    </row>
    <row r="942" spans="1:11" ht="15.5" hidden="1" x14ac:dyDescent="0.35">
      <c r="A942" s="31">
        <v>45181</v>
      </c>
      <c r="B942" s="32" t="s">
        <v>8</v>
      </c>
      <c r="C942" s="32" t="s">
        <v>28</v>
      </c>
      <c r="D942" s="32" t="s">
        <v>29</v>
      </c>
      <c r="E942" s="32" t="s">
        <v>24</v>
      </c>
      <c r="F942" s="32">
        <v>3</v>
      </c>
      <c r="G942" s="32">
        <v>17</v>
      </c>
      <c r="H942" s="32" t="s">
        <v>52</v>
      </c>
      <c r="I942" s="32">
        <v>54</v>
      </c>
      <c r="J942" s="32">
        <v>3791.82</v>
      </c>
      <c r="K942" s="32">
        <v>64460.94</v>
      </c>
    </row>
    <row r="943" spans="1:11" ht="15.5" hidden="1" x14ac:dyDescent="0.35">
      <c r="A943" s="31">
        <v>45011</v>
      </c>
      <c r="B943" s="32" t="s">
        <v>8</v>
      </c>
      <c r="C943" s="32" t="s">
        <v>28</v>
      </c>
      <c r="D943" s="32" t="s">
        <v>29</v>
      </c>
      <c r="E943" s="32" t="s">
        <v>24</v>
      </c>
      <c r="F943" s="32">
        <v>3</v>
      </c>
      <c r="G943" s="32">
        <v>18</v>
      </c>
      <c r="H943" s="32" t="s">
        <v>53</v>
      </c>
      <c r="I943" s="32">
        <v>54</v>
      </c>
      <c r="J943" s="32">
        <v>1137.05</v>
      </c>
      <c r="K943" s="32">
        <v>20466.900000000001</v>
      </c>
    </row>
    <row r="944" spans="1:11" ht="15.5" x14ac:dyDescent="0.35">
      <c r="A944" s="31">
        <v>44986</v>
      </c>
      <c r="B944" s="32" t="s">
        <v>12</v>
      </c>
      <c r="C944" s="32" t="s">
        <v>16</v>
      </c>
      <c r="D944" s="32" t="s">
        <v>25</v>
      </c>
      <c r="E944" s="32" t="s">
        <v>11</v>
      </c>
      <c r="F944" s="32">
        <v>5</v>
      </c>
      <c r="G944" s="32">
        <v>5</v>
      </c>
      <c r="H944" s="32" t="s">
        <v>54</v>
      </c>
      <c r="I944" s="32">
        <v>17</v>
      </c>
      <c r="J944" s="32">
        <v>1192.82</v>
      </c>
      <c r="K944" s="32">
        <v>5964.1</v>
      </c>
    </row>
    <row r="945" spans="1:11" ht="15.5" hidden="1" x14ac:dyDescent="0.35">
      <c r="A945" s="31">
        <v>45048</v>
      </c>
      <c r="B945" s="32" t="s">
        <v>12</v>
      </c>
      <c r="C945" s="32" t="s">
        <v>13</v>
      </c>
      <c r="D945" s="32" t="s">
        <v>14</v>
      </c>
      <c r="E945" s="32" t="s">
        <v>27</v>
      </c>
      <c r="F945" s="32">
        <v>2</v>
      </c>
      <c r="G945" s="32">
        <v>12</v>
      </c>
      <c r="H945" s="32" t="s">
        <v>55</v>
      </c>
      <c r="I945" s="32">
        <v>46</v>
      </c>
      <c r="J945" s="32">
        <v>3358.78</v>
      </c>
      <c r="K945" s="32">
        <v>40305.360000000001</v>
      </c>
    </row>
    <row r="946" spans="1:11" ht="15.5" x14ac:dyDescent="0.35">
      <c r="A946" s="31">
        <v>44979</v>
      </c>
      <c r="B946" s="32" t="s">
        <v>20</v>
      </c>
      <c r="C946" s="32" t="s">
        <v>21</v>
      </c>
      <c r="D946" s="32" t="s">
        <v>34</v>
      </c>
      <c r="E946" s="32" t="s">
        <v>11</v>
      </c>
      <c r="F946" s="32">
        <v>5</v>
      </c>
      <c r="G946" s="32">
        <v>1</v>
      </c>
      <c r="H946" s="32" t="s">
        <v>56</v>
      </c>
      <c r="I946" s="32">
        <v>55</v>
      </c>
      <c r="J946" s="32">
        <v>4511.88</v>
      </c>
      <c r="K946" s="32">
        <v>4511.88</v>
      </c>
    </row>
    <row r="947" spans="1:11" ht="15.5" hidden="1" x14ac:dyDescent="0.35">
      <c r="A947" s="31">
        <v>45030</v>
      </c>
      <c r="B947" s="32" t="s">
        <v>8</v>
      </c>
      <c r="C947" s="32" t="s">
        <v>9</v>
      </c>
      <c r="D947" s="32" t="s">
        <v>23</v>
      </c>
      <c r="E947" s="32" t="s">
        <v>24</v>
      </c>
      <c r="F947" s="32">
        <v>3</v>
      </c>
      <c r="G947" s="32">
        <v>10</v>
      </c>
      <c r="H947" s="32" t="s">
        <v>57</v>
      </c>
      <c r="I947" s="32">
        <v>37</v>
      </c>
      <c r="J947" s="32">
        <v>3882.87</v>
      </c>
      <c r="K947" s="32">
        <v>38828.699999999997</v>
      </c>
    </row>
    <row r="948" spans="1:11" ht="15.5" hidden="1" x14ac:dyDescent="0.35">
      <c r="A948" s="31">
        <v>45265</v>
      </c>
      <c r="B948" s="32" t="s">
        <v>8</v>
      </c>
      <c r="C948" s="32" t="s">
        <v>9</v>
      </c>
      <c r="D948" s="32" t="s">
        <v>23</v>
      </c>
      <c r="E948" s="32" t="s">
        <v>15</v>
      </c>
      <c r="F948" s="32">
        <v>1</v>
      </c>
      <c r="G948" s="32">
        <v>4</v>
      </c>
      <c r="H948" s="32" t="s">
        <v>58</v>
      </c>
      <c r="I948" s="32">
        <v>51</v>
      </c>
      <c r="J948" s="32">
        <v>4020.65</v>
      </c>
      <c r="K948" s="32">
        <v>16082.6</v>
      </c>
    </row>
    <row r="949" spans="1:11" ht="15.5" hidden="1" x14ac:dyDescent="0.35">
      <c r="A949" s="31">
        <v>45071</v>
      </c>
      <c r="B949" s="32" t="s">
        <v>12</v>
      </c>
      <c r="C949" s="32" t="s">
        <v>16</v>
      </c>
      <c r="D949" s="32" t="s">
        <v>19</v>
      </c>
      <c r="E949" s="32" t="s">
        <v>18</v>
      </c>
      <c r="F949" s="32">
        <v>4</v>
      </c>
      <c r="G949" s="32">
        <v>4</v>
      </c>
      <c r="H949" s="32" t="s">
        <v>59</v>
      </c>
      <c r="I949" s="32">
        <v>46</v>
      </c>
      <c r="J949" s="32">
        <v>430.91</v>
      </c>
      <c r="K949" s="32">
        <v>1723.64</v>
      </c>
    </row>
    <row r="950" spans="1:11" ht="15.5" x14ac:dyDescent="0.35">
      <c r="A950" s="31">
        <v>44935</v>
      </c>
      <c r="B950" s="32" t="s">
        <v>8</v>
      </c>
      <c r="C950" s="32" t="s">
        <v>28</v>
      </c>
      <c r="D950" s="32" t="s">
        <v>29</v>
      </c>
      <c r="E950" s="32" t="s">
        <v>11</v>
      </c>
      <c r="F950" s="32">
        <v>5</v>
      </c>
      <c r="G950" s="32">
        <v>7</v>
      </c>
      <c r="H950" s="32" t="s">
        <v>48</v>
      </c>
      <c r="I950" s="32">
        <v>45</v>
      </c>
      <c r="J950" s="32">
        <v>4508.28</v>
      </c>
      <c r="K950" s="32">
        <v>31557.96</v>
      </c>
    </row>
    <row r="951" spans="1:11" ht="15.5" hidden="1" x14ac:dyDescent="0.35">
      <c r="A951" s="31">
        <v>45044</v>
      </c>
      <c r="B951" s="32" t="s">
        <v>20</v>
      </c>
      <c r="C951" s="32" t="s">
        <v>21</v>
      </c>
      <c r="D951" s="32" t="s">
        <v>35</v>
      </c>
      <c r="E951" s="32" t="s">
        <v>18</v>
      </c>
      <c r="F951" s="32">
        <v>4</v>
      </c>
      <c r="G951" s="32">
        <v>5</v>
      </c>
      <c r="H951" s="32" t="s">
        <v>49</v>
      </c>
      <c r="I951" s="32">
        <v>24</v>
      </c>
      <c r="J951" s="32">
        <v>438.69</v>
      </c>
      <c r="K951" s="32">
        <v>2193.4499999999998</v>
      </c>
    </row>
    <row r="952" spans="1:11" ht="15.5" hidden="1" x14ac:dyDescent="0.35">
      <c r="A952" s="31">
        <v>45151</v>
      </c>
      <c r="B952" s="32" t="s">
        <v>12</v>
      </c>
      <c r="C952" s="32" t="s">
        <v>13</v>
      </c>
      <c r="D952" s="32" t="s">
        <v>14</v>
      </c>
      <c r="E952" s="32" t="s">
        <v>15</v>
      </c>
      <c r="F952" s="32">
        <v>1</v>
      </c>
      <c r="G952" s="32">
        <v>10</v>
      </c>
      <c r="H952" s="32" t="s">
        <v>50</v>
      </c>
      <c r="I952" s="32">
        <v>50</v>
      </c>
      <c r="J952" s="32">
        <v>3439.35</v>
      </c>
      <c r="K952" s="32">
        <v>34393.5</v>
      </c>
    </row>
    <row r="953" spans="1:11" ht="15.5" x14ac:dyDescent="0.35">
      <c r="A953" s="31">
        <v>45233</v>
      </c>
      <c r="B953" s="32" t="s">
        <v>8</v>
      </c>
      <c r="C953" s="32" t="s">
        <v>9</v>
      </c>
      <c r="D953" s="32" t="s">
        <v>10</v>
      </c>
      <c r="E953" s="32" t="s">
        <v>11</v>
      </c>
      <c r="F953" s="32">
        <v>5</v>
      </c>
      <c r="G953" s="32">
        <v>16</v>
      </c>
      <c r="H953" s="32" t="s">
        <v>51</v>
      </c>
      <c r="I953" s="32">
        <v>41</v>
      </c>
      <c r="J953" s="32">
        <v>2563.69</v>
      </c>
      <c r="K953" s="32">
        <v>41019.040000000001</v>
      </c>
    </row>
    <row r="954" spans="1:11" ht="15.5" hidden="1" x14ac:dyDescent="0.35">
      <c r="A954" s="31">
        <v>45083</v>
      </c>
      <c r="B954" s="32" t="s">
        <v>12</v>
      </c>
      <c r="C954" s="32" t="s">
        <v>13</v>
      </c>
      <c r="D954" s="32" t="s">
        <v>14</v>
      </c>
      <c r="E954" s="32" t="s">
        <v>24</v>
      </c>
      <c r="F954" s="32">
        <v>3</v>
      </c>
      <c r="G954" s="32">
        <v>5</v>
      </c>
      <c r="H954" s="32" t="s">
        <v>52</v>
      </c>
      <c r="I954" s="32">
        <v>24</v>
      </c>
      <c r="J954" s="32">
        <v>975.39</v>
      </c>
      <c r="K954" s="32">
        <v>4876.95</v>
      </c>
    </row>
    <row r="955" spans="1:11" ht="15.5" hidden="1" x14ac:dyDescent="0.35">
      <c r="A955" s="31">
        <v>45179</v>
      </c>
      <c r="B955" s="32" t="s">
        <v>8</v>
      </c>
      <c r="C955" s="32" t="s">
        <v>9</v>
      </c>
      <c r="D955" s="32" t="s">
        <v>23</v>
      </c>
      <c r="E955" s="32" t="s">
        <v>15</v>
      </c>
      <c r="F955" s="32">
        <v>1</v>
      </c>
      <c r="G955" s="32">
        <v>7</v>
      </c>
      <c r="H955" s="32" t="s">
        <v>53</v>
      </c>
      <c r="I955" s="32">
        <v>39</v>
      </c>
      <c r="J955" s="32">
        <v>2384.5100000000002</v>
      </c>
      <c r="K955" s="32">
        <v>16691.57</v>
      </c>
    </row>
    <row r="956" spans="1:11" ht="15.5" hidden="1" x14ac:dyDescent="0.35">
      <c r="A956" s="31">
        <v>45219</v>
      </c>
      <c r="B956" s="32" t="s">
        <v>8</v>
      </c>
      <c r="C956" s="32" t="s">
        <v>28</v>
      </c>
      <c r="D956" s="32" t="s">
        <v>32</v>
      </c>
      <c r="E956" s="32" t="s">
        <v>24</v>
      </c>
      <c r="F956" s="32">
        <v>3</v>
      </c>
      <c r="G956" s="32">
        <v>20</v>
      </c>
      <c r="H956" s="32" t="s">
        <v>54</v>
      </c>
      <c r="I956" s="32">
        <v>30</v>
      </c>
      <c r="J956" s="32">
        <v>3470.23</v>
      </c>
      <c r="K956" s="32">
        <v>69404.600000000006</v>
      </c>
    </row>
    <row r="957" spans="1:11" ht="15.5" hidden="1" x14ac:dyDescent="0.35">
      <c r="A957" s="31">
        <v>45038</v>
      </c>
      <c r="B957" s="32" t="s">
        <v>12</v>
      </c>
      <c r="C957" s="32" t="s">
        <v>13</v>
      </c>
      <c r="D957" s="32" t="s">
        <v>33</v>
      </c>
      <c r="E957" s="32" t="s">
        <v>15</v>
      </c>
      <c r="F957" s="32">
        <v>1</v>
      </c>
      <c r="G957" s="32">
        <v>1</v>
      </c>
      <c r="H957" s="32" t="s">
        <v>55</v>
      </c>
      <c r="I957" s="32">
        <v>20</v>
      </c>
      <c r="J957" s="32">
        <v>3964.08</v>
      </c>
      <c r="K957" s="32">
        <v>3964.08</v>
      </c>
    </row>
    <row r="958" spans="1:11" ht="15.5" hidden="1" x14ac:dyDescent="0.35">
      <c r="A958" s="31">
        <v>45203</v>
      </c>
      <c r="B958" s="32" t="s">
        <v>20</v>
      </c>
      <c r="C958" s="32" t="s">
        <v>21</v>
      </c>
      <c r="D958" s="32" t="s">
        <v>35</v>
      </c>
      <c r="E958" s="32" t="s">
        <v>18</v>
      </c>
      <c r="F958" s="32">
        <v>4</v>
      </c>
      <c r="G958" s="32">
        <v>7</v>
      </c>
      <c r="H958" s="32" t="s">
        <v>56</v>
      </c>
      <c r="I958" s="32">
        <v>33</v>
      </c>
      <c r="J958" s="32">
        <v>2227.0700000000002</v>
      </c>
      <c r="K958" s="32">
        <v>15589.49</v>
      </c>
    </row>
    <row r="959" spans="1:11" ht="15.5" hidden="1" x14ac:dyDescent="0.35">
      <c r="A959" s="31">
        <v>44992</v>
      </c>
      <c r="B959" s="32" t="s">
        <v>12</v>
      </c>
      <c r="C959" s="32" t="s">
        <v>16</v>
      </c>
      <c r="D959" s="32" t="s">
        <v>19</v>
      </c>
      <c r="E959" s="32" t="s">
        <v>15</v>
      </c>
      <c r="F959" s="32">
        <v>1</v>
      </c>
      <c r="G959" s="32">
        <v>5</v>
      </c>
      <c r="H959" s="32" t="s">
        <v>57</v>
      </c>
      <c r="I959" s="32">
        <v>48</v>
      </c>
      <c r="J959" s="32">
        <v>1460.84</v>
      </c>
      <c r="K959" s="32">
        <v>7304.2</v>
      </c>
    </row>
    <row r="960" spans="1:11" ht="15.5" hidden="1" x14ac:dyDescent="0.35">
      <c r="A960" s="31">
        <v>44931</v>
      </c>
      <c r="B960" s="32" t="s">
        <v>12</v>
      </c>
      <c r="C960" s="32" t="s">
        <v>13</v>
      </c>
      <c r="D960" s="32" t="s">
        <v>33</v>
      </c>
      <c r="E960" s="32" t="s">
        <v>24</v>
      </c>
      <c r="F960" s="32">
        <v>3</v>
      </c>
      <c r="G960" s="32">
        <v>13</v>
      </c>
      <c r="H960" s="32" t="s">
        <v>58</v>
      </c>
      <c r="I960" s="32">
        <v>54</v>
      </c>
      <c r="J960" s="32">
        <v>914.82</v>
      </c>
      <c r="K960" s="32">
        <v>11892.66</v>
      </c>
    </row>
    <row r="961" spans="1:11" ht="15.5" hidden="1" x14ac:dyDescent="0.35">
      <c r="A961" s="31">
        <v>45274</v>
      </c>
      <c r="B961" s="32" t="s">
        <v>12</v>
      </c>
      <c r="C961" s="32" t="s">
        <v>13</v>
      </c>
      <c r="D961" s="32" t="s">
        <v>26</v>
      </c>
      <c r="E961" s="32" t="s">
        <v>15</v>
      </c>
      <c r="F961" s="32">
        <v>1</v>
      </c>
      <c r="G961" s="32">
        <v>8</v>
      </c>
      <c r="H961" s="32" t="s">
        <v>59</v>
      </c>
      <c r="I961" s="32">
        <v>19</v>
      </c>
      <c r="J961" s="32">
        <v>1794.45</v>
      </c>
      <c r="K961" s="32">
        <v>14355.6</v>
      </c>
    </row>
    <row r="962" spans="1:11" ht="15.5" hidden="1" x14ac:dyDescent="0.35">
      <c r="A962" s="31">
        <v>44969</v>
      </c>
      <c r="B962" s="32" t="s">
        <v>20</v>
      </c>
      <c r="C962" s="32" t="s">
        <v>21</v>
      </c>
      <c r="D962" s="32" t="s">
        <v>34</v>
      </c>
      <c r="E962" s="32" t="s">
        <v>18</v>
      </c>
      <c r="F962" s="32">
        <v>4</v>
      </c>
      <c r="G962" s="32">
        <v>9</v>
      </c>
      <c r="H962" s="32" t="s">
        <v>48</v>
      </c>
      <c r="I962" s="32">
        <v>21</v>
      </c>
      <c r="J962" s="32">
        <v>593.01</v>
      </c>
      <c r="K962" s="32">
        <v>5337.09</v>
      </c>
    </row>
    <row r="963" spans="1:11" ht="15.5" hidden="1" x14ac:dyDescent="0.35">
      <c r="A963" s="31">
        <v>44931</v>
      </c>
      <c r="B963" s="32" t="s">
        <v>8</v>
      </c>
      <c r="C963" s="32" t="s">
        <v>28</v>
      </c>
      <c r="D963" s="32" t="s">
        <v>30</v>
      </c>
      <c r="E963" s="32" t="s">
        <v>18</v>
      </c>
      <c r="F963" s="32">
        <v>4</v>
      </c>
      <c r="G963" s="32">
        <v>2</v>
      </c>
      <c r="H963" s="32" t="s">
        <v>49</v>
      </c>
      <c r="I963" s="32">
        <v>52</v>
      </c>
      <c r="J963" s="32">
        <v>2704.98</v>
      </c>
      <c r="K963" s="32">
        <v>5409.96</v>
      </c>
    </row>
    <row r="964" spans="1:11" ht="15.5" hidden="1" x14ac:dyDescent="0.35">
      <c r="A964" s="31">
        <v>45184</v>
      </c>
      <c r="B964" s="32" t="s">
        <v>20</v>
      </c>
      <c r="C964" s="32" t="s">
        <v>21</v>
      </c>
      <c r="D964" s="32" t="s">
        <v>34</v>
      </c>
      <c r="E964" s="32" t="s">
        <v>18</v>
      </c>
      <c r="F964" s="32">
        <v>4</v>
      </c>
      <c r="G964" s="32">
        <v>1</v>
      </c>
      <c r="H964" s="32" t="s">
        <v>50</v>
      </c>
      <c r="I964" s="32">
        <v>52</v>
      </c>
      <c r="J964" s="32">
        <v>1981.82</v>
      </c>
      <c r="K964" s="32">
        <v>1981.82</v>
      </c>
    </row>
    <row r="965" spans="1:11" ht="15.5" hidden="1" x14ac:dyDescent="0.35">
      <c r="A965" s="31">
        <v>45174</v>
      </c>
      <c r="B965" s="32" t="s">
        <v>12</v>
      </c>
      <c r="C965" s="32" t="s">
        <v>16</v>
      </c>
      <c r="D965" s="32" t="s">
        <v>25</v>
      </c>
      <c r="E965" s="32" t="s">
        <v>27</v>
      </c>
      <c r="F965" s="32">
        <v>2</v>
      </c>
      <c r="G965" s="32">
        <v>20</v>
      </c>
      <c r="H965" s="32" t="s">
        <v>51</v>
      </c>
      <c r="I965" s="32">
        <v>44</v>
      </c>
      <c r="J965" s="32">
        <v>774.07</v>
      </c>
      <c r="K965" s="32">
        <v>15481.4</v>
      </c>
    </row>
    <row r="966" spans="1:11" ht="15.5" hidden="1" x14ac:dyDescent="0.35">
      <c r="A966" s="31">
        <v>45197</v>
      </c>
      <c r="B966" s="32" t="s">
        <v>12</v>
      </c>
      <c r="C966" s="32" t="s">
        <v>16</v>
      </c>
      <c r="D966" s="32" t="s">
        <v>19</v>
      </c>
      <c r="E966" s="32" t="s">
        <v>15</v>
      </c>
      <c r="F966" s="32">
        <v>1</v>
      </c>
      <c r="G966" s="32">
        <v>11</v>
      </c>
      <c r="H966" s="32" t="s">
        <v>52</v>
      </c>
      <c r="I966" s="32">
        <v>24</v>
      </c>
      <c r="J966" s="32">
        <v>146.47</v>
      </c>
      <c r="K966" s="32">
        <v>1611.17</v>
      </c>
    </row>
    <row r="967" spans="1:11" ht="15.5" hidden="1" x14ac:dyDescent="0.35">
      <c r="A967" s="31">
        <v>45136</v>
      </c>
      <c r="B967" s="32" t="s">
        <v>8</v>
      </c>
      <c r="C967" s="32" t="s">
        <v>9</v>
      </c>
      <c r="D967" s="32" t="s">
        <v>23</v>
      </c>
      <c r="E967" s="32" t="s">
        <v>15</v>
      </c>
      <c r="F967" s="32">
        <v>1</v>
      </c>
      <c r="G967" s="32">
        <v>12</v>
      </c>
      <c r="H967" s="32" t="s">
        <v>53</v>
      </c>
      <c r="I967" s="32">
        <v>49</v>
      </c>
      <c r="J967" s="32">
        <v>283.86</v>
      </c>
      <c r="K967" s="32">
        <v>3406.32</v>
      </c>
    </row>
    <row r="968" spans="1:11" ht="15.5" hidden="1" x14ac:dyDescent="0.35">
      <c r="A968" s="31">
        <v>45066</v>
      </c>
      <c r="B968" s="32" t="s">
        <v>8</v>
      </c>
      <c r="C968" s="32" t="s">
        <v>9</v>
      </c>
      <c r="D968" s="32" t="s">
        <v>10</v>
      </c>
      <c r="E968" s="32" t="s">
        <v>27</v>
      </c>
      <c r="F968" s="32">
        <v>2</v>
      </c>
      <c r="G968" s="32">
        <v>8</v>
      </c>
      <c r="H968" s="32" t="s">
        <v>54</v>
      </c>
      <c r="I968" s="32">
        <v>46</v>
      </c>
      <c r="J968" s="32">
        <v>4576.97</v>
      </c>
      <c r="K968" s="32">
        <v>36615.760000000002</v>
      </c>
    </row>
    <row r="969" spans="1:11" ht="15.5" hidden="1" x14ac:dyDescent="0.35">
      <c r="A969" s="31">
        <v>45076</v>
      </c>
      <c r="B969" s="32" t="s">
        <v>8</v>
      </c>
      <c r="C969" s="32" t="s">
        <v>9</v>
      </c>
      <c r="D969" s="32" t="s">
        <v>31</v>
      </c>
      <c r="E969" s="32" t="s">
        <v>24</v>
      </c>
      <c r="F969" s="32">
        <v>3</v>
      </c>
      <c r="G969" s="32">
        <v>4</v>
      </c>
      <c r="H969" s="32" t="s">
        <v>55</v>
      </c>
      <c r="I969" s="32">
        <v>32</v>
      </c>
      <c r="J969" s="32">
        <v>4368.46</v>
      </c>
      <c r="K969" s="32">
        <v>17473.84</v>
      </c>
    </row>
    <row r="970" spans="1:11" ht="15.5" hidden="1" x14ac:dyDescent="0.35">
      <c r="A970" s="31">
        <v>45011</v>
      </c>
      <c r="B970" s="32" t="s">
        <v>12</v>
      </c>
      <c r="C970" s="32" t="s">
        <v>13</v>
      </c>
      <c r="D970" s="32" t="s">
        <v>26</v>
      </c>
      <c r="E970" s="32" t="s">
        <v>18</v>
      </c>
      <c r="F970" s="32">
        <v>4</v>
      </c>
      <c r="G970" s="32">
        <v>17</v>
      </c>
      <c r="H970" s="32" t="s">
        <v>56</v>
      </c>
      <c r="I970" s="32">
        <v>55</v>
      </c>
      <c r="J970" s="32">
        <v>4825.24</v>
      </c>
      <c r="K970" s="32">
        <v>82029.08</v>
      </c>
    </row>
    <row r="971" spans="1:11" ht="15.5" hidden="1" x14ac:dyDescent="0.35">
      <c r="A971" s="31">
        <v>45025</v>
      </c>
      <c r="B971" s="32" t="s">
        <v>8</v>
      </c>
      <c r="C971" s="32" t="s">
        <v>28</v>
      </c>
      <c r="D971" s="32" t="s">
        <v>32</v>
      </c>
      <c r="E971" s="32" t="s">
        <v>27</v>
      </c>
      <c r="F971" s="32">
        <v>2</v>
      </c>
      <c r="G971" s="32">
        <v>18</v>
      </c>
      <c r="H971" s="32" t="s">
        <v>57</v>
      </c>
      <c r="I971" s="32">
        <v>46</v>
      </c>
      <c r="J971" s="32">
        <v>3982.89</v>
      </c>
      <c r="K971" s="32">
        <v>71692.02</v>
      </c>
    </row>
    <row r="972" spans="1:11" ht="15.5" hidden="1" x14ac:dyDescent="0.35">
      <c r="A972" s="31">
        <v>44954</v>
      </c>
      <c r="B972" s="32" t="s">
        <v>20</v>
      </c>
      <c r="C972" s="32" t="s">
        <v>21</v>
      </c>
      <c r="D972" s="32" t="s">
        <v>34</v>
      </c>
      <c r="E972" s="32" t="s">
        <v>15</v>
      </c>
      <c r="F972" s="32">
        <v>1</v>
      </c>
      <c r="G972" s="32">
        <v>4</v>
      </c>
      <c r="H972" s="32" t="s">
        <v>58</v>
      </c>
      <c r="I972" s="32">
        <v>23</v>
      </c>
      <c r="J972" s="32">
        <v>2169.61</v>
      </c>
      <c r="K972" s="32">
        <v>8678.44</v>
      </c>
    </row>
    <row r="973" spans="1:11" ht="15.5" hidden="1" x14ac:dyDescent="0.35">
      <c r="A973" s="31">
        <v>45274</v>
      </c>
      <c r="B973" s="32" t="s">
        <v>20</v>
      </c>
      <c r="C973" s="32" t="s">
        <v>21</v>
      </c>
      <c r="D973" s="32" t="s">
        <v>35</v>
      </c>
      <c r="E973" s="32" t="s">
        <v>27</v>
      </c>
      <c r="F973" s="32">
        <v>2</v>
      </c>
      <c r="G973" s="32">
        <v>18</v>
      </c>
      <c r="H973" s="32" t="s">
        <v>59</v>
      </c>
      <c r="I973" s="32">
        <v>48</v>
      </c>
      <c r="J973" s="32">
        <v>1601.74</v>
      </c>
      <c r="K973" s="32">
        <v>28831.32</v>
      </c>
    </row>
    <row r="974" spans="1:11" ht="15.5" x14ac:dyDescent="0.35">
      <c r="A974" s="31">
        <v>44942</v>
      </c>
      <c r="B974" s="32" t="s">
        <v>20</v>
      </c>
      <c r="C974" s="32" t="s">
        <v>21</v>
      </c>
      <c r="D974" s="32" t="s">
        <v>34</v>
      </c>
      <c r="E974" s="32" t="s">
        <v>11</v>
      </c>
      <c r="F974" s="32">
        <v>5</v>
      </c>
      <c r="G974" s="32">
        <v>8</v>
      </c>
      <c r="H974" s="32" t="s">
        <v>48</v>
      </c>
      <c r="I974" s="32">
        <v>30</v>
      </c>
      <c r="J974" s="32">
        <v>4334.41</v>
      </c>
      <c r="K974" s="32">
        <v>34675.279999999999</v>
      </c>
    </row>
    <row r="975" spans="1:11" ht="15.5" hidden="1" x14ac:dyDescent="0.35">
      <c r="A975" s="31">
        <v>45193</v>
      </c>
      <c r="B975" s="32" t="s">
        <v>12</v>
      </c>
      <c r="C975" s="32" t="s">
        <v>16</v>
      </c>
      <c r="D975" s="32" t="s">
        <v>19</v>
      </c>
      <c r="E975" s="32" t="s">
        <v>27</v>
      </c>
      <c r="F975" s="32">
        <v>2</v>
      </c>
      <c r="G975" s="32">
        <v>17</v>
      </c>
      <c r="H975" s="32" t="s">
        <v>49</v>
      </c>
      <c r="I975" s="32">
        <v>32</v>
      </c>
      <c r="J975" s="32">
        <v>3933.92</v>
      </c>
      <c r="K975" s="32">
        <v>66876.639999999999</v>
      </c>
    </row>
    <row r="976" spans="1:11" ht="15.5" hidden="1" x14ac:dyDescent="0.35">
      <c r="A976" s="31">
        <v>45019</v>
      </c>
      <c r="B976" s="32" t="s">
        <v>12</v>
      </c>
      <c r="C976" s="32" t="s">
        <v>13</v>
      </c>
      <c r="D976" s="32" t="s">
        <v>26</v>
      </c>
      <c r="E976" s="32" t="s">
        <v>18</v>
      </c>
      <c r="F976" s="32">
        <v>4</v>
      </c>
      <c r="G976" s="32">
        <v>6</v>
      </c>
      <c r="H976" s="32" t="s">
        <v>50</v>
      </c>
      <c r="I976" s="32">
        <v>40</v>
      </c>
      <c r="J976" s="32">
        <v>3466.7</v>
      </c>
      <c r="K976" s="32">
        <v>20800.2</v>
      </c>
    </row>
    <row r="977" spans="1:11" ht="15.5" hidden="1" x14ac:dyDescent="0.35">
      <c r="A977" s="31">
        <v>45000</v>
      </c>
      <c r="B977" s="32" t="s">
        <v>8</v>
      </c>
      <c r="C977" s="32" t="s">
        <v>28</v>
      </c>
      <c r="D977" s="32" t="s">
        <v>29</v>
      </c>
      <c r="E977" s="32" t="s">
        <v>27</v>
      </c>
      <c r="F977" s="32">
        <v>2</v>
      </c>
      <c r="G977" s="32">
        <v>3</v>
      </c>
      <c r="H977" s="32" t="s">
        <v>51</v>
      </c>
      <c r="I977" s="32">
        <v>54</v>
      </c>
      <c r="J977" s="32">
        <v>4083.59</v>
      </c>
      <c r="K977" s="32">
        <v>12250.77</v>
      </c>
    </row>
    <row r="978" spans="1:11" ht="15.5" x14ac:dyDescent="0.35">
      <c r="A978" s="31">
        <v>45071</v>
      </c>
      <c r="B978" s="32" t="s">
        <v>12</v>
      </c>
      <c r="C978" s="32" t="s">
        <v>16</v>
      </c>
      <c r="D978" s="32" t="s">
        <v>19</v>
      </c>
      <c r="E978" s="32" t="s">
        <v>11</v>
      </c>
      <c r="F978" s="32">
        <v>5</v>
      </c>
      <c r="G978" s="32">
        <v>14</v>
      </c>
      <c r="H978" s="32" t="s">
        <v>52</v>
      </c>
      <c r="I978" s="32">
        <v>54</v>
      </c>
      <c r="J978" s="32">
        <v>1972.22</v>
      </c>
      <c r="K978" s="32">
        <v>27611.08</v>
      </c>
    </row>
    <row r="979" spans="1:11" ht="15.5" hidden="1" x14ac:dyDescent="0.35">
      <c r="A979" s="31">
        <v>45281</v>
      </c>
      <c r="B979" s="32" t="s">
        <v>12</v>
      </c>
      <c r="C979" s="32" t="s">
        <v>13</v>
      </c>
      <c r="D979" s="32" t="s">
        <v>33</v>
      </c>
      <c r="E979" s="32" t="s">
        <v>24</v>
      </c>
      <c r="F979" s="32">
        <v>3</v>
      </c>
      <c r="G979" s="32">
        <v>4</v>
      </c>
      <c r="H979" s="32" t="s">
        <v>53</v>
      </c>
      <c r="I979" s="32">
        <v>45</v>
      </c>
      <c r="J979" s="32">
        <v>722.05</v>
      </c>
      <c r="K979" s="32">
        <v>2888.2</v>
      </c>
    </row>
    <row r="980" spans="1:11" ht="15.5" hidden="1" x14ac:dyDescent="0.35">
      <c r="A980" s="31">
        <v>44972</v>
      </c>
      <c r="B980" s="32" t="s">
        <v>20</v>
      </c>
      <c r="C980" s="32" t="s">
        <v>21</v>
      </c>
      <c r="D980" s="32" t="s">
        <v>34</v>
      </c>
      <c r="E980" s="32" t="s">
        <v>24</v>
      </c>
      <c r="F980" s="32">
        <v>3</v>
      </c>
      <c r="G980" s="32">
        <v>7</v>
      </c>
      <c r="H980" s="32" t="s">
        <v>54</v>
      </c>
      <c r="I980" s="32">
        <v>47</v>
      </c>
      <c r="J980" s="32">
        <v>4803.62</v>
      </c>
      <c r="K980" s="32">
        <v>33625.339999999997</v>
      </c>
    </row>
    <row r="981" spans="1:11" ht="15.5" hidden="1" x14ac:dyDescent="0.35">
      <c r="A981" s="31">
        <v>45156</v>
      </c>
      <c r="B981" s="32" t="s">
        <v>12</v>
      </c>
      <c r="C981" s="32" t="s">
        <v>16</v>
      </c>
      <c r="D981" s="32" t="s">
        <v>17</v>
      </c>
      <c r="E981" s="32" t="s">
        <v>18</v>
      </c>
      <c r="F981" s="32">
        <v>4</v>
      </c>
      <c r="G981" s="32">
        <v>1</v>
      </c>
      <c r="H981" s="32" t="s">
        <v>55</v>
      </c>
      <c r="I981" s="32">
        <v>53</v>
      </c>
      <c r="J981" s="32">
        <v>1094.8800000000001</v>
      </c>
      <c r="K981" s="32">
        <v>1094.8800000000001</v>
      </c>
    </row>
    <row r="982" spans="1:11" ht="15.5" hidden="1" x14ac:dyDescent="0.35">
      <c r="A982" s="31">
        <v>44988</v>
      </c>
      <c r="B982" s="32" t="s">
        <v>12</v>
      </c>
      <c r="C982" s="32" t="s">
        <v>16</v>
      </c>
      <c r="D982" s="32" t="s">
        <v>17</v>
      </c>
      <c r="E982" s="32" t="s">
        <v>15</v>
      </c>
      <c r="F982" s="32">
        <v>1</v>
      </c>
      <c r="G982" s="32">
        <v>16</v>
      </c>
      <c r="H982" s="32" t="s">
        <v>56</v>
      </c>
      <c r="I982" s="32">
        <v>33</v>
      </c>
      <c r="J982" s="32">
        <v>2640.08</v>
      </c>
      <c r="K982" s="32">
        <v>42241.279999999999</v>
      </c>
    </row>
    <row r="983" spans="1:11" ht="15.5" hidden="1" x14ac:dyDescent="0.35">
      <c r="A983" s="31">
        <v>45189</v>
      </c>
      <c r="B983" s="32" t="s">
        <v>12</v>
      </c>
      <c r="C983" s="32" t="s">
        <v>13</v>
      </c>
      <c r="D983" s="32" t="s">
        <v>14</v>
      </c>
      <c r="E983" s="32" t="s">
        <v>18</v>
      </c>
      <c r="F983" s="32">
        <v>4</v>
      </c>
      <c r="G983" s="32">
        <v>15</v>
      </c>
      <c r="H983" s="32" t="s">
        <v>57</v>
      </c>
      <c r="I983" s="32">
        <v>21</v>
      </c>
      <c r="J983" s="32">
        <v>1259.1600000000001</v>
      </c>
      <c r="K983" s="32">
        <v>18887.400000000001</v>
      </c>
    </row>
    <row r="984" spans="1:11" ht="15.5" hidden="1" x14ac:dyDescent="0.35">
      <c r="A984" s="31">
        <v>45214</v>
      </c>
      <c r="B984" s="32" t="s">
        <v>12</v>
      </c>
      <c r="C984" s="32" t="s">
        <v>16</v>
      </c>
      <c r="D984" s="32" t="s">
        <v>25</v>
      </c>
      <c r="E984" s="32" t="s">
        <v>18</v>
      </c>
      <c r="F984" s="32">
        <v>4</v>
      </c>
      <c r="G984" s="32">
        <v>20</v>
      </c>
      <c r="H984" s="32" t="s">
        <v>58</v>
      </c>
      <c r="I984" s="32">
        <v>38</v>
      </c>
      <c r="J984" s="32">
        <v>2487.65</v>
      </c>
      <c r="K984" s="32">
        <v>49753</v>
      </c>
    </row>
    <row r="985" spans="1:11" ht="15.5" hidden="1" x14ac:dyDescent="0.35">
      <c r="A985" s="31">
        <v>44956</v>
      </c>
      <c r="B985" s="32" t="s">
        <v>8</v>
      </c>
      <c r="C985" s="32" t="s">
        <v>28</v>
      </c>
      <c r="D985" s="32" t="s">
        <v>32</v>
      </c>
      <c r="E985" s="32" t="s">
        <v>15</v>
      </c>
      <c r="F985" s="32">
        <v>1</v>
      </c>
      <c r="G985" s="32">
        <v>3</v>
      </c>
      <c r="H985" s="32" t="s">
        <v>59</v>
      </c>
      <c r="I985" s="32">
        <v>39</v>
      </c>
      <c r="J985" s="32">
        <v>4678.38</v>
      </c>
      <c r="K985" s="32">
        <v>14035.14</v>
      </c>
    </row>
    <row r="986" spans="1:11" ht="15.5" hidden="1" x14ac:dyDescent="0.35">
      <c r="A986" s="31">
        <v>45095</v>
      </c>
      <c r="B986" s="32" t="s">
        <v>12</v>
      </c>
      <c r="C986" s="32" t="s">
        <v>16</v>
      </c>
      <c r="D986" s="32" t="s">
        <v>19</v>
      </c>
      <c r="E986" s="32" t="s">
        <v>27</v>
      </c>
      <c r="F986" s="32">
        <v>2</v>
      </c>
      <c r="G986" s="32">
        <v>8</v>
      </c>
      <c r="H986" s="32" t="s">
        <v>48</v>
      </c>
      <c r="I986" s="32">
        <v>25</v>
      </c>
      <c r="J986" s="32">
        <v>308.68</v>
      </c>
      <c r="K986" s="32">
        <v>2469.44</v>
      </c>
    </row>
    <row r="987" spans="1:11" ht="15.5" hidden="1" x14ac:dyDescent="0.35">
      <c r="A987" s="31">
        <v>45113</v>
      </c>
      <c r="B987" s="32" t="s">
        <v>8</v>
      </c>
      <c r="C987" s="32" t="s">
        <v>28</v>
      </c>
      <c r="D987" s="32" t="s">
        <v>29</v>
      </c>
      <c r="E987" s="32" t="s">
        <v>24</v>
      </c>
      <c r="F987" s="32">
        <v>3</v>
      </c>
      <c r="G987" s="32">
        <v>19</v>
      </c>
      <c r="H987" s="32" t="s">
        <v>49</v>
      </c>
      <c r="I987" s="32">
        <v>28</v>
      </c>
      <c r="J987" s="32">
        <v>4348.7299999999996</v>
      </c>
      <c r="K987" s="32">
        <v>82625.87</v>
      </c>
    </row>
    <row r="988" spans="1:11" ht="15.5" hidden="1" x14ac:dyDescent="0.35">
      <c r="A988" s="31">
        <v>45244</v>
      </c>
      <c r="B988" s="32" t="s">
        <v>8</v>
      </c>
      <c r="C988" s="32" t="s">
        <v>28</v>
      </c>
      <c r="D988" s="32" t="s">
        <v>30</v>
      </c>
      <c r="E988" s="32" t="s">
        <v>15</v>
      </c>
      <c r="F988" s="32">
        <v>1</v>
      </c>
      <c r="G988" s="32">
        <v>8</v>
      </c>
      <c r="H988" s="32" t="s">
        <v>50</v>
      </c>
      <c r="I988" s="32">
        <v>42</v>
      </c>
      <c r="J988" s="32">
        <v>758.58</v>
      </c>
      <c r="K988" s="32">
        <v>6068.64</v>
      </c>
    </row>
    <row r="989" spans="1:11" ht="15.5" hidden="1" x14ac:dyDescent="0.35">
      <c r="A989" s="31">
        <v>45084</v>
      </c>
      <c r="B989" s="32" t="s">
        <v>12</v>
      </c>
      <c r="C989" s="32" t="s">
        <v>16</v>
      </c>
      <c r="D989" s="32" t="s">
        <v>17</v>
      </c>
      <c r="E989" s="32" t="s">
        <v>15</v>
      </c>
      <c r="F989" s="32">
        <v>1</v>
      </c>
      <c r="G989" s="32">
        <v>13</v>
      </c>
      <c r="H989" s="32" t="s">
        <v>51</v>
      </c>
      <c r="I989" s="32">
        <v>36</v>
      </c>
      <c r="J989" s="32">
        <v>857.86</v>
      </c>
      <c r="K989" s="32">
        <v>11152.18</v>
      </c>
    </row>
    <row r="990" spans="1:11" ht="15.5" hidden="1" x14ac:dyDescent="0.35">
      <c r="A990" s="31">
        <v>44944</v>
      </c>
      <c r="B990" s="32" t="s">
        <v>8</v>
      </c>
      <c r="C990" s="32" t="s">
        <v>28</v>
      </c>
      <c r="D990" s="32" t="s">
        <v>30</v>
      </c>
      <c r="E990" s="32" t="s">
        <v>24</v>
      </c>
      <c r="F990" s="32">
        <v>3</v>
      </c>
      <c r="G990" s="32">
        <v>16</v>
      </c>
      <c r="H990" s="32" t="s">
        <v>52</v>
      </c>
      <c r="I990" s="32">
        <v>25</v>
      </c>
      <c r="J990" s="32">
        <v>4614.01</v>
      </c>
      <c r="K990" s="32">
        <v>73824.160000000003</v>
      </c>
    </row>
    <row r="991" spans="1:11" ht="15.5" hidden="1" x14ac:dyDescent="0.35">
      <c r="A991" s="31">
        <v>45019</v>
      </c>
      <c r="B991" s="32" t="s">
        <v>12</v>
      </c>
      <c r="C991" s="32" t="s">
        <v>13</v>
      </c>
      <c r="D991" s="32" t="s">
        <v>26</v>
      </c>
      <c r="E991" s="32" t="s">
        <v>24</v>
      </c>
      <c r="F991" s="32">
        <v>3</v>
      </c>
      <c r="G991" s="32">
        <v>14</v>
      </c>
      <c r="H991" s="32" t="s">
        <v>53</v>
      </c>
      <c r="I991" s="32">
        <v>35</v>
      </c>
      <c r="J991" s="32">
        <v>1658.39</v>
      </c>
      <c r="K991" s="32">
        <v>23217.46</v>
      </c>
    </row>
    <row r="992" spans="1:11" ht="15.5" x14ac:dyDescent="0.35">
      <c r="A992" s="31">
        <v>45246</v>
      </c>
      <c r="B992" s="32" t="s">
        <v>8</v>
      </c>
      <c r="C992" s="32" t="s">
        <v>9</v>
      </c>
      <c r="D992" s="32" t="s">
        <v>23</v>
      </c>
      <c r="E992" s="32" t="s">
        <v>11</v>
      </c>
      <c r="F992" s="32">
        <v>5</v>
      </c>
      <c r="G992" s="32">
        <v>12</v>
      </c>
      <c r="H992" s="32" t="s">
        <v>54</v>
      </c>
      <c r="I992" s="32">
        <v>48</v>
      </c>
      <c r="J992" s="32">
        <v>3028.88</v>
      </c>
      <c r="K992" s="32">
        <v>36346.559999999998</v>
      </c>
    </row>
    <row r="993" spans="1:11" ht="15.5" x14ac:dyDescent="0.35">
      <c r="A993" s="31">
        <v>45235</v>
      </c>
      <c r="B993" s="32" t="s">
        <v>20</v>
      </c>
      <c r="C993" s="32" t="s">
        <v>21</v>
      </c>
      <c r="D993" s="32" t="s">
        <v>34</v>
      </c>
      <c r="E993" s="32" t="s">
        <v>11</v>
      </c>
      <c r="F993" s="32">
        <v>5</v>
      </c>
      <c r="G993" s="32">
        <v>7</v>
      </c>
      <c r="H993" s="32" t="s">
        <v>55</v>
      </c>
      <c r="I993" s="32">
        <v>22</v>
      </c>
      <c r="J993" s="32">
        <v>1501.06</v>
      </c>
      <c r="K993" s="32">
        <v>10507.42</v>
      </c>
    </row>
    <row r="994" spans="1:11" ht="15.5" hidden="1" x14ac:dyDescent="0.35">
      <c r="A994" s="31">
        <v>44980</v>
      </c>
      <c r="B994" s="32" t="s">
        <v>20</v>
      </c>
      <c r="C994" s="32" t="s">
        <v>21</v>
      </c>
      <c r="D994" s="32" t="s">
        <v>22</v>
      </c>
      <c r="E994" s="32" t="s">
        <v>24</v>
      </c>
      <c r="F994" s="32">
        <v>3</v>
      </c>
      <c r="G994" s="32">
        <v>5</v>
      </c>
      <c r="H994" s="32" t="s">
        <v>56</v>
      </c>
      <c r="I994" s="32">
        <v>47</v>
      </c>
      <c r="J994" s="32">
        <v>3404.87</v>
      </c>
      <c r="K994" s="32">
        <v>17024.349999999999</v>
      </c>
    </row>
    <row r="995" spans="1:11" ht="15.5" x14ac:dyDescent="0.35">
      <c r="A995" s="31">
        <v>44963</v>
      </c>
      <c r="B995" s="32" t="s">
        <v>12</v>
      </c>
      <c r="C995" s="32" t="s">
        <v>13</v>
      </c>
      <c r="D995" s="32" t="s">
        <v>33</v>
      </c>
      <c r="E995" s="32" t="s">
        <v>11</v>
      </c>
      <c r="F995" s="32">
        <v>5</v>
      </c>
      <c r="G995" s="32">
        <v>8</v>
      </c>
      <c r="H995" s="32" t="s">
        <v>57</v>
      </c>
      <c r="I995" s="32">
        <v>46</v>
      </c>
      <c r="J995" s="32">
        <v>2112.66</v>
      </c>
      <c r="K995" s="32">
        <v>16901.28</v>
      </c>
    </row>
    <row r="996" spans="1:11" ht="15.5" hidden="1" x14ac:dyDescent="0.35">
      <c r="A996" s="31">
        <v>45231</v>
      </c>
      <c r="B996" s="32" t="s">
        <v>12</v>
      </c>
      <c r="C996" s="32" t="s">
        <v>16</v>
      </c>
      <c r="D996" s="32" t="s">
        <v>17</v>
      </c>
      <c r="E996" s="32" t="s">
        <v>15</v>
      </c>
      <c r="F996" s="32">
        <v>1</v>
      </c>
      <c r="G996" s="32">
        <v>1</v>
      </c>
      <c r="H996" s="32" t="s">
        <v>58</v>
      </c>
      <c r="I996" s="32">
        <v>19</v>
      </c>
      <c r="J996" s="32">
        <v>1520.97</v>
      </c>
      <c r="K996" s="32">
        <v>1520.97</v>
      </c>
    </row>
    <row r="997" spans="1:11" ht="15.5" hidden="1" x14ac:dyDescent="0.35">
      <c r="A997" s="31">
        <v>45240</v>
      </c>
      <c r="B997" s="32" t="s">
        <v>8</v>
      </c>
      <c r="C997" s="32" t="s">
        <v>28</v>
      </c>
      <c r="D997" s="32" t="s">
        <v>29</v>
      </c>
      <c r="E997" s="32" t="s">
        <v>24</v>
      </c>
      <c r="F997" s="32">
        <v>3</v>
      </c>
      <c r="G997" s="32">
        <v>5</v>
      </c>
      <c r="H997" s="32" t="s">
        <v>59</v>
      </c>
      <c r="I997" s="32">
        <v>28</v>
      </c>
      <c r="J997" s="32">
        <v>172.99</v>
      </c>
      <c r="K997" s="32">
        <v>864.95</v>
      </c>
    </row>
    <row r="998" spans="1:11" ht="15.5" x14ac:dyDescent="0.35">
      <c r="A998" s="31">
        <v>45201</v>
      </c>
      <c r="B998" s="32" t="s">
        <v>12</v>
      </c>
      <c r="C998" s="32" t="s">
        <v>13</v>
      </c>
      <c r="D998" s="32" t="s">
        <v>26</v>
      </c>
      <c r="E998" s="32" t="s">
        <v>11</v>
      </c>
      <c r="F998" s="32">
        <v>5</v>
      </c>
      <c r="G998" s="32">
        <v>9</v>
      </c>
      <c r="H998" s="32" t="s">
        <v>48</v>
      </c>
      <c r="I998" s="32">
        <v>49</v>
      </c>
      <c r="J998" s="32">
        <v>4781.72</v>
      </c>
      <c r="K998" s="32">
        <v>43035.48</v>
      </c>
    </row>
    <row r="999" spans="1:11" ht="15.5" hidden="1" x14ac:dyDescent="0.35">
      <c r="A999" s="31">
        <v>45012</v>
      </c>
      <c r="B999" s="32" t="s">
        <v>12</v>
      </c>
      <c r="C999" s="32" t="s">
        <v>13</v>
      </c>
      <c r="D999" s="32" t="s">
        <v>33</v>
      </c>
      <c r="E999" s="32" t="s">
        <v>15</v>
      </c>
      <c r="F999" s="32">
        <v>1</v>
      </c>
      <c r="G999" s="32">
        <v>6</v>
      </c>
      <c r="H999" s="32" t="s">
        <v>49</v>
      </c>
      <c r="I999" s="32">
        <v>45</v>
      </c>
      <c r="J999" s="32">
        <v>4894.41</v>
      </c>
      <c r="K999" s="32">
        <v>29366.46</v>
      </c>
    </row>
    <row r="1000" spans="1:11" ht="15.5" hidden="1" x14ac:dyDescent="0.35">
      <c r="A1000" s="31">
        <v>44987</v>
      </c>
      <c r="B1000" s="32" t="s">
        <v>8</v>
      </c>
      <c r="C1000" s="32" t="s">
        <v>28</v>
      </c>
      <c r="D1000" s="32" t="s">
        <v>29</v>
      </c>
      <c r="E1000" s="32" t="s">
        <v>18</v>
      </c>
      <c r="F1000" s="32">
        <v>4</v>
      </c>
      <c r="G1000" s="32">
        <v>19</v>
      </c>
      <c r="H1000" s="32" t="s">
        <v>50</v>
      </c>
      <c r="I1000" s="32">
        <v>44</v>
      </c>
      <c r="J1000" s="32">
        <v>1199.24</v>
      </c>
      <c r="K1000" s="32">
        <v>22785.56</v>
      </c>
    </row>
    <row r="1001" spans="1:11" ht="15.5" hidden="1" x14ac:dyDescent="0.35">
      <c r="A1001" s="31">
        <v>45140</v>
      </c>
      <c r="B1001" s="32" t="s">
        <v>12</v>
      </c>
      <c r="C1001" s="32" t="s">
        <v>13</v>
      </c>
      <c r="D1001" s="32" t="s">
        <v>33</v>
      </c>
      <c r="E1001" s="32" t="s">
        <v>18</v>
      </c>
      <c r="F1001" s="32">
        <v>4</v>
      </c>
      <c r="G1001" s="32">
        <v>16</v>
      </c>
      <c r="H1001" s="32" t="s">
        <v>51</v>
      </c>
      <c r="I1001" s="32">
        <v>47</v>
      </c>
      <c r="J1001" s="32">
        <v>317.82</v>
      </c>
      <c r="K1001" s="32">
        <v>5085.12</v>
      </c>
    </row>
    <row r="1002" spans="1:11" ht="15.5" x14ac:dyDescent="0.35">
      <c r="A1002" s="31">
        <v>45607</v>
      </c>
      <c r="B1002" s="32" t="s">
        <v>8</v>
      </c>
      <c r="C1002" s="32" t="s">
        <v>9</v>
      </c>
      <c r="D1002" s="32" t="s">
        <v>10</v>
      </c>
      <c r="E1002" s="32" t="s">
        <v>11</v>
      </c>
      <c r="F1002" s="32">
        <v>5</v>
      </c>
      <c r="G1002" s="32">
        <v>3</v>
      </c>
      <c r="H1002" s="32" t="s">
        <v>48</v>
      </c>
      <c r="I1002" s="32">
        <v>43</v>
      </c>
      <c r="J1002" s="32">
        <v>4210.7700000000004</v>
      </c>
      <c r="K1002" s="32">
        <v>12632.31</v>
      </c>
    </row>
    <row r="1003" spans="1:11" ht="15.5" hidden="1" x14ac:dyDescent="0.35">
      <c r="A1003" s="31">
        <v>45608</v>
      </c>
      <c r="B1003" s="32" t="s">
        <v>12</v>
      </c>
      <c r="C1003" s="32" t="s">
        <v>13</v>
      </c>
      <c r="D1003" s="32" t="s">
        <v>14</v>
      </c>
      <c r="E1003" s="32" t="s">
        <v>15</v>
      </c>
      <c r="F1003" s="32">
        <v>1</v>
      </c>
      <c r="G1003" s="32">
        <v>19</v>
      </c>
      <c r="H1003" s="32" t="s">
        <v>75</v>
      </c>
      <c r="I1003" s="32">
        <v>47</v>
      </c>
      <c r="J1003" s="32">
        <v>2873.83</v>
      </c>
      <c r="K1003" s="32">
        <v>54602.77</v>
      </c>
    </row>
    <row r="1004" spans="1:11" ht="15.5" hidden="1" x14ac:dyDescent="0.35">
      <c r="A1004" s="31">
        <v>45609</v>
      </c>
      <c r="B1004" s="32" t="s">
        <v>12</v>
      </c>
      <c r="C1004" s="32" t="s">
        <v>16</v>
      </c>
      <c r="D1004" s="32" t="s">
        <v>17</v>
      </c>
      <c r="E1004" s="32" t="s">
        <v>18</v>
      </c>
      <c r="F1004" s="32">
        <v>4</v>
      </c>
      <c r="G1004" s="32">
        <v>1</v>
      </c>
      <c r="H1004" s="32" t="s">
        <v>76</v>
      </c>
      <c r="I1004" s="32">
        <v>21</v>
      </c>
      <c r="J1004" s="32">
        <v>267.32</v>
      </c>
      <c r="K1004" s="32">
        <v>267.32</v>
      </c>
    </row>
    <row r="1005" spans="1:11" ht="15.5" x14ac:dyDescent="0.35">
      <c r="A1005" s="31">
        <v>45610</v>
      </c>
      <c r="B1005" s="32" t="s">
        <v>12</v>
      </c>
      <c r="C1005" s="32" t="s">
        <v>16</v>
      </c>
      <c r="D1005" s="32" t="s">
        <v>19</v>
      </c>
      <c r="E1005" s="32" t="s">
        <v>11</v>
      </c>
      <c r="F1005" s="32">
        <v>5</v>
      </c>
      <c r="G1005" s="32">
        <v>9</v>
      </c>
      <c r="H1005" s="32" t="s">
        <v>77</v>
      </c>
      <c r="I1005" s="32">
        <v>41</v>
      </c>
      <c r="J1005" s="32">
        <v>1378.65</v>
      </c>
      <c r="K1005" s="32">
        <v>12407.85</v>
      </c>
    </row>
    <row r="1006" spans="1:11" ht="15.5" x14ac:dyDescent="0.35">
      <c r="A1006" s="31">
        <v>45611</v>
      </c>
      <c r="B1006" s="32" t="s">
        <v>20</v>
      </c>
      <c r="C1006" s="32" t="s">
        <v>21</v>
      </c>
      <c r="D1006" s="32" t="s">
        <v>22</v>
      </c>
      <c r="E1006" s="32" t="s">
        <v>11</v>
      </c>
      <c r="F1006" s="32">
        <v>5</v>
      </c>
      <c r="G1006" s="32">
        <v>9</v>
      </c>
      <c r="H1006" s="32" t="s">
        <v>78</v>
      </c>
      <c r="I1006" s="32">
        <v>31</v>
      </c>
      <c r="J1006" s="32">
        <v>1161.02</v>
      </c>
      <c r="K1006" s="32">
        <v>10449.18</v>
      </c>
    </row>
    <row r="1007" spans="1:11" ht="15.5" hidden="1" x14ac:dyDescent="0.35">
      <c r="A1007" s="31">
        <v>45612</v>
      </c>
      <c r="B1007" s="32" t="s">
        <v>8</v>
      </c>
      <c r="C1007" s="32" t="s">
        <v>9</v>
      </c>
      <c r="D1007" s="32" t="s">
        <v>23</v>
      </c>
      <c r="E1007" s="32" t="s">
        <v>15</v>
      </c>
      <c r="F1007" s="32">
        <v>1</v>
      </c>
      <c r="G1007" s="32">
        <v>5</v>
      </c>
      <c r="H1007" s="32" t="s">
        <v>53</v>
      </c>
      <c r="I1007" s="32">
        <v>40</v>
      </c>
      <c r="J1007" s="32">
        <v>3732.82</v>
      </c>
      <c r="K1007" s="32">
        <v>18664.099999999999</v>
      </c>
    </row>
    <row r="1008" spans="1:11" ht="15.5" hidden="1" x14ac:dyDescent="0.35">
      <c r="A1008" s="31">
        <v>45613</v>
      </c>
      <c r="B1008" s="32" t="s">
        <v>20</v>
      </c>
      <c r="C1008" s="32" t="s">
        <v>21</v>
      </c>
      <c r="D1008" s="32" t="s">
        <v>22</v>
      </c>
      <c r="E1008" s="32" t="s">
        <v>24</v>
      </c>
      <c r="F1008" s="32">
        <v>3</v>
      </c>
      <c r="G1008" s="32">
        <v>4</v>
      </c>
      <c r="H1008" s="32" t="s">
        <v>48</v>
      </c>
      <c r="I1008" s="32">
        <v>28</v>
      </c>
      <c r="J1008" s="32">
        <v>961.38</v>
      </c>
      <c r="K1008" s="32">
        <v>3845.52</v>
      </c>
    </row>
    <row r="1009" spans="1:11" ht="15.5" hidden="1" x14ac:dyDescent="0.35">
      <c r="A1009" s="31">
        <v>45614</v>
      </c>
      <c r="B1009" s="32" t="s">
        <v>20</v>
      </c>
      <c r="C1009" s="32" t="s">
        <v>21</v>
      </c>
      <c r="D1009" s="32" t="s">
        <v>22</v>
      </c>
      <c r="E1009" s="33" t="s">
        <v>18</v>
      </c>
      <c r="F1009" s="32">
        <v>4</v>
      </c>
      <c r="G1009" s="32">
        <v>14</v>
      </c>
      <c r="H1009" s="32" t="s">
        <v>75</v>
      </c>
      <c r="I1009" s="32">
        <v>23</v>
      </c>
      <c r="J1009" s="32">
        <v>4457.21</v>
      </c>
      <c r="K1009" s="32">
        <v>62400.94</v>
      </c>
    </row>
    <row r="1010" spans="1:11" ht="15.5" hidden="1" x14ac:dyDescent="0.35">
      <c r="A1010" s="31">
        <v>45615</v>
      </c>
      <c r="B1010" s="32" t="s">
        <v>12</v>
      </c>
      <c r="C1010" s="32" t="s">
        <v>16</v>
      </c>
      <c r="D1010" s="32" t="s">
        <v>25</v>
      </c>
      <c r="E1010" s="32" t="s">
        <v>15</v>
      </c>
      <c r="F1010" s="32">
        <v>1</v>
      </c>
      <c r="G1010" s="32">
        <v>6</v>
      </c>
      <c r="H1010" s="32" t="s">
        <v>76</v>
      </c>
      <c r="I1010" s="32">
        <v>25</v>
      </c>
      <c r="J1010" s="32">
        <v>2463.6799999999998</v>
      </c>
      <c r="K1010" s="32">
        <v>14782.08</v>
      </c>
    </row>
    <row r="1011" spans="1:11" ht="15.5" hidden="1" x14ac:dyDescent="0.35">
      <c r="A1011" s="31">
        <v>45616</v>
      </c>
      <c r="B1011" s="32" t="s">
        <v>12</v>
      </c>
      <c r="C1011" s="32" t="s">
        <v>13</v>
      </c>
      <c r="D1011" s="32" t="s">
        <v>26</v>
      </c>
      <c r="E1011" s="32" t="s">
        <v>18</v>
      </c>
      <c r="F1011" s="32">
        <v>4</v>
      </c>
      <c r="G1011" s="32">
        <v>13</v>
      </c>
      <c r="H1011" s="32" t="s">
        <v>77</v>
      </c>
      <c r="I1011" s="32">
        <v>31</v>
      </c>
      <c r="J1011" s="32">
        <v>4226.47</v>
      </c>
      <c r="K1011" s="32">
        <v>54944.11</v>
      </c>
    </row>
    <row r="1012" spans="1:11" ht="15.5" hidden="1" x14ac:dyDescent="0.35">
      <c r="A1012" s="31">
        <v>45617</v>
      </c>
      <c r="B1012" s="32" t="s">
        <v>12</v>
      </c>
      <c r="C1012" s="32" t="s">
        <v>16</v>
      </c>
      <c r="D1012" s="32" t="s">
        <v>19</v>
      </c>
      <c r="E1012" s="32" t="s">
        <v>27</v>
      </c>
      <c r="F1012" s="32">
        <v>2</v>
      </c>
      <c r="G1012" s="32">
        <v>11</v>
      </c>
      <c r="H1012" s="32" t="s">
        <v>78</v>
      </c>
      <c r="I1012" s="32">
        <v>16</v>
      </c>
      <c r="J1012" s="32">
        <v>2852.22</v>
      </c>
      <c r="K1012" s="32">
        <v>31374.42</v>
      </c>
    </row>
    <row r="1013" spans="1:11" ht="15.5" hidden="1" x14ac:dyDescent="0.35">
      <c r="A1013" s="31">
        <v>45618</v>
      </c>
      <c r="B1013" s="32" t="s">
        <v>20</v>
      </c>
      <c r="C1013" s="32" t="s">
        <v>21</v>
      </c>
      <c r="D1013" s="32" t="s">
        <v>22</v>
      </c>
      <c r="E1013" s="32" t="s">
        <v>18</v>
      </c>
      <c r="F1013" s="32">
        <v>4</v>
      </c>
      <c r="G1013" s="32">
        <v>2</v>
      </c>
      <c r="H1013" s="32" t="s">
        <v>53</v>
      </c>
      <c r="I1013" s="32">
        <v>44</v>
      </c>
      <c r="J1013" s="32">
        <v>4059.61</v>
      </c>
      <c r="K1013" s="32">
        <v>8119.22</v>
      </c>
    </row>
    <row r="1014" spans="1:11" ht="15.5" x14ac:dyDescent="0.35">
      <c r="A1014" s="31">
        <v>45619</v>
      </c>
      <c r="B1014" s="32" t="s">
        <v>20</v>
      </c>
      <c r="C1014" s="32" t="s">
        <v>21</v>
      </c>
      <c r="D1014" s="32" t="s">
        <v>22</v>
      </c>
      <c r="E1014" s="32" t="s">
        <v>11</v>
      </c>
      <c r="F1014" s="32">
        <v>5</v>
      </c>
      <c r="G1014" s="32">
        <v>13</v>
      </c>
      <c r="H1014" s="32" t="s">
        <v>48</v>
      </c>
      <c r="I1014" s="32">
        <v>22</v>
      </c>
      <c r="J1014" s="32">
        <v>1965.63</v>
      </c>
      <c r="K1014" s="32">
        <v>25553.19</v>
      </c>
    </row>
    <row r="1015" spans="1:11" ht="15.5" hidden="1" x14ac:dyDescent="0.35">
      <c r="A1015" s="31">
        <v>45620</v>
      </c>
      <c r="B1015" s="32" t="s">
        <v>20</v>
      </c>
      <c r="C1015" s="32" t="s">
        <v>21</v>
      </c>
      <c r="D1015" s="32" t="s">
        <v>22</v>
      </c>
      <c r="E1015" s="32" t="s">
        <v>27</v>
      </c>
      <c r="F1015" s="32">
        <v>2</v>
      </c>
      <c r="G1015" s="32">
        <v>4</v>
      </c>
      <c r="H1015" s="32" t="s">
        <v>75</v>
      </c>
      <c r="I1015" s="32">
        <v>42</v>
      </c>
      <c r="J1015" s="32">
        <v>1020.23</v>
      </c>
      <c r="K1015" s="32">
        <v>4080.92</v>
      </c>
    </row>
    <row r="1016" spans="1:11" ht="15.5" hidden="1" x14ac:dyDescent="0.35">
      <c r="A1016" s="31">
        <v>45621</v>
      </c>
      <c r="B1016" s="32" t="s">
        <v>20</v>
      </c>
      <c r="C1016" s="32" t="s">
        <v>21</v>
      </c>
      <c r="D1016" s="32" t="s">
        <v>22</v>
      </c>
      <c r="E1016" s="32" t="s">
        <v>24</v>
      </c>
      <c r="F1016" s="32">
        <v>3</v>
      </c>
      <c r="G1016" s="32">
        <v>16</v>
      </c>
      <c r="H1016" s="32" t="s">
        <v>76</v>
      </c>
      <c r="I1016" s="32">
        <v>30</v>
      </c>
      <c r="J1016" s="32">
        <v>2178.7800000000002</v>
      </c>
      <c r="K1016" s="32">
        <v>34860.480000000003</v>
      </c>
    </row>
    <row r="1017" spans="1:11" ht="15.5" hidden="1" x14ac:dyDescent="0.35">
      <c r="A1017" s="31">
        <v>45622</v>
      </c>
      <c r="B1017" s="32" t="s">
        <v>20</v>
      </c>
      <c r="C1017" s="32" t="s">
        <v>21</v>
      </c>
      <c r="D1017" s="32" t="s">
        <v>22</v>
      </c>
      <c r="E1017" s="32" t="s">
        <v>27</v>
      </c>
      <c r="F1017" s="32">
        <v>2</v>
      </c>
      <c r="G1017" s="32">
        <v>3</v>
      </c>
      <c r="H1017" s="32" t="s">
        <v>77</v>
      </c>
      <c r="I1017" s="32">
        <v>22</v>
      </c>
      <c r="J1017" s="32">
        <v>4229.84</v>
      </c>
      <c r="K1017" s="32">
        <v>12689.52</v>
      </c>
    </row>
    <row r="1018" spans="1:11" ht="15.5" x14ac:dyDescent="0.35">
      <c r="A1018" s="31">
        <v>45623</v>
      </c>
      <c r="B1018" s="32" t="s">
        <v>8</v>
      </c>
      <c r="C1018" s="32" t="s">
        <v>28</v>
      </c>
      <c r="D1018" s="32" t="s">
        <v>29</v>
      </c>
      <c r="E1018" s="32" t="s">
        <v>11</v>
      </c>
      <c r="F1018" s="32">
        <v>5</v>
      </c>
      <c r="G1018" s="32">
        <v>11</v>
      </c>
      <c r="H1018" s="32" t="s">
        <v>78</v>
      </c>
      <c r="I1018" s="32">
        <v>50</v>
      </c>
      <c r="J1018" s="32">
        <v>255.3</v>
      </c>
      <c r="K1018" s="32">
        <v>2808.3</v>
      </c>
    </row>
    <row r="1019" spans="1:11" ht="15.5" hidden="1" x14ac:dyDescent="0.35">
      <c r="A1019" s="31">
        <v>45624</v>
      </c>
      <c r="B1019" s="32" t="s">
        <v>8</v>
      </c>
      <c r="C1019" s="32" t="s">
        <v>28</v>
      </c>
      <c r="D1019" s="32" t="s">
        <v>30</v>
      </c>
      <c r="E1019" s="32" t="s">
        <v>15</v>
      </c>
      <c r="F1019" s="32">
        <v>1</v>
      </c>
      <c r="G1019" s="32">
        <v>1</v>
      </c>
      <c r="H1019" s="32" t="s">
        <v>53</v>
      </c>
      <c r="I1019" s="32">
        <v>39</v>
      </c>
      <c r="J1019" s="32">
        <v>4557.0600000000004</v>
      </c>
      <c r="K1019" s="32">
        <v>4557.0600000000004</v>
      </c>
    </row>
    <row r="1020" spans="1:11" ht="15.5" hidden="1" x14ac:dyDescent="0.35">
      <c r="A1020" s="31">
        <v>45625</v>
      </c>
      <c r="B1020" s="32" t="s">
        <v>8</v>
      </c>
      <c r="C1020" s="32" t="s">
        <v>28</v>
      </c>
      <c r="D1020" s="32" t="s">
        <v>29</v>
      </c>
      <c r="E1020" s="32" t="s">
        <v>27</v>
      </c>
      <c r="F1020" s="32">
        <v>2</v>
      </c>
      <c r="G1020" s="32">
        <v>10</v>
      </c>
      <c r="H1020" s="32" t="s">
        <v>48</v>
      </c>
      <c r="I1020" s="32">
        <v>31</v>
      </c>
      <c r="J1020" s="32">
        <v>843.5</v>
      </c>
      <c r="K1020" s="32">
        <v>8435</v>
      </c>
    </row>
    <row r="1021" spans="1:11" ht="15.5" x14ac:dyDescent="0.35">
      <c r="A1021" s="31">
        <v>45626</v>
      </c>
      <c r="B1021" s="32" t="s">
        <v>8</v>
      </c>
      <c r="C1021" s="32" t="s">
        <v>9</v>
      </c>
      <c r="D1021" s="32" t="s">
        <v>10</v>
      </c>
      <c r="E1021" s="32" t="s">
        <v>11</v>
      </c>
      <c r="F1021" s="32">
        <v>5</v>
      </c>
      <c r="G1021" s="32">
        <v>5</v>
      </c>
      <c r="H1021" s="32" t="s">
        <v>75</v>
      </c>
      <c r="I1021" s="32">
        <v>21</v>
      </c>
      <c r="J1021" s="32">
        <v>4987.7</v>
      </c>
      <c r="K1021" s="32">
        <v>24938.5</v>
      </c>
    </row>
    <row r="1022" spans="1:11" ht="15.5" hidden="1" x14ac:dyDescent="0.35">
      <c r="A1022" s="31">
        <v>45627</v>
      </c>
      <c r="B1022" s="32" t="s">
        <v>8</v>
      </c>
      <c r="C1022" s="32" t="s">
        <v>28</v>
      </c>
      <c r="D1022" s="32" t="s">
        <v>30</v>
      </c>
      <c r="E1022" s="32" t="s">
        <v>15</v>
      </c>
      <c r="F1022" s="32">
        <v>1</v>
      </c>
      <c r="G1022" s="32">
        <v>5</v>
      </c>
      <c r="H1022" s="32" t="s">
        <v>76</v>
      </c>
      <c r="I1022" s="32">
        <v>25</v>
      </c>
      <c r="J1022" s="32">
        <v>3860.73</v>
      </c>
      <c r="K1022" s="32">
        <v>19303.650000000001</v>
      </c>
    </row>
    <row r="1023" spans="1:11" ht="15.5" hidden="1" x14ac:dyDescent="0.35">
      <c r="A1023" s="31">
        <v>45628</v>
      </c>
      <c r="B1023" s="32" t="s">
        <v>8</v>
      </c>
      <c r="C1023" s="32" t="s">
        <v>9</v>
      </c>
      <c r="D1023" s="32" t="s">
        <v>10</v>
      </c>
      <c r="E1023" s="32" t="s">
        <v>24</v>
      </c>
      <c r="F1023" s="32">
        <v>3</v>
      </c>
      <c r="G1023" s="32">
        <v>14</v>
      </c>
      <c r="H1023" s="32" t="s">
        <v>77</v>
      </c>
      <c r="I1023" s="32">
        <v>44</v>
      </c>
      <c r="J1023" s="32">
        <v>4649.53</v>
      </c>
      <c r="K1023" s="32">
        <v>65093.42</v>
      </c>
    </row>
    <row r="1024" spans="1:11" ht="15.5" hidden="1" x14ac:dyDescent="0.35">
      <c r="A1024" s="31">
        <v>45629</v>
      </c>
      <c r="B1024" s="32" t="s">
        <v>20</v>
      </c>
      <c r="C1024" s="32" t="s">
        <v>21</v>
      </c>
      <c r="D1024" s="32" t="s">
        <v>22</v>
      </c>
      <c r="E1024" s="32" t="s">
        <v>15</v>
      </c>
      <c r="F1024" s="32">
        <v>1</v>
      </c>
      <c r="G1024" s="32">
        <v>3</v>
      </c>
      <c r="H1024" s="32" t="s">
        <v>78</v>
      </c>
      <c r="I1024" s="32">
        <v>36</v>
      </c>
      <c r="J1024" s="32">
        <v>144.38999999999999</v>
      </c>
      <c r="K1024" s="32">
        <v>433.17</v>
      </c>
    </row>
    <row r="1025" spans="1:11" ht="15.5" hidden="1" x14ac:dyDescent="0.35">
      <c r="A1025" s="31">
        <v>45630</v>
      </c>
      <c r="B1025" s="32" t="s">
        <v>12</v>
      </c>
      <c r="C1025" s="32" t="s">
        <v>13</v>
      </c>
      <c r="D1025" s="32" t="s">
        <v>26</v>
      </c>
      <c r="E1025" s="32" t="s">
        <v>24</v>
      </c>
      <c r="F1025" s="32">
        <v>3</v>
      </c>
      <c r="G1025" s="32">
        <v>15</v>
      </c>
      <c r="H1025" s="32" t="s">
        <v>53</v>
      </c>
      <c r="I1025" s="32">
        <v>55</v>
      </c>
      <c r="J1025" s="32">
        <v>4402.43</v>
      </c>
      <c r="K1025" s="32">
        <v>66036.45</v>
      </c>
    </row>
    <row r="1026" spans="1:11" ht="15.5" hidden="1" x14ac:dyDescent="0.35">
      <c r="A1026" s="31">
        <v>45631</v>
      </c>
      <c r="B1026" s="32" t="s">
        <v>8</v>
      </c>
      <c r="C1026" s="32" t="s">
        <v>9</v>
      </c>
      <c r="D1026" s="32" t="s">
        <v>31</v>
      </c>
      <c r="E1026" s="32" t="s">
        <v>15</v>
      </c>
      <c r="F1026" s="32">
        <v>1</v>
      </c>
      <c r="G1026" s="32">
        <v>8</v>
      </c>
      <c r="H1026" s="32" t="s">
        <v>48</v>
      </c>
      <c r="I1026" s="32">
        <v>42</v>
      </c>
      <c r="J1026" s="32">
        <v>1461.31</v>
      </c>
      <c r="K1026" s="32">
        <v>11690.48</v>
      </c>
    </row>
    <row r="1027" spans="1:11" ht="15.5" x14ac:dyDescent="0.35">
      <c r="A1027" s="31">
        <v>45632</v>
      </c>
      <c r="B1027" s="32" t="s">
        <v>8</v>
      </c>
      <c r="C1027" s="32" t="s">
        <v>9</v>
      </c>
      <c r="D1027" s="32" t="s">
        <v>23</v>
      </c>
      <c r="E1027" s="32" t="s">
        <v>11</v>
      </c>
      <c r="F1027" s="32">
        <v>5</v>
      </c>
      <c r="G1027" s="32">
        <v>9</v>
      </c>
      <c r="H1027" s="32" t="s">
        <v>75</v>
      </c>
      <c r="I1027" s="32">
        <v>47</v>
      </c>
      <c r="J1027" s="32">
        <v>3318.1</v>
      </c>
      <c r="K1027" s="32">
        <v>29862.9</v>
      </c>
    </row>
    <row r="1028" spans="1:11" ht="15.5" hidden="1" x14ac:dyDescent="0.35">
      <c r="A1028" s="31">
        <v>45633</v>
      </c>
      <c r="B1028" s="32" t="s">
        <v>8</v>
      </c>
      <c r="C1028" s="32" t="s">
        <v>28</v>
      </c>
      <c r="D1028" s="32" t="s">
        <v>32</v>
      </c>
      <c r="E1028" s="32" t="s">
        <v>15</v>
      </c>
      <c r="F1028" s="32">
        <v>1</v>
      </c>
      <c r="G1028" s="32">
        <v>13</v>
      </c>
      <c r="H1028" s="32" t="s">
        <v>76</v>
      </c>
      <c r="I1028" s="32">
        <v>24</v>
      </c>
      <c r="J1028" s="32">
        <v>2475.98</v>
      </c>
      <c r="K1028" s="32">
        <v>32187.74</v>
      </c>
    </row>
    <row r="1029" spans="1:11" ht="15.5" hidden="1" x14ac:dyDescent="0.35">
      <c r="A1029" s="31">
        <v>45634</v>
      </c>
      <c r="B1029" s="32" t="s">
        <v>12</v>
      </c>
      <c r="C1029" s="32" t="s">
        <v>16</v>
      </c>
      <c r="D1029" s="32" t="s">
        <v>17</v>
      </c>
      <c r="E1029" s="32" t="s">
        <v>27</v>
      </c>
      <c r="F1029" s="32">
        <v>2</v>
      </c>
      <c r="G1029" s="32">
        <v>3</v>
      </c>
      <c r="H1029" s="32" t="s">
        <v>77</v>
      </c>
      <c r="I1029" s="32">
        <v>45</v>
      </c>
      <c r="J1029" s="32">
        <v>4132.17</v>
      </c>
      <c r="K1029" s="32">
        <v>12396.51</v>
      </c>
    </row>
    <row r="1030" spans="1:11" ht="15.5" hidden="1" x14ac:dyDescent="0.35">
      <c r="A1030" s="31">
        <v>45635</v>
      </c>
      <c r="B1030" s="32" t="s">
        <v>12</v>
      </c>
      <c r="C1030" s="32" t="s">
        <v>13</v>
      </c>
      <c r="D1030" s="32" t="s">
        <v>14</v>
      </c>
      <c r="E1030" s="32" t="s">
        <v>15</v>
      </c>
      <c r="F1030" s="32">
        <v>1</v>
      </c>
      <c r="G1030" s="32">
        <v>12</v>
      </c>
      <c r="H1030" s="32" t="s">
        <v>78</v>
      </c>
      <c r="I1030" s="32">
        <v>54</v>
      </c>
      <c r="J1030" s="32">
        <v>835.83</v>
      </c>
      <c r="K1030" s="32">
        <v>10029.959999999999</v>
      </c>
    </row>
    <row r="1031" spans="1:11" ht="15.5" hidden="1" x14ac:dyDescent="0.35">
      <c r="A1031" s="31">
        <v>45636</v>
      </c>
      <c r="B1031" s="32" t="s">
        <v>20</v>
      </c>
      <c r="C1031" s="32" t="s">
        <v>21</v>
      </c>
      <c r="D1031" s="32" t="s">
        <v>22</v>
      </c>
      <c r="E1031" s="32" t="s">
        <v>24</v>
      </c>
      <c r="F1031" s="32">
        <v>3</v>
      </c>
      <c r="G1031" s="32">
        <v>12</v>
      </c>
      <c r="H1031" s="32" t="s">
        <v>53</v>
      </c>
      <c r="I1031" s="32">
        <v>16</v>
      </c>
      <c r="J1031" s="32">
        <v>1377.41</v>
      </c>
      <c r="K1031" s="32">
        <v>16528.919999999998</v>
      </c>
    </row>
    <row r="1032" spans="1:11" ht="15.5" hidden="1" x14ac:dyDescent="0.35">
      <c r="A1032" s="31">
        <v>45637</v>
      </c>
      <c r="B1032" s="32" t="s">
        <v>12</v>
      </c>
      <c r="C1032" s="32" t="s">
        <v>16</v>
      </c>
      <c r="D1032" s="32" t="s">
        <v>25</v>
      </c>
      <c r="E1032" s="32" t="s">
        <v>27</v>
      </c>
      <c r="F1032" s="32">
        <v>2</v>
      </c>
      <c r="G1032" s="32">
        <v>2</v>
      </c>
      <c r="H1032" s="32" t="s">
        <v>48</v>
      </c>
      <c r="I1032" s="32">
        <v>16</v>
      </c>
      <c r="J1032" s="32">
        <v>1983.93</v>
      </c>
      <c r="K1032" s="32">
        <v>3967.86</v>
      </c>
    </row>
    <row r="1033" spans="1:11" ht="15.5" hidden="1" x14ac:dyDescent="0.35">
      <c r="A1033" s="31">
        <v>45638</v>
      </c>
      <c r="B1033" s="32" t="s">
        <v>8</v>
      </c>
      <c r="C1033" s="32" t="s">
        <v>9</v>
      </c>
      <c r="D1033" s="32" t="s">
        <v>10</v>
      </c>
      <c r="E1033" s="32" t="s">
        <v>24</v>
      </c>
      <c r="F1033" s="32">
        <v>3</v>
      </c>
      <c r="G1033" s="32">
        <v>8</v>
      </c>
      <c r="H1033" s="32" t="s">
        <v>75</v>
      </c>
      <c r="I1033" s="32">
        <v>26</v>
      </c>
      <c r="J1033" s="32">
        <v>4621.75</v>
      </c>
      <c r="K1033" s="32">
        <v>36974</v>
      </c>
    </row>
    <row r="1034" spans="1:11" ht="15.5" hidden="1" x14ac:dyDescent="0.35">
      <c r="A1034" s="31">
        <v>45639</v>
      </c>
      <c r="B1034" s="32" t="s">
        <v>12</v>
      </c>
      <c r="C1034" s="32" t="s">
        <v>13</v>
      </c>
      <c r="D1034" s="32" t="s">
        <v>33</v>
      </c>
      <c r="E1034" s="32" t="s">
        <v>18</v>
      </c>
      <c r="F1034" s="32">
        <v>4</v>
      </c>
      <c r="G1034" s="32">
        <v>8</v>
      </c>
      <c r="H1034" s="32" t="s">
        <v>76</v>
      </c>
      <c r="I1034" s="32">
        <v>23</v>
      </c>
      <c r="J1034" s="32">
        <v>2342.02</v>
      </c>
      <c r="K1034" s="32">
        <v>18736.16</v>
      </c>
    </row>
    <row r="1035" spans="1:11" ht="15.5" hidden="1" x14ac:dyDescent="0.35">
      <c r="A1035" s="31">
        <v>45640</v>
      </c>
      <c r="B1035" s="32" t="s">
        <v>8</v>
      </c>
      <c r="C1035" s="32" t="s">
        <v>9</v>
      </c>
      <c r="D1035" s="32" t="s">
        <v>10</v>
      </c>
      <c r="E1035" s="32" t="s">
        <v>24</v>
      </c>
      <c r="F1035" s="32">
        <v>3</v>
      </c>
      <c r="G1035" s="32">
        <v>9</v>
      </c>
      <c r="H1035" s="32" t="s">
        <v>77</v>
      </c>
      <c r="I1035" s="32">
        <v>21</v>
      </c>
      <c r="J1035" s="32">
        <v>489.27</v>
      </c>
      <c r="K1035" s="32">
        <v>4403.43</v>
      </c>
    </row>
    <row r="1036" spans="1:11" ht="15.5" hidden="1" x14ac:dyDescent="0.35">
      <c r="A1036" s="31">
        <v>45641</v>
      </c>
      <c r="B1036" s="32" t="s">
        <v>12</v>
      </c>
      <c r="C1036" s="32" t="s">
        <v>16</v>
      </c>
      <c r="D1036" s="32" t="s">
        <v>25</v>
      </c>
      <c r="E1036" s="32" t="s">
        <v>24</v>
      </c>
      <c r="F1036" s="32">
        <v>3</v>
      </c>
      <c r="G1036" s="32">
        <v>3</v>
      </c>
      <c r="H1036" s="32" t="s">
        <v>78</v>
      </c>
      <c r="I1036" s="32">
        <v>17</v>
      </c>
      <c r="J1036" s="32">
        <v>2444.6</v>
      </c>
      <c r="K1036" s="32">
        <v>7333.8</v>
      </c>
    </row>
    <row r="1037" spans="1:11" ht="15.5" x14ac:dyDescent="0.35">
      <c r="A1037" s="31">
        <v>45642</v>
      </c>
      <c r="B1037" s="32" t="s">
        <v>12</v>
      </c>
      <c r="C1037" s="32" t="s">
        <v>16</v>
      </c>
      <c r="D1037" s="32" t="s">
        <v>17</v>
      </c>
      <c r="E1037" s="32" t="s">
        <v>11</v>
      </c>
      <c r="F1037" s="32">
        <v>5</v>
      </c>
      <c r="G1037" s="32">
        <v>5</v>
      </c>
      <c r="H1037" s="32" t="s">
        <v>53</v>
      </c>
      <c r="I1037" s="32">
        <v>55</v>
      </c>
      <c r="J1037" s="32">
        <v>1346.45</v>
      </c>
      <c r="K1037" s="32">
        <v>6732.25</v>
      </c>
    </row>
    <row r="1038" spans="1:11" ht="15.5" hidden="1" x14ac:dyDescent="0.35">
      <c r="A1038" s="31">
        <v>45643</v>
      </c>
      <c r="B1038" s="32" t="s">
        <v>8</v>
      </c>
      <c r="C1038" s="32" t="s">
        <v>9</v>
      </c>
      <c r="D1038" s="32" t="s">
        <v>31</v>
      </c>
      <c r="E1038" s="32" t="s">
        <v>24</v>
      </c>
      <c r="F1038" s="32">
        <v>3</v>
      </c>
      <c r="G1038" s="32">
        <v>17</v>
      </c>
      <c r="H1038" s="32" t="s">
        <v>48</v>
      </c>
      <c r="I1038" s="32">
        <v>47</v>
      </c>
      <c r="J1038" s="32">
        <v>1333.71</v>
      </c>
      <c r="K1038" s="32">
        <v>22673.07</v>
      </c>
    </row>
    <row r="1039" spans="1:11" ht="15.5" hidden="1" x14ac:dyDescent="0.35">
      <c r="A1039" s="31">
        <v>45644</v>
      </c>
      <c r="B1039" s="32" t="s">
        <v>12</v>
      </c>
      <c r="C1039" s="32" t="s">
        <v>13</v>
      </c>
      <c r="D1039" s="32" t="s">
        <v>33</v>
      </c>
      <c r="E1039" s="32" t="s">
        <v>27</v>
      </c>
      <c r="F1039" s="32">
        <v>2</v>
      </c>
      <c r="G1039" s="32">
        <v>2</v>
      </c>
      <c r="H1039" s="32" t="s">
        <v>75</v>
      </c>
      <c r="I1039" s="32">
        <v>33</v>
      </c>
      <c r="J1039" s="32">
        <v>2287.09</v>
      </c>
      <c r="K1039" s="32">
        <v>4574.18</v>
      </c>
    </row>
    <row r="1040" spans="1:11" ht="15.5" hidden="1" x14ac:dyDescent="0.35">
      <c r="A1040" s="31">
        <v>45645</v>
      </c>
      <c r="B1040" s="32" t="s">
        <v>8</v>
      </c>
      <c r="C1040" s="32" t="s">
        <v>28</v>
      </c>
      <c r="D1040" s="32" t="s">
        <v>29</v>
      </c>
      <c r="E1040" s="32" t="s">
        <v>27</v>
      </c>
      <c r="F1040" s="32">
        <v>2</v>
      </c>
      <c r="G1040" s="32">
        <v>12</v>
      </c>
      <c r="H1040" s="32" t="s">
        <v>76</v>
      </c>
      <c r="I1040" s="32">
        <v>24</v>
      </c>
      <c r="J1040" s="32">
        <v>2384.1</v>
      </c>
      <c r="K1040" s="32">
        <v>28609.200000000001</v>
      </c>
    </row>
    <row r="1041" spans="1:11" ht="15.5" x14ac:dyDescent="0.35">
      <c r="A1041" s="31">
        <v>45646</v>
      </c>
      <c r="B1041" s="32" t="s">
        <v>8</v>
      </c>
      <c r="C1041" s="32" t="s">
        <v>28</v>
      </c>
      <c r="D1041" s="32" t="s">
        <v>30</v>
      </c>
      <c r="E1041" s="32" t="s">
        <v>11</v>
      </c>
      <c r="F1041" s="32">
        <v>5</v>
      </c>
      <c r="G1041" s="32">
        <v>2</v>
      </c>
      <c r="H1041" s="32" t="s">
        <v>77</v>
      </c>
      <c r="I1041" s="32">
        <v>55</v>
      </c>
      <c r="J1041" s="32">
        <v>3037.55</v>
      </c>
      <c r="K1041" s="32">
        <v>6075.1</v>
      </c>
    </row>
    <row r="1042" spans="1:11" ht="15.5" x14ac:dyDescent="0.35">
      <c r="A1042" s="31">
        <v>45647</v>
      </c>
      <c r="B1042" s="32" t="s">
        <v>8</v>
      </c>
      <c r="C1042" s="32" t="s">
        <v>9</v>
      </c>
      <c r="D1042" s="32" t="s">
        <v>10</v>
      </c>
      <c r="E1042" s="32" t="s">
        <v>11</v>
      </c>
      <c r="F1042" s="32">
        <v>5</v>
      </c>
      <c r="G1042" s="32">
        <v>7</v>
      </c>
      <c r="H1042" s="32" t="s">
        <v>78</v>
      </c>
      <c r="I1042" s="32">
        <v>33</v>
      </c>
      <c r="J1042" s="32">
        <v>3163.37</v>
      </c>
      <c r="K1042" s="32">
        <v>22143.59</v>
      </c>
    </row>
    <row r="1043" spans="1:11" ht="15.5" x14ac:dyDescent="0.35">
      <c r="A1043" s="31">
        <v>45648</v>
      </c>
      <c r="B1043" s="32" t="s">
        <v>8</v>
      </c>
      <c r="C1043" s="32" t="s">
        <v>9</v>
      </c>
      <c r="D1043" s="32" t="s">
        <v>31</v>
      </c>
      <c r="E1043" s="32" t="s">
        <v>11</v>
      </c>
      <c r="F1043" s="32">
        <v>5</v>
      </c>
      <c r="G1043" s="32">
        <v>13</v>
      </c>
      <c r="H1043" s="32" t="s">
        <v>53</v>
      </c>
      <c r="I1043" s="32">
        <v>41</v>
      </c>
      <c r="J1043" s="32">
        <v>4985.82</v>
      </c>
      <c r="K1043" s="32">
        <v>64815.66</v>
      </c>
    </row>
    <row r="1044" spans="1:11" ht="15.5" hidden="1" x14ac:dyDescent="0.35">
      <c r="A1044" s="31">
        <v>45649</v>
      </c>
      <c r="B1044" s="32" t="s">
        <v>8</v>
      </c>
      <c r="C1044" s="32" t="s">
        <v>28</v>
      </c>
      <c r="D1044" s="32" t="s">
        <v>32</v>
      </c>
      <c r="E1044" s="32" t="s">
        <v>24</v>
      </c>
      <c r="F1044" s="32">
        <v>3</v>
      </c>
      <c r="G1044" s="32">
        <v>8</v>
      </c>
      <c r="H1044" s="32" t="s">
        <v>48</v>
      </c>
      <c r="I1044" s="32">
        <v>17</v>
      </c>
      <c r="J1044" s="32">
        <v>285.94</v>
      </c>
      <c r="K1044" s="32">
        <v>2287.52</v>
      </c>
    </row>
  </sheetData>
  <autoFilter ref="A1:K1044" xr:uid="{BBDAD4E8-D4F4-4212-A847-29D595DDC480}">
    <filterColumn colId="4">
      <filters>
        <filter val="Stationery"/>
      </filters>
    </filterColumn>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F5997-B31A-4754-B137-7514B21E905A}">
  <dimension ref="A1:J17"/>
  <sheetViews>
    <sheetView workbookViewId="0">
      <selection activeCell="G5" sqref="G5"/>
    </sheetView>
  </sheetViews>
  <sheetFormatPr defaultRowHeight="14.5" x14ac:dyDescent="0.35"/>
  <cols>
    <col min="1" max="1" width="11.7265625" customWidth="1"/>
    <col min="2" max="2" width="10.1796875" customWidth="1"/>
    <col min="3" max="3" width="10.08984375" bestFit="1" customWidth="1"/>
    <col min="8" max="8" width="11.7265625" customWidth="1"/>
    <col min="9" max="9" width="10" bestFit="1" customWidth="1"/>
    <col min="10" max="10" width="6.90625" customWidth="1"/>
  </cols>
  <sheetData>
    <row r="1" spans="1:10" x14ac:dyDescent="0.35">
      <c r="A1" s="40" t="s">
        <v>250</v>
      </c>
      <c r="B1" s="41" t="s">
        <v>5</v>
      </c>
      <c r="C1" s="42" t="s">
        <v>251</v>
      </c>
    </row>
    <row r="2" spans="1:10" x14ac:dyDescent="0.35">
      <c r="A2" s="38">
        <v>1002</v>
      </c>
      <c r="B2" s="37">
        <v>29</v>
      </c>
      <c r="C2" s="39">
        <v>44114</v>
      </c>
      <c r="H2" s="40" t="s">
        <v>250</v>
      </c>
      <c r="I2" s="41" t="s">
        <v>252</v>
      </c>
      <c r="J2" s="42" t="s">
        <v>253</v>
      </c>
    </row>
    <row r="3" spans="1:10" x14ac:dyDescent="0.35">
      <c r="A3" s="38">
        <v>1002</v>
      </c>
      <c r="B3" s="37">
        <v>93</v>
      </c>
      <c r="C3" s="39">
        <v>44118</v>
      </c>
      <c r="H3" s="38">
        <v>1001</v>
      </c>
      <c r="I3" s="37" t="s">
        <v>254</v>
      </c>
      <c r="J3" s="46">
        <v>30</v>
      </c>
    </row>
    <row r="4" spans="1:10" x14ac:dyDescent="0.35">
      <c r="A4" s="38">
        <v>1002</v>
      </c>
      <c r="B4" s="37">
        <v>46</v>
      </c>
      <c r="C4" s="39">
        <v>44126</v>
      </c>
      <c r="H4" s="38">
        <v>1002</v>
      </c>
      <c r="I4" s="37" t="s">
        <v>255</v>
      </c>
      <c r="J4" s="46">
        <v>15</v>
      </c>
    </row>
    <row r="5" spans="1:10" x14ac:dyDescent="0.35">
      <c r="A5" s="38">
        <v>1003</v>
      </c>
      <c r="B5" s="37">
        <v>32</v>
      </c>
      <c r="C5" s="39">
        <v>44126</v>
      </c>
      <c r="H5" s="38">
        <v>1003</v>
      </c>
      <c r="I5" s="37" t="s">
        <v>256</v>
      </c>
      <c r="J5" s="46">
        <v>25</v>
      </c>
    </row>
    <row r="6" spans="1:10" x14ac:dyDescent="0.35">
      <c r="A6" s="38">
        <v>1001</v>
      </c>
      <c r="B6" s="37">
        <v>93</v>
      </c>
      <c r="C6" s="39">
        <v>44130</v>
      </c>
      <c r="H6" s="38">
        <v>1004</v>
      </c>
      <c r="I6" s="37" t="s">
        <v>257</v>
      </c>
      <c r="J6" s="46">
        <v>28</v>
      </c>
    </row>
    <row r="7" spans="1:10" x14ac:dyDescent="0.35">
      <c r="A7" s="38">
        <v>1004</v>
      </c>
      <c r="B7" s="37">
        <v>80</v>
      </c>
      <c r="C7" s="39">
        <v>44137</v>
      </c>
      <c r="H7" s="43">
        <v>1005</v>
      </c>
      <c r="I7" s="44" t="s">
        <v>258</v>
      </c>
      <c r="J7" s="47">
        <v>40</v>
      </c>
    </row>
    <row r="8" spans="1:10" x14ac:dyDescent="0.35">
      <c r="A8" s="38">
        <v>1001</v>
      </c>
      <c r="B8" s="37">
        <v>57</v>
      </c>
      <c r="C8" s="39">
        <v>44139</v>
      </c>
    </row>
    <row r="9" spans="1:10" x14ac:dyDescent="0.35">
      <c r="A9" s="38">
        <v>1004</v>
      </c>
      <c r="B9" s="37">
        <v>66</v>
      </c>
      <c r="C9" s="39">
        <v>44147</v>
      </c>
    </row>
    <row r="10" spans="1:10" x14ac:dyDescent="0.35">
      <c r="A10" s="38">
        <v>1002</v>
      </c>
      <c r="B10" s="37">
        <v>42</v>
      </c>
      <c r="C10" s="39">
        <v>44148</v>
      </c>
    </row>
    <row r="11" spans="1:10" x14ac:dyDescent="0.35">
      <c r="A11" s="38">
        <v>1002</v>
      </c>
      <c r="B11" s="37">
        <v>45</v>
      </c>
      <c r="C11" s="39">
        <v>44150</v>
      </c>
    </row>
    <row r="12" spans="1:10" x14ac:dyDescent="0.35">
      <c r="A12" s="38">
        <v>1004</v>
      </c>
      <c r="B12" s="37">
        <v>59</v>
      </c>
      <c r="C12" s="39">
        <v>44151</v>
      </c>
    </row>
    <row r="13" spans="1:10" x14ac:dyDescent="0.35">
      <c r="A13" s="38">
        <v>1005</v>
      </c>
      <c r="B13" s="37">
        <v>42</v>
      </c>
      <c r="C13" s="39">
        <v>44154</v>
      </c>
    </row>
    <row r="14" spans="1:10" x14ac:dyDescent="0.35">
      <c r="A14" s="38">
        <v>1003</v>
      </c>
      <c r="B14" s="37">
        <v>56</v>
      </c>
      <c r="C14" s="39">
        <v>44155</v>
      </c>
    </row>
    <row r="15" spans="1:10" x14ac:dyDescent="0.35">
      <c r="A15" s="38">
        <v>1001</v>
      </c>
      <c r="B15" s="37">
        <v>54</v>
      </c>
      <c r="C15" s="39">
        <v>44156</v>
      </c>
    </row>
    <row r="16" spans="1:10" x14ac:dyDescent="0.35">
      <c r="A16" s="38">
        <v>1005</v>
      </c>
      <c r="B16" s="37">
        <v>59</v>
      </c>
      <c r="C16" s="39">
        <v>44156</v>
      </c>
    </row>
    <row r="17" spans="1:3" x14ac:dyDescent="0.35">
      <c r="A17" s="43">
        <v>1005</v>
      </c>
      <c r="B17" s="44">
        <v>15</v>
      </c>
      <c r="C17" s="45">
        <v>44159</v>
      </c>
    </row>
  </sheetData>
  <pageMargins left="0.7" right="0.7" top="0.75" bottom="0.75"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40A9-5F6B-40CC-9FE8-5A1678E38976}">
  <dimension ref="A1:L13"/>
  <sheetViews>
    <sheetView workbookViewId="0">
      <selection activeCell="I4" sqref="I4"/>
    </sheetView>
  </sheetViews>
  <sheetFormatPr defaultRowHeight="14.5" x14ac:dyDescent="0.35"/>
  <cols>
    <col min="1" max="1" width="11.08984375" bestFit="1" customWidth="1"/>
    <col min="2" max="2" width="7.81640625" customWidth="1"/>
    <col min="3" max="3" width="11.81640625" bestFit="1" customWidth="1"/>
    <col min="4" max="4" width="8.453125" bestFit="1" customWidth="1"/>
    <col min="6" max="6" width="19.7265625" customWidth="1"/>
    <col min="7" max="7" width="10.36328125" bestFit="1" customWidth="1"/>
    <col min="11" max="11" width="15.1796875" bestFit="1" customWidth="1"/>
    <col min="12" max="12" width="10.08984375" bestFit="1" customWidth="1"/>
    <col min="13" max="13" width="11.54296875" customWidth="1"/>
  </cols>
  <sheetData>
    <row r="1" spans="1:12" x14ac:dyDescent="0.35">
      <c r="A1" s="48" t="s">
        <v>243</v>
      </c>
      <c r="B1" s="48" t="s">
        <v>259</v>
      </c>
      <c r="C1" s="49" t="s">
        <v>260</v>
      </c>
      <c r="D1" s="48" t="s">
        <v>261</v>
      </c>
      <c r="F1" s="25" t="s">
        <v>265</v>
      </c>
    </row>
    <row r="2" spans="1:12" x14ac:dyDescent="0.35">
      <c r="A2" s="1" t="s">
        <v>262</v>
      </c>
      <c r="B2" s="1">
        <v>72704</v>
      </c>
      <c r="C2" s="1" t="str">
        <f>IF(B2&gt;=50000,$G$3,$G$4)</f>
        <v xml:space="preserve">Completed </v>
      </c>
      <c r="D2" s="1">
        <f>IF(B2&gt;75000,B2*20/100,IF(B2&gt;50000,B2*15/100,B2*10/100))</f>
        <v>10905.6</v>
      </c>
      <c r="F2" t="s">
        <v>266</v>
      </c>
      <c r="G2" t="s">
        <v>224</v>
      </c>
    </row>
    <row r="3" spans="1:12" x14ac:dyDescent="0.35">
      <c r="A3" s="1" t="s">
        <v>263</v>
      </c>
      <c r="B3" s="1">
        <v>44718</v>
      </c>
      <c r="C3" s="1" t="str">
        <f t="shared" ref="C3:C13" si="0">IF(B3&gt;=50000,$G$3,$G$4)</f>
        <v>Incomplete</v>
      </c>
      <c r="D3" s="1">
        <f t="shared" ref="D3:D13" si="1">IF(B3&gt;75000,B3*20/100,IF(B3&gt;50000,B3*15/100,B3*10/100))</f>
        <v>4471.8</v>
      </c>
      <c r="F3" t="s">
        <v>267</v>
      </c>
      <c r="G3" t="s">
        <v>268</v>
      </c>
      <c r="I3" s="63"/>
    </row>
    <row r="4" spans="1:12" x14ac:dyDescent="0.35">
      <c r="A4" s="1" t="s">
        <v>259</v>
      </c>
      <c r="B4" s="1">
        <v>35210</v>
      </c>
      <c r="C4" s="1" t="str">
        <f t="shared" si="0"/>
        <v>Incomplete</v>
      </c>
      <c r="D4" s="1">
        <f t="shared" si="1"/>
        <v>3521</v>
      </c>
      <c r="F4" t="s">
        <v>269</v>
      </c>
      <c r="G4" t="s">
        <v>264</v>
      </c>
      <c r="I4" s="64" t="str">
        <f>CHOOSE(3,"Red","Blue","Green","Yellow")</f>
        <v>Green</v>
      </c>
      <c r="K4" s="17"/>
      <c r="L4" s="17"/>
    </row>
    <row r="5" spans="1:12" x14ac:dyDescent="0.35">
      <c r="A5" s="1" t="s">
        <v>262</v>
      </c>
      <c r="B5" s="1">
        <v>30681</v>
      </c>
      <c r="C5" s="1" t="str">
        <f t="shared" si="0"/>
        <v>Incomplete</v>
      </c>
      <c r="D5" s="1">
        <f t="shared" si="1"/>
        <v>3068.1</v>
      </c>
      <c r="K5" s="17"/>
    </row>
    <row r="6" spans="1:12" x14ac:dyDescent="0.35">
      <c r="A6" s="1" t="s">
        <v>263</v>
      </c>
      <c r="B6" s="1">
        <v>47487</v>
      </c>
      <c r="C6" s="1" t="str">
        <f t="shared" si="0"/>
        <v>Incomplete</v>
      </c>
      <c r="D6" s="1">
        <f t="shared" si="1"/>
        <v>4748.7</v>
      </c>
      <c r="F6" s="86" t="s">
        <v>270</v>
      </c>
      <c r="G6" s="86"/>
    </row>
    <row r="7" spans="1:12" x14ac:dyDescent="0.35">
      <c r="A7" s="1" t="s">
        <v>263</v>
      </c>
      <c r="B7" s="1">
        <v>30000</v>
      </c>
      <c r="C7" s="1" t="str">
        <f t="shared" si="0"/>
        <v>Incomplete</v>
      </c>
      <c r="D7" s="1">
        <f t="shared" si="1"/>
        <v>3000</v>
      </c>
      <c r="F7" t="s">
        <v>259</v>
      </c>
      <c r="G7" t="s">
        <v>271</v>
      </c>
    </row>
    <row r="8" spans="1:12" x14ac:dyDescent="0.35">
      <c r="A8" s="1" t="s">
        <v>259</v>
      </c>
      <c r="B8" s="1">
        <v>63671</v>
      </c>
      <c r="C8" s="1" t="str">
        <f t="shared" si="0"/>
        <v xml:space="preserve">Completed </v>
      </c>
      <c r="D8" s="1">
        <f t="shared" si="1"/>
        <v>9550.65</v>
      </c>
      <c r="F8" t="s">
        <v>272</v>
      </c>
      <c r="G8" s="50">
        <v>0.2</v>
      </c>
    </row>
    <row r="9" spans="1:12" x14ac:dyDescent="0.35">
      <c r="A9" s="1" t="s">
        <v>262</v>
      </c>
      <c r="B9" s="1">
        <v>38966</v>
      </c>
      <c r="C9" s="1" t="str">
        <f t="shared" si="0"/>
        <v>Incomplete</v>
      </c>
      <c r="D9" s="1">
        <f t="shared" si="1"/>
        <v>3896.6</v>
      </c>
      <c r="F9" t="s">
        <v>273</v>
      </c>
      <c r="G9" s="50">
        <v>0.15</v>
      </c>
      <c r="L9" s="62"/>
    </row>
    <row r="10" spans="1:12" x14ac:dyDescent="0.35">
      <c r="A10" s="1" t="s">
        <v>263</v>
      </c>
      <c r="B10" s="1">
        <v>77052</v>
      </c>
      <c r="C10" s="1" t="str">
        <f t="shared" si="0"/>
        <v xml:space="preserve">Completed </v>
      </c>
      <c r="D10" s="1">
        <f t="shared" si="1"/>
        <v>15410.4</v>
      </c>
      <c r="F10" t="s">
        <v>269</v>
      </c>
      <c r="G10" s="50">
        <v>0.1</v>
      </c>
    </row>
    <row r="11" spans="1:12" x14ac:dyDescent="0.35">
      <c r="A11" s="1" t="s">
        <v>259</v>
      </c>
      <c r="B11" s="1">
        <v>86570</v>
      </c>
      <c r="C11" s="1" t="str">
        <f t="shared" si="0"/>
        <v xml:space="preserve">Completed </v>
      </c>
      <c r="D11" s="1">
        <f t="shared" si="1"/>
        <v>17314</v>
      </c>
    </row>
    <row r="12" spans="1:12" x14ac:dyDescent="0.35">
      <c r="A12" s="1" t="s">
        <v>259</v>
      </c>
      <c r="B12" s="1">
        <v>30250</v>
      </c>
      <c r="C12" s="1" t="str">
        <f t="shared" si="0"/>
        <v>Incomplete</v>
      </c>
      <c r="D12" s="1">
        <f t="shared" si="1"/>
        <v>3025</v>
      </c>
    </row>
    <row r="13" spans="1:12" x14ac:dyDescent="0.35">
      <c r="A13" s="1" t="s">
        <v>263</v>
      </c>
      <c r="B13" s="1">
        <v>71584</v>
      </c>
      <c r="C13" s="1" t="str">
        <f t="shared" si="0"/>
        <v xml:space="preserve">Completed </v>
      </c>
      <c r="D13" s="1">
        <f t="shared" si="1"/>
        <v>10737.6</v>
      </c>
    </row>
  </sheetData>
  <mergeCells count="1">
    <mergeCell ref="F6:G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5BF4-6C70-491E-9461-AB1A29EAD81E}">
  <dimension ref="A1:N14"/>
  <sheetViews>
    <sheetView topLeftCell="B1" workbookViewId="0">
      <selection activeCell="J7" sqref="J7"/>
    </sheetView>
  </sheetViews>
  <sheetFormatPr defaultRowHeight="14.5" x14ac:dyDescent="0.35"/>
  <cols>
    <col min="1" max="1" width="11.08984375" bestFit="1" customWidth="1"/>
    <col min="2" max="2" width="14.1796875" bestFit="1" customWidth="1"/>
    <col min="3" max="3" width="11.1796875" bestFit="1" customWidth="1"/>
    <col min="4" max="4" width="14.54296875" bestFit="1" customWidth="1"/>
    <col min="5" max="5" width="7.54296875" bestFit="1" customWidth="1"/>
    <col min="6" max="6" width="14.54296875" bestFit="1" customWidth="1"/>
    <col min="7" max="7" width="3.81640625" bestFit="1" customWidth="1"/>
    <col min="8" max="8" width="9.6328125" bestFit="1" customWidth="1"/>
    <col min="12" max="12" width="13.08984375" bestFit="1" customWidth="1"/>
    <col min="14" max="14" width="13.54296875" customWidth="1"/>
  </cols>
  <sheetData>
    <row r="1" spans="1:14" x14ac:dyDescent="0.35">
      <c r="A1" s="48" t="s">
        <v>243</v>
      </c>
      <c r="B1" s="48" t="s">
        <v>274</v>
      </c>
      <c r="C1" s="51" t="s">
        <v>275</v>
      </c>
      <c r="D1" s="49" t="s">
        <v>276</v>
      </c>
      <c r="E1" s="49" t="s">
        <v>277</v>
      </c>
      <c r="F1" t="s">
        <v>278</v>
      </c>
    </row>
    <row r="2" spans="1:14" x14ac:dyDescent="0.35">
      <c r="A2" s="1" t="s">
        <v>262</v>
      </c>
      <c r="B2" s="1">
        <v>5</v>
      </c>
      <c r="C2" s="52">
        <v>41954</v>
      </c>
      <c r="D2" s="1" t="str">
        <f>IF(OR(A2=$F$4,B2&gt;=5),"yes","no")</f>
        <v>yes</v>
      </c>
      <c r="E2" s="1"/>
    </row>
    <row r="3" spans="1:14" x14ac:dyDescent="0.35">
      <c r="A3" s="1" t="s">
        <v>263</v>
      </c>
      <c r="B3" s="1">
        <v>4</v>
      </c>
      <c r="C3" s="52">
        <v>49855</v>
      </c>
      <c r="D3" s="1" t="str">
        <f t="shared" ref="D3:D13" si="0">IF(OR(A3=$F$4,B3&gt;=5),"yes","no")</f>
        <v>no</v>
      </c>
      <c r="E3" s="1"/>
      <c r="F3" s="87" t="s">
        <v>279</v>
      </c>
      <c r="G3" s="88"/>
      <c r="H3" s="53" t="s">
        <v>280</v>
      </c>
    </row>
    <row r="4" spans="1:14" x14ac:dyDescent="0.35">
      <c r="A4" s="1" t="s">
        <v>259</v>
      </c>
      <c r="B4" s="1">
        <v>3</v>
      </c>
      <c r="C4" s="52">
        <v>94210</v>
      </c>
      <c r="D4" s="1" t="str">
        <f t="shared" si="0"/>
        <v>no</v>
      </c>
      <c r="E4" s="1"/>
      <c r="F4" s="54" t="s">
        <v>262</v>
      </c>
      <c r="G4" s="1" t="s">
        <v>281</v>
      </c>
      <c r="H4" s="53" t="s">
        <v>282</v>
      </c>
    </row>
    <row r="5" spans="1:14" x14ac:dyDescent="0.35">
      <c r="A5" s="1" t="s">
        <v>262</v>
      </c>
      <c r="B5" s="1">
        <v>5</v>
      </c>
      <c r="C5" s="52">
        <v>74689</v>
      </c>
      <c r="D5" s="1" t="str">
        <f t="shared" si="0"/>
        <v>yes</v>
      </c>
      <c r="E5" s="1"/>
    </row>
    <row r="6" spans="1:14" x14ac:dyDescent="0.35">
      <c r="A6" s="1" t="s">
        <v>263</v>
      </c>
      <c r="B6" s="1">
        <v>6</v>
      </c>
      <c r="C6" s="52">
        <v>90652</v>
      </c>
      <c r="D6" s="1" t="str">
        <f t="shared" si="0"/>
        <v>yes</v>
      </c>
      <c r="E6" s="1"/>
    </row>
    <row r="7" spans="1:14" x14ac:dyDescent="0.35">
      <c r="A7" s="1" t="s">
        <v>263</v>
      </c>
      <c r="B7" s="1">
        <v>2</v>
      </c>
      <c r="C7" s="52">
        <v>74820</v>
      </c>
      <c r="D7" s="1" t="str">
        <f t="shared" si="0"/>
        <v>no</v>
      </c>
      <c r="E7" s="1"/>
      <c r="F7" s="87" t="s">
        <v>283</v>
      </c>
      <c r="G7" s="88"/>
      <c r="H7" s="53" t="s">
        <v>280</v>
      </c>
      <c r="L7" t="s">
        <v>445</v>
      </c>
      <c r="M7" t="str">
        <f>RIGHT(L7,LEN(L7)-FIND(" ",L7))</f>
        <v>Dhakad</v>
      </c>
    </row>
    <row r="8" spans="1:14" x14ac:dyDescent="0.35">
      <c r="A8" s="1" t="s">
        <v>259</v>
      </c>
      <c r="B8" s="1">
        <v>3</v>
      </c>
      <c r="C8" s="52">
        <v>85206</v>
      </c>
      <c r="D8" s="1" t="str">
        <f t="shared" si="0"/>
        <v>no</v>
      </c>
      <c r="E8" s="1"/>
      <c r="F8" s="54" t="s">
        <v>262</v>
      </c>
      <c r="G8" s="1" t="s">
        <v>284</v>
      </c>
      <c r="H8" s="53" t="s">
        <v>282</v>
      </c>
      <c r="L8" t="s">
        <v>446</v>
      </c>
      <c r="M8" t="str">
        <f t="shared" ref="M8:M11" si="1">RIGHT(L8,LEN(L8)-FIND(" ",L8))</f>
        <v>Mohan</v>
      </c>
      <c r="N8">
        <f t="shared" ref="N8:N11" si="2">LEN(L8)-FIND(" ",L8)</f>
        <v>5</v>
      </c>
    </row>
    <row r="9" spans="1:14" x14ac:dyDescent="0.35">
      <c r="A9" s="1" t="s">
        <v>262</v>
      </c>
      <c r="B9" s="1">
        <v>5</v>
      </c>
      <c r="C9" s="52">
        <v>30924</v>
      </c>
      <c r="D9" s="1" t="str">
        <f t="shared" si="0"/>
        <v>yes</v>
      </c>
      <c r="E9" s="1"/>
      <c r="L9" t="s">
        <v>447</v>
      </c>
      <c r="M9" t="str">
        <f t="shared" si="1"/>
        <v>Sagar</v>
      </c>
      <c r="N9">
        <f t="shared" si="2"/>
        <v>5</v>
      </c>
    </row>
    <row r="10" spans="1:14" x14ac:dyDescent="0.35">
      <c r="A10" s="1" t="s">
        <v>263</v>
      </c>
      <c r="B10" s="1">
        <v>6</v>
      </c>
      <c r="C10" s="52">
        <v>57737</v>
      </c>
      <c r="D10" s="1" t="str">
        <f t="shared" si="0"/>
        <v>yes</v>
      </c>
      <c r="E10" s="1"/>
      <c r="L10" t="s">
        <v>448</v>
      </c>
      <c r="M10" t="str">
        <f t="shared" si="1"/>
        <v>Rajput</v>
      </c>
      <c r="N10">
        <f t="shared" si="2"/>
        <v>6</v>
      </c>
    </row>
    <row r="11" spans="1:14" x14ac:dyDescent="0.35">
      <c r="A11" s="1" t="s">
        <v>259</v>
      </c>
      <c r="B11" s="1">
        <v>2</v>
      </c>
      <c r="C11" s="52">
        <v>36000</v>
      </c>
      <c r="D11" s="1" t="str">
        <f t="shared" si="0"/>
        <v>no</v>
      </c>
      <c r="E11" s="1"/>
      <c r="L11" t="s">
        <v>449</v>
      </c>
      <c r="M11" t="str">
        <f t="shared" si="1"/>
        <v>mohit</v>
      </c>
      <c r="N11">
        <f t="shared" si="2"/>
        <v>5</v>
      </c>
    </row>
    <row r="12" spans="1:14" x14ac:dyDescent="0.35">
      <c r="A12" s="1" t="s">
        <v>259</v>
      </c>
      <c r="B12" s="1">
        <v>7</v>
      </c>
      <c r="C12" s="52">
        <v>96371</v>
      </c>
      <c r="D12" s="1" t="str">
        <f t="shared" si="0"/>
        <v>yes</v>
      </c>
      <c r="E12" s="1"/>
    </row>
    <row r="13" spans="1:14" x14ac:dyDescent="0.35">
      <c r="A13" s="1" t="s">
        <v>263</v>
      </c>
      <c r="B13" s="1">
        <v>7</v>
      </c>
      <c r="C13" s="52">
        <v>85028</v>
      </c>
      <c r="D13" s="1" t="str">
        <f t="shared" si="0"/>
        <v>yes</v>
      </c>
      <c r="E13" s="1"/>
    </row>
    <row r="14" spans="1:14" x14ac:dyDescent="0.35">
      <c r="L14" t="str">
        <f>MID(L7,1,FIND(" ",L7)-1)</f>
        <v>Vikash</v>
      </c>
    </row>
  </sheetData>
  <mergeCells count="2">
    <mergeCell ref="F3:G3"/>
    <mergeCell ref="F7:G7"/>
  </mergeCells>
  <conditionalFormatting sqref="A2:C13 F8">
    <cfRule type="expression" dxfId="5" priority="2">
      <formula>$D2=$G$3</formula>
    </cfRule>
  </conditionalFormatting>
  <conditionalFormatting sqref="F4">
    <cfRule type="expression" dxfId="4" priority="1">
      <formula>$D3=$G$3</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E3BF-87CA-4CE0-B8C2-6EA49DAC8242}">
  <dimension ref="A1:S53"/>
  <sheetViews>
    <sheetView topLeftCell="A52" workbookViewId="0">
      <selection activeCell="D50" sqref="D50"/>
    </sheetView>
  </sheetViews>
  <sheetFormatPr defaultRowHeight="14.5" x14ac:dyDescent="0.35"/>
  <cols>
    <col min="1" max="1" width="11.26953125" bestFit="1" customWidth="1"/>
    <col min="2" max="2" width="12" bestFit="1" customWidth="1"/>
    <col min="3" max="3" width="11.08984375" bestFit="1" customWidth="1"/>
    <col min="4" max="4" width="11.1796875" bestFit="1" customWidth="1"/>
    <col min="5" max="5" width="11" bestFit="1" customWidth="1"/>
    <col min="6" max="6" width="11.6328125" customWidth="1"/>
    <col min="7" max="7" width="11.7265625" customWidth="1"/>
    <col min="8" max="8" width="11.26953125" bestFit="1" customWidth="1"/>
    <col min="9" max="9" width="12" bestFit="1" customWidth="1"/>
    <col min="10" max="10" width="11.453125" customWidth="1"/>
    <col min="11" max="11" width="11.26953125" bestFit="1" customWidth="1"/>
    <col min="12" max="12" width="11" bestFit="1" customWidth="1"/>
    <col min="13" max="13" width="11.54296875" customWidth="1"/>
    <col min="18" max="18" width="11.26953125" bestFit="1" customWidth="1"/>
    <col min="19" max="19" width="10.08984375" bestFit="1" customWidth="1"/>
  </cols>
  <sheetData>
    <row r="1" spans="1:13" x14ac:dyDescent="0.35">
      <c r="A1" s="48" t="s">
        <v>286</v>
      </c>
      <c r="B1" s="48" t="s">
        <v>287</v>
      </c>
      <c r="C1" s="48" t="s">
        <v>243</v>
      </c>
      <c r="D1" s="51" t="s">
        <v>275</v>
      </c>
      <c r="E1" s="56" t="s">
        <v>288</v>
      </c>
    </row>
    <row r="2" spans="1:13" x14ac:dyDescent="0.35">
      <c r="A2" s="1" t="s">
        <v>289</v>
      </c>
      <c r="B2" s="1" t="s">
        <v>451</v>
      </c>
      <c r="C2" s="1" t="s">
        <v>262</v>
      </c>
      <c r="D2" s="52">
        <v>41954</v>
      </c>
      <c r="E2" s="57">
        <v>43831</v>
      </c>
      <c r="F2" s="17" t="str">
        <f>INDEX(A1:E13,MATCH("EMP001",A1:A13,0),MATCH("Department",A1:E1,0))</f>
        <v>Finance</v>
      </c>
    </row>
    <row r="3" spans="1:13" x14ac:dyDescent="0.35">
      <c r="A3" s="1" t="s">
        <v>291</v>
      </c>
      <c r="B3" s="1" t="s">
        <v>452</v>
      </c>
      <c r="C3" s="1" t="s">
        <v>263</v>
      </c>
      <c r="D3" s="52">
        <v>49855</v>
      </c>
      <c r="E3" s="57">
        <v>43832</v>
      </c>
      <c r="F3" s="17"/>
      <c r="G3">
        <f>MATCH(H3,A1:E1,0)</f>
        <v>1</v>
      </c>
      <c r="H3" s="48" t="s">
        <v>286</v>
      </c>
      <c r="I3" s="1" t="s">
        <v>291</v>
      </c>
      <c r="K3" s="48" t="s">
        <v>286</v>
      </c>
      <c r="L3" s="1" t="s">
        <v>310</v>
      </c>
    </row>
    <row r="4" spans="1:13" x14ac:dyDescent="0.35">
      <c r="A4" s="1" t="s">
        <v>293</v>
      </c>
      <c r="B4" s="1" t="s">
        <v>453</v>
      </c>
      <c r="C4" s="1" t="s">
        <v>259</v>
      </c>
      <c r="D4" s="52">
        <v>94210</v>
      </c>
      <c r="E4" s="57">
        <v>43833</v>
      </c>
      <c r="F4" s="17"/>
      <c r="H4" s="48" t="s">
        <v>287</v>
      </c>
      <c r="I4" s="58" t="str">
        <f>VLOOKUP($I$3,$A$1:$E$13,MATCH(H4,$A$1:$E$1,0),0)</f>
        <v>Mohit</v>
      </c>
      <c r="K4" s="48" t="s">
        <v>287</v>
      </c>
      <c r="L4" t="str">
        <f>VLOOKUP($L$3,$A$1:$E$13,2,0)</f>
        <v>Surendra</v>
      </c>
    </row>
    <row r="5" spans="1:13" x14ac:dyDescent="0.35">
      <c r="A5" s="1" t="s">
        <v>295</v>
      </c>
      <c r="B5" s="1" t="s">
        <v>48</v>
      </c>
      <c r="C5" s="1" t="s">
        <v>262</v>
      </c>
      <c r="D5" s="52">
        <v>74689</v>
      </c>
      <c r="E5" s="57">
        <v>43834</v>
      </c>
      <c r="F5" s="17"/>
      <c r="H5" s="48" t="s">
        <v>243</v>
      </c>
      <c r="I5" s="58" t="str">
        <f t="shared" ref="I5:I7" si="0">VLOOKUP($I$3,$A$1:$E$13,MATCH(H5,$A$1:$E$1,0),0)</f>
        <v>Operations</v>
      </c>
      <c r="K5" s="48" t="s">
        <v>243</v>
      </c>
      <c r="L5" t="str">
        <f>VLOOKUP($L$3,$A$1:$E$13,3,0)</f>
        <v>Operations</v>
      </c>
    </row>
    <row r="6" spans="1:13" x14ac:dyDescent="0.35">
      <c r="A6" s="1" t="s">
        <v>297</v>
      </c>
      <c r="B6" s="1" t="s">
        <v>454</v>
      </c>
      <c r="C6" s="1" t="s">
        <v>263</v>
      </c>
      <c r="D6" s="52">
        <v>90652</v>
      </c>
      <c r="E6" s="57">
        <v>43835</v>
      </c>
      <c r="F6" s="17"/>
      <c r="H6" s="51" t="s">
        <v>275</v>
      </c>
      <c r="I6" s="58">
        <f t="shared" si="0"/>
        <v>49855</v>
      </c>
      <c r="K6" s="51" t="s">
        <v>275</v>
      </c>
      <c r="L6">
        <f>VLOOKUP($L$3,$A$1:$E$13,4,0)</f>
        <v>85028</v>
      </c>
    </row>
    <row r="7" spans="1:13" x14ac:dyDescent="0.35">
      <c r="A7" s="1" t="s">
        <v>299</v>
      </c>
      <c r="B7" s="1" t="s">
        <v>455</v>
      </c>
      <c r="C7" s="1" t="s">
        <v>263</v>
      </c>
      <c r="D7" s="52">
        <v>74820</v>
      </c>
      <c r="E7" s="57">
        <v>43836</v>
      </c>
      <c r="F7" s="17"/>
      <c r="H7" s="56" t="s">
        <v>288</v>
      </c>
      <c r="I7" s="89">
        <f t="shared" si="0"/>
        <v>43832</v>
      </c>
      <c r="K7" s="56" t="s">
        <v>288</v>
      </c>
      <c r="L7" s="17">
        <f>VLOOKUP($L$3,$A$1:$E$13,5,0)</f>
        <v>43842</v>
      </c>
    </row>
    <row r="8" spans="1:13" x14ac:dyDescent="0.35">
      <c r="A8" s="1" t="s">
        <v>300</v>
      </c>
      <c r="B8" s="1" t="s">
        <v>456</v>
      </c>
      <c r="C8" s="1" t="s">
        <v>259</v>
      </c>
      <c r="D8" s="52">
        <v>85206</v>
      </c>
      <c r="E8" s="57">
        <v>43837</v>
      </c>
      <c r="F8" s="17"/>
    </row>
    <row r="9" spans="1:13" x14ac:dyDescent="0.35">
      <c r="A9" s="1" t="s">
        <v>302</v>
      </c>
      <c r="B9" s="1" t="s">
        <v>457</v>
      </c>
      <c r="C9" s="1" t="s">
        <v>262</v>
      </c>
      <c r="D9" s="52">
        <v>30924</v>
      </c>
      <c r="E9" s="57">
        <v>43838</v>
      </c>
      <c r="F9" s="17"/>
      <c r="I9" s="48" t="s">
        <v>286</v>
      </c>
      <c r="J9" s="48" t="s">
        <v>287</v>
      </c>
      <c r="K9" s="48" t="s">
        <v>243</v>
      </c>
      <c r="L9" s="51" t="s">
        <v>275</v>
      </c>
      <c r="M9" s="56" t="s">
        <v>288</v>
      </c>
    </row>
    <row r="10" spans="1:13" x14ac:dyDescent="0.35">
      <c r="A10" s="1" t="s">
        <v>304</v>
      </c>
      <c r="B10" s="1" t="s">
        <v>55</v>
      </c>
      <c r="C10" s="1" t="s">
        <v>263</v>
      </c>
      <c r="D10" s="52">
        <v>57737</v>
      </c>
      <c r="E10" s="57">
        <v>43839</v>
      </c>
      <c r="F10" s="17"/>
      <c r="I10" s="1" t="s">
        <v>289</v>
      </c>
      <c r="J10" t="str">
        <f>VLOOKUP($I10,$A$1:$E$13,MATCH(J$9,$A$1:$E$1,0),0)</f>
        <v>Vikas</v>
      </c>
      <c r="K10" t="str">
        <f>VLOOKUP($I10,$A$1:$E$13,MATCH(K$9,$A$1:$E$1,0),0)</f>
        <v>Finance</v>
      </c>
      <c r="L10">
        <f t="shared" ref="K10:M21" si="1">VLOOKUP($I10,$A$1:$E$13,MATCH(L$9,$A$1:$E$1,0),0)</f>
        <v>41954</v>
      </c>
      <c r="M10">
        <f t="shared" si="1"/>
        <v>43831</v>
      </c>
    </row>
    <row r="11" spans="1:13" x14ac:dyDescent="0.35">
      <c r="A11" s="1" t="s">
        <v>306</v>
      </c>
      <c r="B11" s="1" t="s">
        <v>52</v>
      </c>
      <c r="C11" s="1" t="s">
        <v>259</v>
      </c>
      <c r="D11" s="52">
        <v>36000</v>
      </c>
      <c r="E11" s="57">
        <v>43840</v>
      </c>
      <c r="F11" s="17"/>
      <c r="I11" s="1" t="s">
        <v>291</v>
      </c>
      <c r="J11" t="str">
        <f t="shared" ref="J11:J21" si="2">VLOOKUP($I11,$A$1:$E$13,MATCH(J$9,$A$1:$E$1,0),0)</f>
        <v>Mohit</v>
      </c>
      <c r="K11" t="str">
        <f t="shared" si="1"/>
        <v>Operations</v>
      </c>
      <c r="L11">
        <f t="shared" si="1"/>
        <v>49855</v>
      </c>
      <c r="M11">
        <f t="shared" si="1"/>
        <v>43832</v>
      </c>
    </row>
    <row r="12" spans="1:13" x14ac:dyDescent="0.35">
      <c r="A12" s="1" t="s">
        <v>308</v>
      </c>
      <c r="B12" s="1" t="s">
        <v>458</v>
      </c>
      <c r="C12" s="1" t="s">
        <v>259</v>
      </c>
      <c r="D12" s="52">
        <v>96371</v>
      </c>
      <c r="E12" s="57">
        <v>43841</v>
      </c>
      <c r="F12" s="17"/>
      <c r="I12" s="1" t="s">
        <v>293</v>
      </c>
      <c r="J12" t="str">
        <f t="shared" si="2"/>
        <v>Mohan</v>
      </c>
      <c r="K12" t="str">
        <f t="shared" si="1"/>
        <v>Sales</v>
      </c>
      <c r="L12">
        <f t="shared" si="1"/>
        <v>94210</v>
      </c>
      <c r="M12">
        <f t="shared" si="1"/>
        <v>43833</v>
      </c>
    </row>
    <row r="13" spans="1:13" x14ac:dyDescent="0.35">
      <c r="A13" s="1" t="s">
        <v>310</v>
      </c>
      <c r="B13" s="1" t="s">
        <v>459</v>
      </c>
      <c r="C13" s="1" t="s">
        <v>263</v>
      </c>
      <c r="D13" s="52">
        <v>85028</v>
      </c>
      <c r="E13" s="57">
        <v>43842</v>
      </c>
      <c r="F13" s="17"/>
      <c r="I13" s="1" t="s">
        <v>295</v>
      </c>
      <c r="J13" t="str">
        <f t="shared" si="2"/>
        <v>Rajendra</v>
      </c>
      <c r="K13" t="str">
        <f t="shared" si="1"/>
        <v>Finance</v>
      </c>
      <c r="L13">
        <f t="shared" si="1"/>
        <v>74689</v>
      </c>
      <c r="M13">
        <f t="shared" si="1"/>
        <v>43834</v>
      </c>
    </row>
    <row r="14" spans="1:13" x14ac:dyDescent="0.35">
      <c r="G14" s="1" t="s">
        <v>289</v>
      </c>
      <c r="I14" s="1" t="s">
        <v>297</v>
      </c>
      <c r="J14" t="str">
        <f t="shared" si="2"/>
        <v>Vijay</v>
      </c>
      <c r="K14" t="str">
        <f t="shared" si="1"/>
        <v>Operations</v>
      </c>
      <c r="L14">
        <f t="shared" si="1"/>
        <v>90652</v>
      </c>
      <c r="M14">
        <f t="shared" si="1"/>
        <v>43835</v>
      </c>
    </row>
    <row r="15" spans="1:13" x14ac:dyDescent="0.35">
      <c r="G15" s="1" t="s">
        <v>290</v>
      </c>
      <c r="I15" s="1" t="s">
        <v>299</v>
      </c>
      <c r="J15" t="str">
        <f t="shared" si="2"/>
        <v>Pintu</v>
      </c>
      <c r="K15" t="str">
        <f t="shared" si="1"/>
        <v>Operations</v>
      </c>
      <c r="L15">
        <f t="shared" si="1"/>
        <v>74820</v>
      </c>
      <c r="M15">
        <f t="shared" si="1"/>
        <v>43836</v>
      </c>
    </row>
    <row r="16" spans="1:13" x14ac:dyDescent="0.35">
      <c r="I16" s="1" t="s">
        <v>300</v>
      </c>
      <c r="J16" t="str">
        <f t="shared" si="2"/>
        <v>Priyanka</v>
      </c>
      <c r="K16" t="str">
        <f t="shared" si="1"/>
        <v>Sales</v>
      </c>
      <c r="L16">
        <f t="shared" si="1"/>
        <v>85206</v>
      </c>
      <c r="M16">
        <f t="shared" si="1"/>
        <v>43837</v>
      </c>
    </row>
    <row r="17" spans="2:13" x14ac:dyDescent="0.35">
      <c r="G17" t="s">
        <v>437</v>
      </c>
      <c r="I17" s="1" t="s">
        <v>302</v>
      </c>
      <c r="J17" t="str">
        <f t="shared" si="2"/>
        <v>Lal Singh</v>
      </c>
      <c r="K17" t="str">
        <f t="shared" si="1"/>
        <v>Finance</v>
      </c>
      <c r="L17">
        <f t="shared" si="1"/>
        <v>30924</v>
      </c>
      <c r="M17">
        <f t="shared" si="1"/>
        <v>43838</v>
      </c>
    </row>
    <row r="18" spans="2:13" x14ac:dyDescent="0.35">
      <c r="E18">
        <f>MATCH("Name",A1:E1,0)</f>
        <v>2</v>
      </c>
      <c r="I18" s="1" t="s">
        <v>304</v>
      </c>
      <c r="J18" t="str">
        <f t="shared" si="2"/>
        <v>Dinesh</v>
      </c>
      <c r="K18" t="str">
        <f t="shared" si="1"/>
        <v>Operations</v>
      </c>
      <c r="L18">
        <f t="shared" si="1"/>
        <v>57737</v>
      </c>
      <c r="M18">
        <f t="shared" si="1"/>
        <v>43839</v>
      </c>
    </row>
    <row r="19" spans="2:13" x14ac:dyDescent="0.35">
      <c r="I19" s="1" t="s">
        <v>306</v>
      </c>
      <c r="J19" t="str">
        <f t="shared" si="2"/>
        <v>Pankaj</v>
      </c>
      <c r="K19" t="str">
        <f t="shared" si="1"/>
        <v>Sales</v>
      </c>
      <c r="L19">
        <f t="shared" si="1"/>
        <v>36000</v>
      </c>
      <c r="M19">
        <f t="shared" si="1"/>
        <v>43840</v>
      </c>
    </row>
    <row r="20" spans="2:13" x14ac:dyDescent="0.35">
      <c r="I20" s="1" t="s">
        <v>308</v>
      </c>
      <c r="J20" t="str">
        <f t="shared" si="2"/>
        <v>Mahendra</v>
      </c>
      <c r="K20" t="str">
        <f t="shared" si="1"/>
        <v>Sales</v>
      </c>
      <c r="L20">
        <f t="shared" si="1"/>
        <v>96371</v>
      </c>
      <c r="M20">
        <f t="shared" si="1"/>
        <v>43841</v>
      </c>
    </row>
    <row r="21" spans="2:13" x14ac:dyDescent="0.35">
      <c r="I21" s="1" t="s">
        <v>310</v>
      </c>
      <c r="J21" t="str">
        <f t="shared" si="2"/>
        <v>Surendra</v>
      </c>
      <c r="K21" t="str">
        <f t="shared" si="1"/>
        <v>Operations</v>
      </c>
      <c r="L21">
        <f t="shared" si="1"/>
        <v>85028</v>
      </c>
      <c r="M21">
        <f t="shared" si="1"/>
        <v>43842</v>
      </c>
    </row>
    <row r="24" spans="2:13" x14ac:dyDescent="0.35">
      <c r="G24" t="s">
        <v>444</v>
      </c>
      <c r="I24" s="48" t="s">
        <v>286</v>
      </c>
      <c r="J24" s="48" t="s">
        <v>287</v>
      </c>
      <c r="K24" s="48" t="s">
        <v>243</v>
      </c>
      <c r="L24" s="51" t="s">
        <v>275</v>
      </c>
      <c r="M24" s="56" t="s">
        <v>288</v>
      </c>
    </row>
    <row r="25" spans="2:13" x14ac:dyDescent="0.35">
      <c r="B25" s="48" t="s">
        <v>286</v>
      </c>
      <c r="C25" s="48" t="s">
        <v>243</v>
      </c>
      <c r="D25" s="51" t="s">
        <v>275</v>
      </c>
      <c r="E25" s="56" t="s">
        <v>288</v>
      </c>
      <c r="F25" s="48" t="s">
        <v>287</v>
      </c>
      <c r="G25" t="str">
        <f ca="1">VLOOKUP($B25,$A$1:$E$13,MATCH(G$25,$A$1:$E$1,0),0)</f>
        <v>Operations</v>
      </c>
      <c r="I25" s="1" t="s">
        <v>289</v>
      </c>
      <c r="J25" t="str">
        <f>VLOOKUP($I25,$A$1:$E$13,MATCH(J$24,$A$1:$E$1,0),0)</f>
        <v>Vikas</v>
      </c>
      <c r="K25" t="str">
        <f t="shared" ref="K25:M36" si="3">VLOOKUP($I25,$A$1:$E$13,MATCH(K$24,$A$1:$E$1,0),0)</f>
        <v>Finance</v>
      </c>
      <c r="L25">
        <f t="shared" si="3"/>
        <v>41954</v>
      </c>
      <c r="M25">
        <f t="shared" si="3"/>
        <v>43831</v>
      </c>
    </row>
    <row r="26" spans="2:13" x14ac:dyDescent="0.35">
      <c r="B26" s="1" t="s">
        <v>289</v>
      </c>
      <c r="C26" t="str">
        <f t="shared" ref="C26:F37" si="4">VLOOKUP($B26,$A$1:$E$13,MATCH(C$25,$A$1:$E$1,0),0)</f>
        <v>Finance</v>
      </c>
      <c r="D26">
        <f t="shared" si="4"/>
        <v>41954</v>
      </c>
      <c r="E26">
        <f t="shared" si="4"/>
        <v>43831</v>
      </c>
      <c r="F26" t="str">
        <f t="shared" si="4"/>
        <v>Vikas</v>
      </c>
      <c r="G26" t="str">
        <f ca="1">VLOOKUP($B26,$A$1:$E$13,MATCH(G$25,$A$1:$E$1,0),0)</f>
        <v>Sales</v>
      </c>
      <c r="I26" s="1" t="s">
        <v>291</v>
      </c>
      <c r="J26" t="str">
        <f t="shared" ref="J26:J36" si="5">VLOOKUP($I26,$A$1:$E$13,MATCH(J$24,$A$1:$E$1,0),0)</f>
        <v>Mohit</v>
      </c>
      <c r="K26" t="str">
        <f t="shared" si="3"/>
        <v>Operations</v>
      </c>
      <c r="L26">
        <f t="shared" si="3"/>
        <v>49855</v>
      </c>
      <c r="M26">
        <f t="shared" si="3"/>
        <v>43832</v>
      </c>
    </row>
    <row r="27" spans="2:13" x14ac:dyDescent="0.35">
      <c r="B27" s="1" t="s">
        <v>291</v>
      </c>
      <c r="C27" t="str">
        <f t="shared" si="4"/>
        <v>Operations</v>
      </c>
      <c r="D27">
        <f t="shared" si="4"/>
        <v>49855</v>
      </c>
      <c r="E27">
        <f t="shared" si="4"/>
        <v>43832</v>
      </c>
      <c r="F27" t="str">
        <f t="shared" si="4"/>
        <v>Mohit</v>
      </c>
      <c r="I27" s="1" t="s">
        <v>293</v>
      </c>
      <c r="J27" t="str">
        <f t="shared" si="5"/>
        <v>Mohan</v>
      </c>
      <c r="K27" t="str">
        <f t="shared" si="3"/>
        <v>Sales</v>
      </c>
      <c r="L27">
        <f t="shared" si="3"/>
        <v>94210</v>
      </c>
      <c r="M27">
        <f t="shared" si="3"/>
        <v>43833</v>
      </c>
    </row>
    <row r="28" spans="2:13" x14ac:dyDescent="0.35">
      <c r="B28" s="1" t="s">
        <v>293</v>
      </c>
      <c r="C28" t="str">
        <f t="shared" si="4"/>
        <v>Sales</v>
      </c>
      <c r="D28">
        <f t="shared" si="4"/>
        <v>94210</v>
      </c>
      <c r="E28">
        <f t="shared" si="4"/>
        <v>43833</v>
      </c>
      <c r="F28" t="str">
        <f t="shared" si="4"/>
        <v>Mohan</v>
      </c>
      <c r="I28" s="1" t="s">
        <v>295</v>
      </c>
      <c r="J28" t="str">
        <f t="shared" si="5"/>
        <v>Rajendra</v>
      </c>
      <c r="K28" t="str">
        <f t="shared" si="3"/>
        <v>Finance</v>
      </c>
      <c r="L28">
        <f t="shared" si="3"/>
        <v>74689</v>
      </c>
      <c r="M28">
        <f t="shared" si="3"/>
        <v>43834</v>
      </c>
    </row>
    <row r="29" spans="2:13" x14ac:dyDescent="0.35">
      <c r="B29" s="1" t="s">
        <v>295</v>
      </c>
      <c r="C29" t="str">
        <f t="shared" si="4"/>
        <v>Finance</v>
      </c>
      <c r="D29">
        <f t="shared" si="4"/>
        <v>74689</v>
      </c>
      <c r="E29">
        <f t="shared" si="4"/>
        <v>43834</v>
      </c>
      <c r="F29" t="str">
        <f t="shared" si="4"/>
        <v>Rajendra</v>
      </c>
      <c r="I29" s="1" t="s">
        <v>297</v>
      </c>
      <c r="J29" t="str">
        <f t="shared" si="5"/>
        <v>Vijay</v>
      </c>
      <c r="K29" t="str">
        <f t="shared" si="3"/>
        <v>Operations</v>
      </c>
      <c r="L29">
        <f t="shared" si="3"/>
        <v>90652</v>
      </c>
      <c r="M29">
        <f t="shared" si="3"/>
        <v>43835</v>
      </c>
    </row>
    <row r="30" spans="2:13" x14ac:dyDescent="0.35">
      <c r="B30" s="1" t="s">
        <v>297</v>
      </c>
      <c r="C30" t="str">
        <f t="shared" si="4"/>
        <v>Operations</v>
      </c>
      <c r="D30">
        <f t="shared" si="4"/>
        <v>90652</v>
      </c>
      <c r="E30">
        <f t="shared" si="4"/>
        <v>43835</v>
      </c>
      <c r="F30" t="str">
        <f t="shared" si="4"/>
        <v>Vijay</v>
      </c>
      <c r="I30" s="1" t="s">
        <v>299</v>
      </c>
      <c r="J30" t="str">
        <f t="shared" si="5"/>
        <v>Pintu</v>
      </c>
      <c r="K30" t="str">
        <f t="shared" si="3"/>
        <v>Operations</v>
      </c>
      <c r="L30">
        <f t="shared" si="3"/>
        <v>74820</v>
      </c>
      <c r="M30">
        <f t="shared" si="3"/>
        <v>43836</v>
      </c>
    </row>
    <row r="31" spans="2:13" x14ac:dyDescent="0.35">
      <c r="B31" s="1" t="s">
        <v>299</v>
      </c>
      <c r="C31" t="str">
        <f t="shared" si="4"/>
        <v>Operations</v>
      </c>
      <c r="D31">
        <f t="shared" si="4"/>
        <v>74820</v>
      </c>
      <c r="E31">
        <f t="shared" si="4"/>
        <v>43836</v>
      </c>
      <c r="F31" t="str">
        <f t="shared" si="4"/>
        <v>Pintu</v>
      </c>
      <c r="I31" s="1" t="s">
        <v>300</v>
      </c>
      <c r="J31" t="str">
        <f t="shared" si="5"/>
        <v>Priyanka</v>
      </c>
      <c r="K31" t="str">
        <f t="shared" si="3"/>
        <v>Sales</v>
      </c>
      <c r="L31">
        <f t="shared" si="3"/>
        <v>85206</v>
      </c>
      <c r="M31">
        <f t="shared" si="3"/>
        <v>43837</v>
      </c>
    </row>
    <row r="32" spans="2:13" x14ac:dyDescent="0.35">
      <c r="B32" s="1" t="s">
        <v>300</v>
      </c>
      <c r="C32" t="str">
        <f t="shared" si="4"/>
        <v>Sales</v>
      </c>
      <c r="D32">
        <f t="shared" si="4"/>
        <v>85206</v>
      </c>
      <c r="E32">
        <f t="shared" si="4"/>
        <v>43837</v>
      </c>
      <c r="F32" t="str">
        <f t="shared" si="4"/>
        <v>Priyanka</v>
      </c>
      <c r="I32" s="1" t="s">
        <v>302</v>
      </c>
      <c r="J32" t="str">
        <f t="shared" si="5"/>
        <v>Lal Singh</v>
      </c>
      <c r="K32" t="str">
        <f t="shared" si="3"/>
        <v>Finance</v>
      </c>
      <c r="L32">
        <f t="shared" si="3"/>
        <v>30924</v>
      </c>
      <c r="M32">
        <f t="shared" si="3"/>
        <v>43838</v>
      </c>
    </row>
    <row r="33" spans="2:13" x14ac:dyDescent="0.35">
      <c r="B33" s="1" t="s">
        <v>302</v>
      </c>
      <c r="C33" t="str">
        <f t="shared" si="4"/>
        <v>Finance</v>
      </c>
      <c r="D33">
        <f t="shared" si="4"/>
        <v>30924</v>
      </c>
      <c r="E33">
        <f t="shared" si="4"/>
        <v>43838</v>
      </c>
      <c r="F33" t="str">
        <f t="shared" si="4"/>
        <v>Lal Singh</v>
      </c>
      <c r="I33" s="1" t="s">
        <v>304</v>
      </c>
      <c r="J33" t="str">
        <f t="shared" si="5"/>
        <v>Dinesh</v>
      </c>
      <c r="K33" t="str">
        <f t="shared" si="3"/>
        <v>Operations</v>
      </c>
      <c r="L33">
        <f t="shared" si="3"/>
        <v>57737</v>
      </c>
      <c r="M33">
        <f t="shared" si="3"/>
        <v>43839</v>
      </c>
    </row>
    <row r="34" spans="2:13" x14ac:dyDescent="0.35">
      <c r="B34" s="1" t="s">
        <v>304</v>
      </c>
      <c r="C34" t="str">
        <f t="shared" si="4"/>
        <v>Operations</v>
      </c>
      <c r="D34">
        <f t="shared" si="4"/>
        <v>57737</v>
      </c>
      <c r="E34">
        <f t="shared" si="4"/>
        <v>43839</v>
      </c>
      <c r="F34" t="str">
        <f t="shared" si="4"/>
        <v>Dinesh</v>
      </c>
      <c r="I34" s="1" t="s">
        <v>306</v>
      </c>
      <c r="J34" t="str">
        <f t="shared" si="5"/>
        <v>Pankaj</v>
      </c>
      <c r="K34" t="str">
        <f t="shared" si="3"/>
        <v>Sales</v>
      </c>
      <c r="L34">
        <f t="shared" si="3"/>
        <v>36000</v>
      </c>
      <c r="M34">
        <f t="shared" si="3"/>
        <v>43840</v>
      </c>
    </row>
    <row r="35" spans="2:13" x14ac:dyDescent="0.35">
      <c r="B35" s="1" t="s">
        <v>306</v>
      </c>
      <c r="C35" t="str">
        <f t="shared" si="4"/>
        <v>Sales</v>
      </c>
      <c r="D35">
        <f t="shared" si="4"/>
        <v>36000</v>
      </c>
      <c r="E35">
        <f t="shared" si="4"/>
        <v>43840</v>
      </c>
      <c r="F35" t="str">
        <f t="shared" si="4"/>
        <v>Pankaj</v>
      </c>
      <c r="I35" s="1" t="s">
        <v>308</v>
      </c>
      <c r="J35" t="str">
        <f t="shared" si="5"/>
        <v>Mahendra</v>
      </c>
      <c r="K35" t="str">
        <f t="shared" si="3"/>
        <v>Sales</v>
      </c>
      <c r="L35">
        <f t="shared" si="3"/>
        <v>96371</v>
      </c>
      <c r="M35">
        <f t="shared" si="3"/>
        <v>43841</v>
      </c>
    </row>
    <row r="36" spans="2:13" x14ac:dyDescent="0.35">
      <c r="B36" s="1" t="s">
        <v>308</v>
      </c>
      <c r="C36" t="str">
        <f t="shared" si="4"/>
        <v>Sales</v>
      </c>
      <c r="D36">
        <f t="shared" si="4"/>
        <v>96371</v>
      </c>
      <c r="E36">
        <f t="shared" si="4"/>
        <v>43841</v>
      </c>
      <c r="F36" t="str">
        <f t="shared" si="4"/>
        <v>Mahendra</v>
      </c>
      <c r="I36" s="1" t="s">
        <v>310</v>
      </c>
      <c r="J36" t="str">
        <f t="shared" si="5"/>
        <v>Surendra</v>
      </c>
      <c r="K36" t="str">
        <f t="shared" si="3"/>
        <v>Operations</v>
      </c>
      <c r="L36">
        <f t="shared" si="3"/>
        <v>85028</v>
      </c>
      <c r="M36">
        <f t="shared" si="3"/>
        <v>43842</v>
      </c>
    </row>
    <row r="37" spans="2:13" x14ac:dyDescent="0.35">
      <c r="B37" s="1" t="s">
        <v>310</v>
      </c>
      <c r="C37" t="str">
        <f t="shared" si="4"/>
        <v>Operations</v>
      </c>
      <c r="D37">
        <f t="shared" si="4"/>
        <v>85028</v>
      </c>
      <c r="E37">
        <f t="shared" si="4"/>
        <v>43842</v>
      </c>
      <c r="F37" t="str">
        <f t="shared" si="4"/>
        <v>Surendra</v>
      </c>
    </row>
    <row r="40" spans="2:13" x14ac:dyDescent="0.35">
      <c r="D40" t="s">
        <v>444</v>
      </c>
    </row>
    <row r="43" spans="2:13" x14ac:dyDescent="0.35">
      <c r="B43" s="48" t="s">
        <v>286</v>
      </c>
      <c r="C43" s="48" t="s">
        <v>243</v>
      </c>
      <c r="D43" s="51" t="s">
        <v>275</v>
      </c>
      <c r="E43" s="56" t="s">
        <v>288</v>
      </c>
      <c r="F43" s="48" t="s">
        <v>287</v>
      </c>
    </row>
    <row r="49" spans="1:19" x14ac:dyDescent="0.35">
      <c r="A49" s="48" t="s">
        <v>286</v>
      </c>
      <c r="B49" s="1" t="s">
        <v>289</v>
      </c>
      <c r="C49" s="1" t="s">
        <v>291</v>
      </c>
      <c r="D49" s="1" t="s">
        <v>293</v>
      </c>
      <c r="E49" s="1" t="s">
        <v>295</v>
      </c>
      <c r="F49" s="1" t="s">
        <v>297</v>
      </c>
      <c r="G49" s="1" t="s">
        <v>299</v>
      </c>
      <c r="H49" s="1" t="s">
        <v>300</v>
      </c>
      <c r="I49" s="1" t="s">
        <v>302</v>
      </c>
      <c r="J49" s="1" t="s">
        <v>304</v>
      </c>
      <c r="K49" s="1" t="s">
        <v>306</v>
      </c>
      <c r="L49" s="1" t="s">
        <v>308</v>
      </c>
      <c r="M49" s="1" t="s">
        <v>310</v>
      </c>
      <c r="R49" s="48" t="s">
        <v>286</v>
      </c>
      <c r="S49" t="s">
        <v>304</v>
      </c>
    </row>
    <row r="50" spans="1:19" x14ac:dyDescent="0.35">
      <c r="A50" s="48" t="s">
        <v>287</v>
      </c>
      <c r="B50" s="1" t="s">
        <v>290</v>
      </c>
      <c r="C50" s="1" t="s">
        <v>292</v>
      </c>
      <c r="D50" s="1" t="s">
        <v>294</v>
      </c>
      <c r="E50" s="1" t="s">
        <v>296</v>
      </c>
      <c r="F50" s="1" t="s">
        <v>298</v>
      </c>
      <c r="G50" s="1" t="s">
        <v>450</v>
      </c>
      <c r="H50" s="1" t="s">
        <v>301</v>
      </c>
      <c r="I50" s="1" t="s">
        <v>303</v>
      </c>
      <c r="J50" s="1" t="s">
        <v>305</v>
      </c>
      <c r="K50" s="1" t="s">
        <v>307</v>
      </c>
      <c r="L50" s="1" t="s">
        <v>309</v>
      </c>
      <c r="M50" s="1" t="s">
        <v>311</v>
      </c>
      <c r="R50" s="48" t="s">
        <v>287</v>
      </c>
      <c r="S50" t="str">
        <f>HLOOKUP($S$49,$A$49:$M$53,MATCH(R50,$A$49:$A$53,0),0)</f>
        <v>Employee_9</v>
      </c>
    </row>
    <row r="51" spans="1:19" x14ac:dyDescent="0.35">
      <c r="A51" s="48" t="s">
        <v>243</v>
      </c>
      <c r="B51" s="1" t="s">
        <v>262</v>
      </c>
      <c r="C51" s="1" t="s">
        <v>263</v>
      </c>
      <c r="D51" s="1" t="s">
        <v>259</v>
      </c>
      <c r="E51" s="1" t="s">
        <v>262</v>
      </c>
      <c r="F51" s="1" t="s">
        <v>263</v>
      </c>
      <c r="G51" s="1" t="s">
        <v>263</v>
      </c>
      <c r="H51" s="1" t="s">
        <v>259</v>
      </c>
      <c r="I51" s="1" t="s">
        <v>262</v>
      </c>
      <c r="J51" s="1" t="s">
        <v>263</v>
      </c>
      <c r="K51" s="1" t="s">
        <v>259</v>
      </c>
      <c r="L51" s="1" t="s">
        <v>259</v>
      </c>
      <c r="M51" s="1" t="s">
        <v>263</v>
      </c>
      <c r="R51" s="48" t="s">
        <v>243</v>
      </c>
      <c r="S51" t="str">
        <f t="shared" ref="S51:S53" si="6">HLOOKUP($S$49,$A$49:$M$53,MATCH(R51,$A$49:$A$53,0),0)</f>
        <v>Operations</v>
      </c>
    </row>
    <row r="52" spans="1:19" x14ac:dyDescent="0.35">
      <c r="A52" s="51" t="s">
        <v>275</v>
      </c>
      <c r="B52" s="52">
        <v>41954</v>
      </c>
      <c r="C52" s="52">
        <v>49855</v>
      </c>
      <c r="D52" s="52">
        <v>94210</v>
      </c>
      <c r="E52" s="52">
        <v>74689</v>
      </c>
      <c r="F52" s="52">
        <v>90652</v>
      </c>
      <c r="G52" s="52">
        <v>74820</v>
      </c>
      <c r="H52" s="52">
        <v>85206</v>
      </c>
      <c r="I52" s="52">
        <v>30924</v>
      </c>
      <c r="J52" s="52">
        <v>57737</v>
      </c>
      <c r="K52" s="52">
        <v>36000</v>
      </c>
      <c r="L52" s="52">
        <v>96371</v>
      </c>
      <c r="M52" s="52">
        <v>85028</v>
      </c>
      <c r="R52" s="51" t="s">
        <v>275</v>
      </c>
      <c r="S52">
        <f t="shared" si="6"/>
        <v>57737</v>
      </c>
    </row>
    <row r="53" spans="1:19" x14ac:dyDescent="0.35">
      <c r="A53" s="56" t="s">
        <v>288</v>
      </c>
      <c r="B53" s="57">
        <v>43831</v>
      </c>
      <c r="C53" s="57">
        <v>43832</v>
      </c>
      <c r="D53" s="57">
        <v>43833</v>
      </c>
      <c r="E53" s="57">
        <v>43834</v>
      </c>
      <c r="F53" s="57">
        <v>43835</v>
      </c>
      <c r="G53" s="57">
        <v>43836</v>
      </c>
      <c r="H53" s="57">
        <v>43837</v>
      </c>
      <c r="I53" s="57">
        <v>43838</v>
      </c>
      <c r="J53" s="57">
        <v>43839</v>
      </c>
      <c r="K53" s="57">
        <v>43840</v>
      </c>
      <c r="L53" s="57">
        <v>43841</v>
      </c>
      <c r="M53" s="57">
        <v>43842</v>
      </c>
      <c r="R53" s="56" t="s">
        <v>288</v>
      </c>
      <c r="S53">
        <f t="shared" si="6"/>
        <v>43839</v>
      </c>
    </row>
  </sheetData>
  <dataValidations count="3">
    <dataValidation type="list" allowBlank="1" showInputMessage="1" showErrorMessage="1" sqref="I3 L3" xr:uid="{07747A47-CF7A-4C16-A23A-27C4414F9704}">
      <formula1>$A$2:$A$13</formula1>
    </dataValidation>
    <dataValidation type="list" allowBlank="1" showInputMessage="1" showErrorMessage="1" sqref="D40" xr:uid="{90DC1AF5-D5D0-4FE7-B897-2C8FC1C8E314}">
      <formula1>$G$24:$G$26</formula1>
    </dataValidation>
    <dataValidation type="list" allowBlank="1" showInputMessage="1" showErrorMessage="1" sqref="S49" xr:uid="{A86DB0D9-7A39-4A52-B0EB-28DAB39D8EBE}">
      <formula1>$B$49:$M$49</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0274-7C9F-4849-97CF-C123E708C7B7}">
  <dimension ref="A1:L14"/>
  <sheetViews>
    <sheetView workbookViewId="0">
      <selection activeCell="H3" sqref="H3"/>
    </sheetView>
  </sheetViews>
  <sheetFormatPr defaultRowHeight="14.5" x14ac:dyDescent="0.35"/>
  <cols>
    <col min="1" max="1" width="13.26953125" customWidth="1"/>
    <col min="2" max="2" width="12" bestFit="1" customWidth="1"/>
    <col min="3" max="3" width="13.08984375" customWidth="1"/>
    <col min="4" max="4" width="11.1796875" bestFit="1" customWidth="1"/>
    <col min="5" max="5" width="13" customWidth="1"/>
    <col min="6" max="6" width="11.26953125" customWidth="1"/>
    <col min="7" max="7" width="24.6328125" bestFit="1" customWidth="1"/>
    <col min="8" max="8" width="11.453125" bestFit="1" customWidth="1"/>
    <col min="9" max="9" width="11.26953125" customWidth="1"/>
    <col min="11" max="11" width="14.08984375" customWidth="1"/>
  </cols>
  <sheetData>
    <row r="1" spans="1:12" x14ac:dyDescent="0.35">
      <c r="A1" s="65" t="s">
        <v>286</v>
      </c>
      <c r="B1" s="65" t="s">
        <v>287</v>
      </c>
      <c r="C1" s="65" t="s">
        <v>243</v>
      </c>
      <c r="D1" s="66" t="s">
        <v>275</v>
      </c>
      <c r="E1" s="67" t="s">
        <v>288</v>
      </c>
      <c r="F1" s="68" t="s">
        <v>312</v>
      </c>
      <c r="H1" t="s">
        <v>313</v>
      </c>
    </row>
    <row r="2" spans="1:12" x14ac:dyDescent="0.35">
      <c r="A2" s="69" t="s">
        <v>289</v>
      </c>
      <c r="B2" s="69" t="s">
        <v>290</v>
      </c>
      <c r="C2" s="69" t="s">
        <v>262</v>
      </c>
      <c r="D2" s="70">
        <v>41954</v>
      </c>
      <c r="E2" s="71">
        <v>43831</v>
      </c>
      <c r="F2" s="72" t="str">
        <f t="shared" ref="F2:F13" si="0">VLOOKUP(D2,Emp_Type,2,1)</f>
        <v>Grade5</v>
      </c>
      <c r="G2" t="str">
        <f>VLOOKUP(D2,Emp_Type,2,1)</f>
        <v>Grade5</v>
      </c>
      <c r="H2" t="s">
        <v>275</v>
      </c>
      <c r="I2" t="s">
        <v>314</v>
      </c>
    </row>
    <row r="3" spans="1:12" x14ac:dyDescent="0.35">
      <c r="A3" s="73" t="s">
        <v>291</v>
      </c>
      <c r="B3" s="73" t="s">
        <v>292</v>
      </c>
      <c r="C3" s="73" t="s">
        <v>263</v>
      </c>
      <c r="D3" s="74">
        <v>49855</v>
      </c>
      <c r="E3" s="75">
        <v>43832</v>
      </c>
      <c r="F3" s="72" t="str">
        <f t="shared" si="0"/>
        <v>Grade4</v>
      </c>
      <c r="H3">
        <v>15000</v>
      </c>
      <c r="I3" t="s">
        <v>315</v>
      </c>
    </row>
    <row r="4" spans="1:12" x14ac:dyDescent="0.35">
      <c r="A4" s="69" t="s">
        <v>293</v>
      </c>
      <c r="B4" s="69" t="s">
        <v>294</v>
      </c>
      <c r="C4" s="69" t="s">
        <v>259</v>
      </c>
      <c r="D4" s="70">
        <v>94210</v>
      </c>
      <c r="E4" s="71">
        <v>43833</v>
      </c>
      <c r="F4" s="72" t="str">
        <f t="shared" si="0"/>
        <v>Grade1</v>
      </c>
      <c r="H4">
        <v>30000</v>
      </c>
      <c r="I4" t="s">
        <v>316</v>
      </c>
    </row>
    <row r="5" spans="1:12" x14ac:dyDescent="0.35">
      <c r="A5" s="73" t="s">
        <v>295</v>
      </c>
      <c r="B5" s="73" t="s">
        <v>296</v>
      </c>
      <c r="C5" s="73" t="s">
        <v>262</v>
      </c>
      <c r="D5" s="74">
        <v>74689</v>
      </c>
      <c r="E5" s="75">
        <v>43834</v>
      </c>
      <c r="F5" s="72" t="str">
        <f t="shared" si="0"/>
        <v>Grade3</v>
      </c>
      <c r="H5">
        <v>45000</v>
      </c>
      <c r="I5" t="s">
        <v>317</v>
      </c>
    </row>
    <row r="6" spans="1:12" x14ac:dyDescent="0.35">
      <c r="A6" s="69" t="s">
        <v>297</v>
      </c>
      <c r="B6" s="69" t="s">
        <v>298</v>
      </c>
      <c r="C6" s="69" t="s">
        <v>263</v>
      </c>
      <c r="D6" s="70">
        <v>90652</v>
      </c>
      <c r="E6" s="71">
        <v>43835</v>
      </c>
      <c r="F6" s="72" t="str">
        <f t="shared" si="0"/>
        <v>Grade1</v>
      </c>
      <c r="H6">
        <v>60000</v>
      </c>
      <c r="I6" t="s">
        <v>318</v>
      </c>
    </row>
    <row r="7" spans="1:12" x14ac:dyDescent="0.35">
      <c r="A7" s="73" t="s">
        <v>299</v>
      </c>
      <c r="B7" s="73" t="s">
        <v>294</v>
      </c>
      <c r="C7" s="73" t="s">
        <v>263</v>
      </c>
      <c r="D7" s="74">
        <v>74820</v>
      </c>
      <c r="E7" s="75">
        <v>43836</v>
      </c>
      <c r="F7" s="72" t="str">
        <f t="shared" si="0"/>
        <v>Grade3</v>
      </c>
      <c r="G7" t="s">
        <v>319</v>
      </c>
      <c r="H7">
        <v>75000</v>
      </c>
      <c r="I7" t="s">
        <v>320</v>
      </c>
    </row>
    <row r="8" spans="1:12" x14ac:dyDescent="0.35">
      <c r="A8" s="69" t="s">
        <v>300</v>
      </c>
      <c r="B8" s="69" t="s">
        <v>301</v>
      </c>
      <c r="C8" s="69" t="s">
        <v>259</v>
      </c>
      <c r="D8" s="70">
        <v>85206</v>
      </c>
      <c r="E8" s="71">
        <v>43837</v>
      </c>
      <c r="F8" s="72" t="str">
        <f t="shared" si="0"/>
        <v>Grade2</v>
      </c>
      <c r="H8">
        <v>90000</v>
      </c>
      <c r="I8" t="s">
        <v>321</v>
      </c>
    </row>
    <row r="9" spans="1:12" x14ac:dyDescent="0.35">
      <c r="A9" s="73" t="s">
        <v>302</v>
      </c>
      <c r="B9" s="73" t="s">
        <v>303</v>
      </c>
      <c r="C9" s="73" t="s">
        <v>262</v>
      </c>
      <c r="D9" s="74">
        <v>30924</v>
      </c>
      <c r="E9" s="75">
        <v>43838</v>
      </c>
      <c r="F9" s="72" t="str">
        <f t="shared" si="0"/>
        <v>Grade5</v>
      </c>
    </row>
    <row r="10" spans="1:12" x14ac:dyDescent="0.35">
      <c r="A10" s="69" t="s">
        <v>304</v>
      </c>
      <c r="B10" s="69" t="s">
        <v>305</v>
      </c>
      <c r="C10" s="69" t="s">
        <v>263</v>
      </c>
      <c r="D10" s="70">
        <v>57737</v>
      </c>
      <c r="E10" s="71">
        <v>43839</v>
      </c>
      <c r="F10" s="72" t="str">
        <f t="shared" si="0"/>
        <v>Grade4</v>
      </c>
    </row>
    <row r="11" spans="1:12" x14ac:dyDescent="0.35">
      <c r="A11" s="73" t="s">
        <v>306</v>
      </c>
      <c r="B11" s="73" t="s">
        <v>307</v>
      </c>
      <c r="C11" s="73" t="s">
        <v>259</v>
      </c>
      <c r="D11" s="74">
        <v>36000</v>
      </c>
      <c r="E11" s="75">
        <v>43840</v>
      </c>
      <c r="F11" s="72" t="str">
        <f t="shared" si="0"/>
        <v>Grade5</v>
      </c>
    </row>
    <row r="12" spans="1:12" x14ac:dyDescent="0.35">
      <c r="A12" s="69" t="s">
        <v>308</v>
      </c>
      <c r="B12" s="69" t="s">
        <v>309</v>
      </c>
      <c r="C12" s="69" t="s">
        <v>259</v>
      </c>
      <c r="D12" s="70">
        <v>96371</v>
      </c>
      <c r="E12" s="71">
        <v>43841</v>
      </c>
      <c r="F12" s="72" t="str">
        <f t="shared" si="0"/>
        <v>Grade1</v>
      </c>
      <c r="K12" s="65" t="s">
        <v>286</v>
      </c>
      <c r="L12" s="69" t="s">
        <v>289</v>
      </c>
    </row>
    <row r="13" spans="1:12" x14ac:dyDescent="0.35">
      <c r="A13" s="76" t="s">
        <v>310</v>
      </c>
      <c r="B13" s="76" t="s">
        <v>311</v>
      </c>
      <c r="C13" s="76" t="s">
        <v>263</v>
      </c>
      <c r="D13" s="77">
        <v>85028</v>
      </c>
      <c r="E13" s="78">
        <v>43842</v>
      </c>
      <c r="F13" s="72" t="str">
        <f t="shared" si="0"/>
        <v>Grade2</v>
      </c>
      <c r="K13" t="s">
        <v>243</v>
      </c>
      <c r="L13" t="str">
        <f>VLOOKUP($L$12,$A$1:$F$13,MATCH(K13,A1:F1,0),0)</f>
        <v>Finance</v>
      </c>
    </row>
    <row r="14" spans="1:12" x14ac:dyDescent="0.35">
      <c r="K14" t="s">
        <v>443</v>
      </c>
      <c r="L14">
        <f>VLOOKUP($K$14,$B$1:$F$13,MATCH("Salary",$B$1:$F$1,0),0)</f>
        <v>41954</v>
      </c>
    </row>
  </sheetData>
  <conditionalFormatting sqref="A2:E13">
    <cfRule type="expression" dxfId="3" priority="2">
      <formula>$C2=$F$2</formula>
    </cfRule>
  </conditionalFormatting>
  <conditionalFormatting sqref="L12">
    <cfRule type="expression" dxfId="2" priority="1">
      <formula>$C12=$F$2</formula>
    </cfRule>
  </conditionalFormatting>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042B9-F169-4EE0-8FAA-AADC9819BA32}">
  <dimension ref="A1:M33"/>
  <sheetViews>
    <sheetView topLeftCell="A22" workbookViewId="0">
      <selection activeCell="I33" sqref="I33"/>
    </sheetView>
  </sheetViews>
  <sheetFormatPr defaultRowHeight="14.5" x14ac:dyDescent="0.35"/>
  <cols>
    <col min="1" max="1" width="11.08984375" bestFit="1" customWidth="1"/>
    <col min="2" max="10" width="11.1796875" bestFit="1" customWidth="1"/>
    <col min="11" max="13" width="12" bestFit="1" customWidth="1"/>
  </cols>
  <sheetData>
    <row r="1" spans="1:12" x14ac:dyDescent="0.35">
      <c r="A1" s="48" t="s">
        <v>287</v>
      </c>
      <c r="B1" s="48" t="s">
        <v>243</v>
      </c>
      <c r="C1" s="51" t="s">
        <v>275</v>
      </c>
      <c r="D1" s="56" t="s">
        <v>288</v>
      </c>
    </row>
    <row r="2" spans="1:12" x14ac:dyDescent="0.35">
      <c r="A2" s="1" t="s">
        <v>290</v>
      </c>
      <c r="B2" s="1" t="s">
        <v>262</v>
      </c>
      <c r="C2" s="52">
        <v>41954</v>
      </c>
      <c r="D2" s="57">
        <v>43831</v>
      </c>
    </row>
    <row r="3" spans="1:12" x14ac:dyDescent="0.35">
      <c r="A3" s="1" t="s">
        <v>292</v>
      </c>
      <c r="B3" s="1" t="s">
        <v>263</v>
      </c>
      <c r="C3" s="52">
        <v>49855</v>
      </c>
      <c r="D3" s="57">
        <v>43832</v>
      </c>
      <c r="G3" s="48"/>
    </row>
    <row r="4" spans="1:12" x14ac:dyDescent="0.35">
      <c r="A4" s="1" t="s">
        <v>294</v>
      </c>
      <c r="B4" s="1" t="s">
        <v>259</v>
      </c>
      <c r="C4" s="52">
        <v>94210</v>
      </c>
      <c r="D4" s="57">
        <v>43833</v>
      </c>
      <c r="G4" s="48" t="s">
        <v>243</v>
      </c>
      <c r="H4" s="17"/>
      <c r="I4" s="48" t="s">
        <v>287</v>
      </c>
      <c r="J4" s="48" t="s">
        <v>243</v>
      </c>
      <c r="K4" s="51" t="s">
        <v>275</v>
      </c>
      <c r="L4" s="56" t="s">
        <v>288</v>
      </c>
    </row>
    <row r="5" spans="1:12" x14ac:dyDescent="0.35">
      <c r="A5" s="1" t="s">
        <v>296</v>
      </c>
      <c r="B5" s="1" t="s">
        <v>262</v>
      </c>
      <c r="C5" s="52">
        <v>74689</v>
      </c>
      <c r="D5" s="57">
        <v>43834</v>
      </c>
      <c r="G5" s="51" t="s">
        <v>262</v>
      </c>
      <c r="I5" t="str" cm="1">
        <f t="array" ref="I5:L7">_xlfn._xlws.FILTER(A1:D13,B1:B13=$G$5,"Not found")</f>
        <v>Employee_1</v>
      </c>
      <c r="J5" t="str">
        <v>Finance</v>
      </c>
      <c r="K5">
        <v>41954</v>
      </c>
      <c r="L5">
        <v>43831</v>
      </c>
    </row>
    <row r="6" spans="1:12" x14ac:dyDescent="0.35">
      <c r="A6" s="1" t="s">
        <v>298</v>
      </c>
      <c r="B6" s="1" t="s">
        <v>263</v>
      </c>
      <c r="C6" s="52">
        <v>90652</v>
      </c>
      <c r="D6" s="57">
        <v>43835</v>
      </c>
      <c r="I6" t="str">
        <v>Employee_4</v>
      </c>
      <c r="J6" t="str">
        <v>Finance</v>
      </c>
      <c r="K6">
        <v>74689</v>
      </c>
      <c r="L6">
        <v>43834</v>
      </c>
    </row>
    <row r="7" spans="1:12" x14ac:dyDescent="0.35">
      <c r="A7" s="1" t="s">
        <v>294</v>
      </c>
      <c r="B7" s="1" t="s">
        <v>263</v>
      </c>
      <c r="C7" s="52">
        <v>74820</v>
      </c>
      <c r="D7" s="57">
        <v>43836</v>
      </c>
      <c r="I7" t="str">
        <v>Employee_8</v>
      </c>
      <c r="J7" t="str">
        <v>Finance</v>
      </c>
      <c r="K7">
        <v>30924</v>
      </c>
      <c r="L7">
        <v>43838</v>
      </c>
    </row>
    <row r="8" spans="1:12" x14ac:dyDescent="0.35">
      <c r="A8" s="1" t="s">
        <v>301</v>
      </c>
      <c r="B8" s="1" t="s">
        <v>259</v>
      </c>
      <c r="C8" s="52">
        <v>85206</v>
      </c>
      <c r="D8" s="57">
        <v>43837</v>
      </c>
    </row>
    <row r="9" spans="1:12" x14ac:dyDescent="0.35">
      <c r="A9" s="1" t="s">
        <v>303</v>
      </c>
      <c r="B9" s="1" t="s">
        <v>262</v>
      </c>
      <c r="C9" s="52">
        <v>30924</v>
      </c>
      <c r="D9" s="57">
        <v>43838</v>
      </c>
    </row>
    <row r="10" spans="1:12" x14ac:dyDescent="0.35">
      <c r="A10" s="1" t="s">
        <v>305</v>
      </c>
      <c r="B10" s="1" t="s">
        <v>263</v>
      </c>
      <c r="C10" s="52">
        <v>57737</v>
      </c>
      <c r="D10" s="57">
        <v>43839</v>
      </c>
      <c r="J10" s="80">
        <f>PMT(12%/12,24,-100000)</f>
        <v>4707.3472223264698</v>
      </c>
      <c r="L10" s="81">
        <f>IPMT(12%/12, 4, 24, -100000)</f>
        <v>887.66367181628561</v>
      </c>
    </row>
    <row r="11" spans="1:12" x14ac:dyDescent="0.35">
      <c r="A11" s="1" t="s">
        <v>307</v>
      </c>
      <c r="B11" s="1" t="s">
        <v>259</v>
      </c>
      <c r="C11" s="52">
        <v>36000</v>
      </c>
      <c r="D11" s="57">
        <v>43840</v>
      </c>
    </row>
    <row r="12" spans="1:12" x14ac:dyDescent="0.35">
      <c r="A12" s="1" t="s">
        <v>309</v>
      </c>
      <c r="B12" s="1" t="s">
        <v>259</v>
      </c>
      <c r="C12" s="52">
        <v>96371</v>
      </c>
      <c r="D12" s="57">
        <v>43841</v>
      </c>
    </row>
    <row r="13" spans="1:12" x14ac:dyDescent="0.35">
      <c r="A13" s="1" t="s">
        <v>311</v>
      </c>
      <c r="B13" s="1" t="s">
        <v>263</v>
      </c>
      <c r="C13" s="52">
        <v>85028</v>
      </c>
      <c r="D13" s="57">
        <v>43842</v>
      </c>
    </row>
    <row r="25" spans="1:13" x14ac:dyDescent="0.35">
      <c r="A25" s="48" t="s">
        <v>287</v>
      </c>
      <c r="B25" s="1" t="s">
        <v>290</v>
      </c>
      <c r="C25" s="1" t="s">
        <v>292</v>
      </c>
      <c r="D25" s="1" t="s">
        <v>294</v>
      </c>
      <c r="E25" s="1" t="s">
        <v>296</v>
      </c>
      <c r="F25" s="1" t="s">
        <v>298</v>
      </c>
      <c r="G25" s="1" t="s">
        <v>294</v>
      </c>
      <c r="H25" s="1" t="s">
        <v>301</v>
      </c>
      <c r="I25" s="1" t="s">
        <v>303</v>
      </c>
      <c r="J25" s="1" t="s">
        <v>305</v>
      </c>
      <c r="K25" s="1" t="s">
        <v>307</v>
      </c>
      <c r="L25" s="1" t="s">
        <v>309</v>
      </c>
      <c r="M25" s="1" t="s">
        <v>311</v>
      </c>
    </row>
    <row r="26" spans="1:13" x14ac:dyDescent="0.35">
      <c r="A26" s="48" t="s">
        <v>243</v>
      </c>
      <c r="B26" s="1" t="s">
        <v>262</v>
      </c>
      <c r="C26" s="1" t="s">
        <v>263</v>
      </c>
      <c r="D26" s="1" t="s">
        <v>259</v>
      </c>
      <c r="E26" s="1" t="s">
        <v>262</v>
      </c>
      <c r="F26" s="1" t="s">
        <v>263</v>
      </c>
      <c r="G26" s="1" t="s">
        <v>263</v>
      </c>
      <c r="H26" s="1" t="s">
        <v>259</v>
      </c>
      <c r="I26" s="1" t="s">
        <v>262</v>
      </c>
      <c r="J26" s="1" t="s">
        <v>263</v>
      </c>
      <c r="K26" s="1" t="s">
        <v>259</v>
      </c>
      <c r="L26" s="1" t="s">
        <v>259</v>
      </c>
      <c r="M26" s="1" t="s">
        <v>263</v>
      </c>
    </row>
    <row r="27" spans="1:13" x14ac:dyDescent="0.35">
      <c r="A27" s="51" t="s">
        <v>275</v>
      </c>
      <c r="B27" s="52">
        <v>41954</v>
      </c>
      <c r="C27" s="52">
        <v>49855</v>
      </c>
      <c r="D27" s="52">
        <v>94210</v>
      </c>
      <c r="E27" s="52">
        <v>74689</v>
      </c>
      <c r="F27" s="52">
        <v>90652</v>
      </c>
      <c r="G27" s="52">
        <v>74820</v>
      </c>
      <c r="H27" s="52">
        <v>85206</v>
      </c>
      <c r="I27" s="52">
        <v>30924</v>
      </c>
      <c r="J27" s="52">
        <v>57737</v>
      </c>
      <c r="K27" s="52">
        <v>36000</v>
      </c>
      <c r="L27" s="52">
        <v>96371</v>
      </c>
      <c r="M27" s="52">
        <v>85028</v>
      </c>
    </row>
    <row r="28" spans="1:13" x14ac:dyDescent="0.35">
      <c r="A28" s="56" t="s">
        <v>288</v>
      </c>
      <c r="B28" s="57">
        <v>43831</v>
      </c>
      <c r="C28" s="57">
        <v>43832</v>
      </c>
      <c r="D28" s="57">
        <v>43833</v>
      </c>
      <c r="E28" s="57">
        <v>43834</v>
      </c>
      <c r="F28" s="57">
        <v>43835</v>
      </c>
      <c r="G28" s="57">
        <v>43836</v>
      </c>
      <c r="H28" s="57">
        <v>43837</v>
      </c>
      <c r="I28" s="57">
        <v>43838</v>
      </c>
      <c r="J28" s="57">
        <v>43839</v>
      </c>
      <c r="K28" s="57">
        <v>43840</v>
      </c>
      <c r="L28" s="57">
        <v>43841</v>
      </c>
      <c r="M28" s="57">
        <v>43842</v>
      </c>
    </row>
    <row r="31" spans="1:13" ht="15" thickBot="1" x14ac:dyDescent="0.4"/>
    <row r="32" spans="1:13" ht="15" thickBot="1" x14ac:dyDescent="0.4">
      <c r="H32" s="85" t="s">
        <v>309</v>
      </c>
    </row>
    <row r="33" spans="8:8" x14ac:dyDescent="0.35">
      <c r="H33" t="str">
        <f>HLOOKUP($H$32,$A$25:$M$28,MATCH("Department",$A$25:$A$28,0),0)</f>
        <v>Sales</v>
      </c>
    </row>
  </sheetData>
  <conditionalFormatting sqref="A2:D13">
    <cfRule type="expression" dxfId="1" priority="2">
      <formula>$C2=$F$2</formula>
    </cfRule>
  </conditionalFormatting>
  <conditionalFormatting sqref="B25:M28">
    <cfRule type="expression" dxfId="0" priority="1">
      <formula>$C25=$F$2</formula>
    </cfRule>
  </conditionalFormatting>
  <dataValidations count="3">
    <dataValidation type="list" allowBlank="1" showInputMessage="1" showErrorMessage="1" sqref="H3" xr:uid="{3EB07883-798D-4F69-84EF-EB216EA1EF1C}">
      <formula1>$A$2:$A$13</formula1>
    </dataValidation>
    <dataValidation type="list" allowBlank="1" showInputMessage="1" showErrorMessage="1" sqref="G5" xr:uid="{3F721C7F-1A6A-4858-A4D5-1802724CABAF}">
      <formula1>$B$2:$B$13</formula1>
    </dataValidation>
    <dataValidation type="list" allowBlank="1" showInputMessage="1" showErrorMessage="1" sqref="H32" xr:uid="{40D24B64-9652-422A-8807-A39747DD6BED}">
      <formula1>$B$25:$M$25</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691A-0171-49B5-84A5-813C3E195369}">
  <dimension ref="A1:J20"/>
  <sheetViews>
    <sheetView workbookViewId="0">
      <selection activeCell="B20" sqref="B20"/>
    </sheetView>
  </sheetViews>
  <sheetFormatPr defaultRowHeight="14.5" x14ac:dyDescent="0.35"/>
  <cols>
    <col min="1" max="1" width="16.1796875" bestFit="1" customWidth="1"/>
    <col min="2" max="2" width="27.36328125" bestFit="1" customWidth="1"/>
    <col min="3" max="3" width="28.26953125" bestFit="1" customWidth="1"/>
    <col min="4" max="4" width="26.6328125" bestFit="1" customWidth="1"/>
    <col min="5" max="5" width="47.6328125" bestFit="1" customWidth="1"/>
    <col min="6" max="6" width="25" bestFit="1" customWidth="1"/>
    <col min="7" max="7" width="25.81640625" bestFit="1" customWidth="1"/>
    <col min="8" max="8" width="27.08984375" bestFit="1" customWidth="1"/>
    <col min="9" max="9" width="26.54296875" bestFit="1" customWidth="1"/>
    <col min="10" max="10" width="27.36328125" bestFit="1" customWidth="1"/>
  </cols>
  <sheetData>
    <row r="1" spans="1:10" x14ac:dyDescent="0.35">
      <c r="A1" s="19" t="s">
        <v>322</v>
      </c>
      <c r="B1" s="19" t="s">
        <v>323</v>
      </c>
      <c r="C1" s="19" t="s">
        <v>324</v>
      </c>
      <c r="D1" s="19" t="s">
        <v>325</v>
      </c>
      <c r="E1" s="19" t="s">
        <v>326</v>
      </c>
      <c r="F1" s="19" t="s">
        <v>327</v>
      </c>
      <c r="G1" s="19" t="s">
        <v>328</v>
      </c>
      <c r="H1" s="19" t="s">
        <v>329</v>
      </c>
      <c r="I1" s="19" t="s">
        <v>330</v>
      </c>
      <c r="J1" s="19" t="s">
        <v>331</v>
      </c>
    </row>
    <row r="2" spans="1:10" x14ac:dyDescent="0.35">
      <c r="A2" t="s">
        <v>332</v>
      </c>
      <c r="B2" t="s">
        <v>333</v>
      </c>
      <c r="C2" t="s">
        <v>334</v>
      </c>
      <c r="D2" t="s">
        <v>335</v>
      </c>
      <c r="E2" t="s">
        <v>336</v>
      </c>
      <c r="F2" t="s">
        <v>337</v>
      </c>
      <c r="G2" t="s">
        <v>338</v>
      </c>
      <c r="H2" t="s">
        <v>339</v>
      </c>
      <c r="I2" t="s">
        <v>340</v>
      </c>
      <c r="J2" t="s">
        <v>333</v>
      </c>
    </row>
    <row r="3" spans="1:10" x14ac:dyDescent="0.35">
      <c r="A3" t="s">
        <v>341</v>
      </c>
      <c r="B3" t="s">
        <v>342</v>
      </c>
      <c r="C3" t="s">
        <v>343</v>
      </c>
      <c r="D3" t="s">
        <v>344</v>
      </c>
      <c r="E3" t="s">
        <v>345</v>
      </c>
      <c r="F3" t="s">
        <v>337</v>
      </c>
      <c r="G3" t="s">
        <v>346</v>
      </c>
      <c r="H3" t="s">
        <v>347</v>
      </c>
      <c r="I3" t="s">
        <v>348</v>
      </c>
      <c r="J3" t="s">
        <v>342</v>
      </c>
    </row>
    <row r="4" spans="1:10" x14ac:dyDescent="0.35">
      <c r="A4" t="s">
        <v>349</v>
      </c>
      <c r="B4" t="s">
        <v>350</v>
      </c>
      <c r="C4" t="s">
        <v>351</v>
      </c>
      <c r="D4" t="s">
        <v>352</v>
      </c>
      <c r="E4" t="s">
        <v>353</v>
      </c>
      <c r="F4" t="s">
        <v>337</v>
      </c>
      <c r="G4" t="s">
        <v>354</v>
      </c>
      <c r="H4" t="s">
        <v>355</v>
      </c>
      <c r="I4" t="s">
        <v>356</v>
      </c>
      <c r="J4" t="s">
        <v>350</v>
      </c>
    </row>
    <row r="5" spans="1:10" x14ac:dyDescent="0.35">
      <c r="A5" t="s">
        <v>357</v>
      </c>
      <c r="B5" t="s">
        <v>358</v>
      </c>
      <c r="C5" t="s">
        <v>359</v>
      </c>
      <c r="D5" t="s">
        <v>360</v>
      </c>
      <c r="E5" t="s">
        <v>361</v>
      </c>
      <c r="F5" t="s">
        <v>337</v>
      </c>
      <c r="G5" t="s">
        <v>362</v>
      </c>
      <c r="H5" t="s">
        <v>363</v>
      </c>
      <c r="I5" t="s">
        <v>364</v>
      </c>
      <c r="J5" t="s">
        <v>358</v>
      </c>
    </row>
    <row r="6" spans="1:10" x14ac:dyDescent="0.35">
      <c r="A6" t="s">
        <v>365</v>
      </c>
      <c r="B6" t="s">
        <v>366</v>
      </c>
      <c r="C6" t="s">
        <v>367</v>
      </c>
      <c r="D6" t="s">
        <v>368</v>
      </c>
      <c r="E6" t="s">
        <v>369</v>
      </c>
      <c r="F6" t="s">
        <v>337</v>
      </c>
      <c r="G6" t="s">
        <v>370</v>
      </c>
      <c r="H6" t="s">
        <v>371</v>
      </c>
      <c r="I6" t="s">
        <v>372</v>
      </c>
      <c r="J6" t="s">
        <v>366</v>
      </c>
    </row>
    <row r="7" spans="1:10" x14ac:dyDescent="0.35">
      <c r="A7" t="s">
        <v>373</v>
      </c>
      <c r="B7" t="s">
        <v>374</v>
      </c>
      <c r="C7" t="s">
        <v>375</v>
      </c>
      <c r="D7" t="s">
        <v>376</v>
      </c>
      <c r="E7" t="s">
        <v>377</v>
      </c>
      <c r="F7" t="s">
        <v>337</v>
      </c>
      <c r="G7" t="s">
        <v>378</v>
      </c>
      <c r="H7" t="s">
        <v>379</v>
      </c>
      <c r="I7" t="s">
        <v>380</v>
      </c>
      <c r="J7" t="s">
        <v>374</v>
      </c>
    </row>
    <row r="8" spans="1:10" x14ac:dyDescent="0.35">
      <c r="A8" t="s">
        <v>381</v>
      </c>
      <c r="B8" t="s">
        <v>382</v>
      </c>
      <c r="C8" t="s">
        <v>383</v>
      </c>
      <c r="D8" t="s">
        <v>384</v>
      </c>
      <c r="E8" t="s">
        <v>385</v>
      </c>
      <c r="F8" t="s">
        <v>337</v>
      </c>
      <c r="G8" t="s">
        <v>386</v>
      </c>
      <c r="H8" t="s">
        <v>387</v>
      </c>
      <c r="I8" t="s">
        <v>388</v>
      </c>
      <c r="J8" t="s">
        <v>382</v>
      </c>
    </row>
    <row r="9" spans="1:10" x14ac:dyDescent="0.35">
      <c r="A9" t="s">
        <v>389</v>
      </c>
      <c r="B9" t="s">
        <v>390</v>
      </c>
      <c r="C9" t="s">
        <v>391</v>
      </c>
      <c r="D9" t="s">
        <v>392</v>
      </c>
      <c r="E9" t="s">
        <v>393</v>
      </c>
      <c r="F9" t="s">
        <v>337</v>
      </c>
      <c r="G9" t="s">
        <v>394</v>
      </c>
      <c r="H9" t="s">
        <v>395</v>
      </c>
      <c r="I9" t="s">
        <v>396</v>
      </c>
      <c r="J9" t="s">
        <v>390</v>
      </c>
    </row>
    <row r="12" spans="1:10" ht="15.5" x14ac:dyDescent="0.35">
      <c r="B12" s="19" t="s">
        <v>322</v>
      </c>
      <c r="C12" s="59" t="s">
        <v>328</v>
      </c>
    </row>
    <row r="13" spans="1:10" ht="15.5" x14ac:dyDescent="0.35">
      <c r="B13" s="60" t="s">
        <v>332</v>
      </c>
      <c r="C13" s="59"/>
      <c r="E13" t="s">
        <v>397</v>
      </c>
    </row>
    <row r="14" spans="1:10" ht="15.5" x14ac:dyDescent="0.35">
      <c r="B14" s="59"/>
      <c r="C14" s="61"/>
    </row>
    <row r="17" spans="2:3" x14ac:dyDescent="0.35">
      <c r="C17" s="25"/>
    </row>
    <row r="18" spans="2:3" x14ac:dyDescent="0.35">
      <c r="C18" s="25"/>
    </row>
    <row r="19" spans="2:3" x14ac:dyDescent="0.35">
      <c r="B19" s="19" t="s">
        <v>322</v>
      </c>
      <c r="C19" t="s">
        <v>325</v>
      </c>
    </row>
    <row r="20" spans="2:3" x14ac:dyDescent="0.35">
      <c r="B20" t="s">
        <v>332</v>
      </c>
      <c r="C20" t="str">
        <f>INDEX(A1:J9,MATCH(B20,A1:A9,0),MATCH(C19,A1:J1,0))</f>
        <v>Mathematics (Mrs. Lee)</v>
      </c>
    </row>
  </sheetData>
  <dataValidations count="3">
    <dataValidation type="list" allowBlank="1" showInputMessage="1" showErrorMessage="1" sqref="B20" xr:uid="{9CB0B3DD-1E50-441F-B60A-20638D37DA78}">
      <formula1>$A$2:$A$9</formula1>
    </dataValidation>
    <dataValidation type="list" allowBlank="1" showInputMessage="1" showErrorMessage="1" sqref="C12 C19" xr:uid="{DC3CFD5B-7407-430A-9402-5C93CEB8CF03}">
      <formula1>$B$1:$J$1</formula1>
    </dataValidation>
    <dataValidation type="list" allowBlank="1" showInputMessage="1" showErrorMessage="1" sqref="B13:B14" xr:uid="{7DFE15B8-BA40-4F0D-953E-E354857AD82C}">
      <formula1>$A$1:$A$9</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C49B-1DE6-477C-92A6-D28E61C29E84}">
  <dimension ref="B1:L7"/>
  <sheetViews>
    <sheetView zoomScale="160" zoomScaleNormal="160" workbookViewId="0">
      <selection activeCell="H7" sqref="H7"/>
    </sheetView>
  </sheetViews>
  <sheetFormatPr defaultRowHeight="14.5" x14ac:dyDescent="0.35"/>
  <cols>
    <col min="8" max="8" width="17.1796875" customWidth="1"/>
    <col min="12" max="12" width="13.7265625" customWidth="1"/>
  </cols>
  <sheetData>
    <row r="1" spans="2:12" ht="15" thickBot="1" x14ac:dyDescent="0.4"/>
    <row r="2" spans="2:12" ht="15" thickBot="1" x14ac:dyDescent="0.4">
      <c r="B2" s="82">
        <v>1</v>
      </c>
      <c r="C2" s="82" t="s">
        <v>1</v>
      </c>
      <c r="D2" s="82" t="s">
        <v>20</v>
      </c>
      <c r="E2" s="82" t="s">
        <v>12</v>
      </c>
      <c r="F2" s="82" t="s">
        <v>8</v>
      </c>
      <c r="K2" s="83" t="s">
        <v>1</v>
      </c>
      <c r="L2" s="84"/>
    </row>
    <row r="3" spans="2:12" x14ac:dyDescent="0.35">
      <c r="B3" s="82">
        <v>2</v>
      </c>
      <c r="C3" s="82" t="s">
        <v>438</v>
      </c>
      <c r="D3" s="82">
        <v>15000</v>
      </c>
      <c r="E3" s="82">
        <v>12000</v>
      </c>
      <c r="F3" s="82">
        <v>18000</v>
      </c>
      <c r="H3" s="82" t="s">
        <v>442</v>
      </c>
      <c r="J3" s="82" t="s">
        <v>441</v>
      </c>
      <c r="K3" s="82" t="s">
        <v>438</v>
      </c>
    </row>
    <row r="4" spans="2:12" x14ac:dyDescent="0.35">
      <c r="B4" s="82">
        <v>3</v>
      </c>
      <c r="C4" s="82" t="s">
        <v>439</v>
      </c>
      <c r="D4" s="82">
        <v>20000</v>
      </c>
      <c r="E4" s="82">
        <v>16000</v>
      </c>
      <c r="F4" s="82">
        <v>21000</v>
      </c>
      <c r="K4" s="82" t="s">
        <v>439</v>
      </c>
    </row>
    <row r="5" spans="2:12" x14ac:dyDescent="0.35">
      <c r="B5" s="82">
        <v>4</v>
      </c>
      <c r="C5" s="82" t="s">
        <v>440</v>
      </c>
      <c r="D5" s="82">
        <v>18000</v>
      </c>
      <c r="E5" s="82">
        <v>14000</v>
      </c>
      <c r="F5" s="82">
        <v>19000</v>
      </c>
      <c r="H5">
        <f>HLOOKUP("South",B2:F6,3,0)</f>
        <v>16000</v>
      </c>
      <c r="K5" s="82" t="s">
        <v>440</v>
      </c>
    </row>
    <row r="6" spans="2:12" x14ac:dyDescent="0.35">
      <c r="B6" s="82">
        <v>5</v>
      </c>
      <c r="C6" s="82" t="s">
        <v>441</v>
      </c>
      <c r="D6" s="82">
        <v>22000</v>
      </c>
      <c r="E6" s="82">
        <v>17000</v>
      </c>
      <c r="F6" s="82">
        <v>23000</v>
      </c>
      <c r="K6" s="82" t="s">
        <v>441</v>
      </c>
    </row>
    <row r="7" spans="2:12" x14ac:dyDescent="0.35">
      <c r="H7">
        <f>HLOOKUP("South",$B$2:$F$6,3,0)</f>
        <v>16000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453CB3D-F296-402B-8033-32035580FFF0}">
  <ds:schemaRefs/>
</ds:datastoreItem>
</file>

<file path=customXml/itemProps2.xml><?xml version="1.0" encoding="utf-8"?>
<ds:datastoreItem xmlns:ds="http://schemas.openxmlformats.org/officeDocument/2006/customXml" ds:itemID="{BA187257-1D93-45CB-9789-5E63CBEBE207}">
  <ds:schemaRefs/>
</ds:datastoreItem>
</file>

<file path=customXml/itemProps3.xml><?xml version="1.0" encoding="utf-8"?>
<ds:datastoreItem xmlns:ds="http://schemas.openxmlformats.org/officeDocument/2006/customXml" ds:itemID="{DDC0D1A0-282C-4597-BE8C-57B6A21DC794}">
  <ds:schemaRefs/>
</ds:datastoreItem>
</file>

<file path=customXml/itemProps4.xml><?xml version="1.0" encoding="utf-8"?>
<ds:datastoreItem xmlns:ds="http://schemas.openxmlformats.org/officeDocument/2006/customXml" ds:itemID="{7ACF7E1B-BD8B-4488-8B9A-AF96FD41F947}">
  <ds:schemaRefs/>
</ds:datastoreItem>
</file>

<file path=customXml/itemProps5.xml><?xml version="1.0" encoding="utf-8"?>
<ds:datastoreItem xmlns:ds="http://schemas.openxmlformats.org/officeDocument/2006/customXml" ds:itemID="{AB44E98E-245D-41F0-92F4-4A1FCAD4FD61}">
  <ds:schemaRefs/>
</ds:datastoreItem>
</file>

<file path=customXml/itemProps6.xml><?xml version="1.0" encoding="utf-8"?>
<ds:datastoreItem xmlns:ds="http://schemas.openxmlformats.org/officeDocument/2006/customXml" ds:itemID="{23E1F235-2CE6-40F6-A792-E43C10B5B49D}">
  <ds:schemaRefs/>
</ds:datastoreItem>
</file>

<file path=customXml/itemProps7.xml><?xml version="1.0" encoding="utf-8"?>
<ds:datastoreItem xmlns:ds="http://schemas.openxmlformats.org/officeDocument/2006/customXml" ds:itemID="{3FC7BC98-889F-462C-8415-9DB6A3A67AEF}">
  <ds:schemaRefs>
    <ds:schemaRef ds:uri="http://www.w3.org/2001/XMLSchema"/>
    <ds:schemaRef ds:uri="http://microsoft.data.visualization.engine.tours/1.0"/>
  </ds:schemaRefs>
</ds:datastoreItem>
</file>

<file path=customXml/itemProps8.xml><?xml version="1.0" encoding="utf-8"?>
<ds:datastoreItem xmlns:ds="http://schemas.openxmlformats.org/officeDocument/2006/customXml" ds:itemID="{3DC49E4F-8003-4C23-BA7D-1775A7C6DE3B}">
  <ds:schemaRefs/>
</ds:datastoreItem>
</file>

<file path=customXml/itemProps9.xml><?xml version="1.0" encoding="utf-8"?>
<ds:datastoreItem xmlns:ds="http://schemas.openxmlformats.org/officeDocument/2006/customXml" ds:itemID="{249EBBB6-8DC7-47A2-8288-93D3F1A63E3A}">
  <ds:schemaRefs/>
</ds:datastoreItem>
</file>

<file path=customXml/itemProps10.xml><?xml version="1.0" encoding="utf-8"?>
<ds:datastoreItem xmlns:ds="http://schemas.openxmlformats.org/officeDocument/2006/customXml" ds:itemID="{88106302-3C98-439E-B506-5205922BA267}">
  <ds:schemaRefs>
    <ds:schemaRef ds:uri="http://www.w3.org/2001/XMLSchema"/>
    <ds:schemaRef ds:uri="http://microsoft.data.visualization.Client.Excel.LState/1.0"/>
  </ds:schemaRefs>
</ds:datastoreItem>
</file>

<file path=customXml/itemProps11.xml><?xml version="1.0" encoding="utf-8"?>
<ds:datastoreItem xmlns:ds="http://schemas.openxmlformats.org/officeDocument/2006/customXml" ds:itemID="{1945657D-5A45-431A-8DF5-F1BF931CD4C3}">
  <ds:schemaRefs/>
</ds:datastoreItem>
</file>

<file path=customXml/itemProps12.xml><?xml version="1.0" encoding="utf-8"?>
<ds:datastoreItem xmlns:ds="http://schemas.openxmlformats.org/officeDocument/2006/customXml" ds:itemID="{7D027C55-AA0D-4ACA-A456-811458C58C8E}">
  <ds:schemaRefs/>
</ds:datastoreItem>
</file>

<file path=customXml/itemProps13.xml><?xml version="1.0" encoding="utf-8"?>
<ds:datastoreItem xmlns:ds="http://schemas.openxmlformats.org/officeDocument/2006/customXml" ds:itemID="{A78A36BB-77AC-4346-80F0-47B1802B6DBF}">
  <ds:schemaRefs/>
</ds:datastoreItem>
</file>

<file path=customXml/itemProps14.xml><?xml version="1.0" encoding="utf-8"?>
<ds:datastoreItem xmlns:ds="http://schemas.openxmlformats.org/officeDocument/2006/customXml" ds:itemID="{1F270724-5913-4818-8194-276B7BD0422C}">
  <ds:schemaRefs/>
</ds:datastoreItem>
</file>

<file path=customXml/itemProps15.xml><?xml version="1.0" encoding="utf-8"?>
<ds:datastoreItem xmlns:ds="http://schemas.openxmlformats.org/officeDocument/2006/customXml" ds:itemID="{48668498-4FF8-4F0D-9C9B-82BA19BFDD56}">
  <ds:schemaRefs>
    <ds:schemaRef ds:uri="http://www.w3.org/2001/XMLSchema"/>
    <ds:schemaRef ds:uri="http://microsoft.data.visualization.Client.Excel.PState/1.0"/>
  </ds:schemaRefs>
</ds:datastoreItem>
</file>

<file path=customXml/itemProps16.xml><?xml version="1.0" encoding="utf-8"?>
<ds:datastoreItem xmlns:ds="http://schemas.openxmlformats.org/officeDocument/2006/customXml" ds:itemID="{722DE19E-E057-4893-96DE-6079DFF14732}">
  <ds:schemaRefs>
    <ds:schemaRef ds:uri="http://www.w3.org/2001/XMLSchema"/>
    <ds:schemaRef ds:uri="http://microsoft.data.visualization.Client.Excel/1.0"/>
  </ds:schemaRefs>
</ds:datastoreItem>
</file>

<file path=customXml/itemProps17.xml><?xml version="1.0" encoding="utf-8"?>
<ds:datastoreItem xmlns:ds="http://schemas.openxmlformats.org/officeDocument/2006/customXml" ds:itemID="{3F0EF2FC-C211-4922-BE73-0B4D93F880A3}">
  <ds:schemaRefs/>
</ds:datastoreItem>
</file>

<file path=customXml/itemProps18.xml><?xml version="1.0" encoding="utf-8"?>
<ds:datastoreItem xmlns:ds="http://schemas.openxmlformats.org/officeDocument/2006/customXml" ds:itemID="{B1F0995A-05C0-4F7F-9E7E-5170842E9F53}">
  <ds:schemaRefs/>
</ds:datastoreItem>
</file>

<file path=customXml/itemProps19.xml><?xml version="1.0" encoding="utf-8"?>
<ds:datastoreItem xmlns:ds="http://schemas.openxmlformats.org/officeDocument/2006/customXml" ds:itemID="{44290CB8-D36B-45D2-A9E4-C50A854CD7A8}">
  <ds:schemaRefs/>
</ds:datastoreItem>
</file>

<file path=customXml/itemProps20.xml><?xml version="1.0" encoding="utf-8"?>
<ds:datastoreItem xmlns:ds="http://schemas.openxmlformats.org/officeDocument/2006/customXml" ds:itemID="{45CEDB9F-C33A-417B-8CBE-35EB8E46C6F6}">
  <ds:schemaRefs/>
</ds:datastoreItem>
</file>

<file path=customXml/itemProps21.xml><?xml version="1.0" encoding="utf-8"?>
<ds:datastoreItem xmlns:ds="http://schemas.openxmlformats.org/officeDocument/2006/customXml" ds:itemID="{70F667AC-5A8A-41D5-B46C-0E4D452358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fill zeros in Empty cells</vt:lpstr>
      <vt:lpstr>show values as</vt:lpstr>
      <vt:lpstr>Salesman</vt:lpstr>
      <vt:lpstr>grouping</vt:lpstr>
      <vt:lpstr>slicers</vt:lpstr>
      <vt:lpstr>Sheet2</vt:lpstr>
      <vt:lpstr>Map report</vt:lpstr>
      <vt:lpstr>Sheet1</vt:lpstr>
      <vt:lpstr>Sheet8</vt:lpstr>
      <vt:lpstr>City wise report</vt:lpstr>
      <vt:lpstr>Pivot</vt:lpstr>
      <vt:lpstr>New Data</vt:lpstr>
      <vt:lpstr>Sheet3</vt:lpstr>
      <vt:lpstr>Sheet4</vt:lpstr>
      <vt:lpstr>Sparklines</vt:lpstr>
      <vt:lpstr>Sheet6</vt:lpstr>
      <vt:lpstr>Charts</vt:lpstr>
      <vt:lpstr>Chart's Data</vt:lpstr>
      <vt:lpstr>Page layout</vt:lpstr>
      <vt:lpstr>Power Pivot</vt:lpstr>
      <vt:lpstr>Conditional Functions</vt:lpstr>
      <vt:lpstr>Logical functions</vt:lpstr>
      <vt:lpstr>Vlookup</vt:lpstr>
      <vt:lpstr>vlookup 2</vt:lpstr>
      <vt:lpstr>V-lookup with match</vt:lpstr>
      <vt:lpstr>Sheet11</vt:lpstr>
      <vt:lpstr>HLookup</vt:lpstr>
      <vt:lpstr>Emp_Type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Dhakad</dc:creator>
  <cp:lastModifiedBy>Vikash Dhakad</cp:lastModifiedBy>
  <cp:lastPrinted>2025-08-01T07:52:42Z</cp:lastPrinted>
  <dcterms:created xsi:type="dcterms:W3CDTF">2025-07-28T05:21:16Z</dcterms:created>
  <dcterms:modified xsi:type="dcterms:W3CDTF">2025-11-24T12:01:29Z</dcterms:modified>
</cp:coreProperties>
</file>
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ikas Dhakad\Desktop\"/>
    </mc:Choice>
  </mc:AlternateContent>
  <xr:revisionPtr revIDLastSave="0" documentId="13_ncr:1_{BF3E42CC-CCFF-44F7-B7A5-BE48AD808234}" xr6:coauthVersionLast="47" xr6:coauthVersionMax="47" xr10:uidLastSave="{00000000-0000-0000-0000-000000000000}"/>
  <bookViews>
    <workbookView xWindow="-110" yWindow="-110" windowWidth="19420" windowHeight="10300" firstSheet="6" activeTab="10" xr2:uid="{AC69387E-51BC-4289-89C2-FA0CDC9E8BB0}"/>
  </bookViews>
  <sheets>
    <sheet name="Sheet1" sheetId="1" r:id="rId1"/>
    <sheet name="Sheet4" sheetId="8" r:id="rId2"/>
    <sheet name="Calculated item" sheetId="3" r:id="rId3"/>
    <sheet name="PIVOT TABLES" sheetId="4" state="hidden" r:id="rId4"/>
    <sheet name="Sheet3" sheetId="5" state="hidden" r:id="rId5"/>
    <sheet name="Sheet2" sheetId="6" r:id="rId6"/>
    <sheet name="Sheet5" sheetId="9" r:id="rId7"/>
    <sheet name="Sheet6" sheetId="10" r:id="rId8"/>
    <sheet name="VIKAS" sheetId="7" r:id="rId9"/>
    <sheet name="Sheet8" sheetId="12" r:id="rId10"/>
    <sheet name="sheets" sheetId="11" r:id="rId11"/>
  </sheets>
  <definedNames>
    <definedName name="_xlnm._FilterDatabase" localSheetId="8" hidden="1">VIKAS!$A$1:$K$1046</definedName>
    <definedName name="_xlcn.WorksheetConnection_Mohit.xlsxTable11" hidden="1">VIKAS!$B$1:$K$1059</definedName>
    <definedName name="Slicer_City">#N/A</definedName>
    <definedName name="Slicer_City1">#N/A</definedName>
    <definedName name="Slicer_Product">#N/A</definedName>
    <definedName name="Slicer_Product1">#N/A</definedName>
    <definedName name="Slicer_Salesman">#N/A</definedName>
    <definedName name="Z_87A1CBC9_9776_4993_B904_8709C619272F_.wvu.FilterData" localSheetId="8" hidden="1">VIKAS!$B$1:$J$1046</definedName>
  </definedNames>
  <calcPr calcId="191029"/>
  <customWorkbookViews>
    <customWorkbookView name="intel - Personal View" guid="{87A1CBC9-9776-4993-B904-8709C619272F}" mergeInterval="0" personalView="1" maximized="1" xWindow="-11" yWindow="-11" windowWidth="1942" windowHeight="1042" activeSheetId="3"/>
  </customWorkbookViews>
  <pivotCaches>
    <pivotCache cacheId="0" r:id="rId12"/>
    <pivotCache cacheId="1" r:id="rId13"/>
    <pivotCache cacheId="2" r:id="rId14"/>
    <pivotCache cacheId="3" r:id="rId15"/>
    <pivotCache cacheId="5"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ohi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11" l="1"/>
  <c r="Q8" i="11"/>
  <c r="R8" i="11"/>
  <c r="S8" i="11"/>
  <c r="T8" i="11"/>
  <c r="U8" i="11"/>
  <c r="V8" i="11"/>
  <c r="W8" i="11"/>
  <c r="X8" i="11"/>
  <c r="Y8" i="11"/>
  <c r="Z8" i="11"/>
  <c r="AA8" i="11"/>
  <c r="Q9" i="11"/>
  <c r="R9" i="11"/>
  <c r="S9" i="11"/>
  <c r="T9" i="11"/>
  <c r="U9" i="11"/>
  <c r="V9" i="11"/>
  <c r="W9" i="11"/>
  <c r="X9" i="11"/>
  <c r="Y9" i="11"/>
  <c r="Z9" i="11"/>
  <c r="AA9" i="11"/>
  <c r="Q10" i="11"/>
  <c r="R10" i="11"/>
  <c r="S10" i="11"/>
  <c r="T10" i="11"/>
  <c r="U10" i="11"/>
  <c r="V10" i="11"/>
  <c r="W10" i="11"/>
  <c r="X10" i="11"/>
  <c r="Y10" i="11"/>
  <c r="Z10" i="11"/>
  <c r="AA10" i="11"/>
  <c r="Q11" i="11"/>
  <c r="R11" i="11"/>
  <c r="S11" i="11"/>
  <c r="T11" i="11"/>
  <c r="U11" i="11"/>
  <c r="V11" i="11"/>
  <c r="W11" i="11"/>
  <c r="X11" i="11"/>
  <c r="Y11" i="11"/>
  <c r="Z11" i="11"/>
  <c r="AA11" i="11"/>
  <c r="Q12" i="11"/>
  <c r="R12" i="11"/>
  <c r="S12" i="11"/>
  <c r="T12" i="11"/>
  <c r="U12" i="11"/>
  <c r="V12" i="11"/>
  <c r="W12" i="11"/>
  <c r="X12" i="11"/>
  <c r="Y12" i="11"/>
  <c r="Z12" i="11"/>
  <c r="AA12" i="11"/>
  <c r="Q13" i="11"/>
  <c r="R13" i="11"/>
  <c r="S13" i="11"/>
  <c r="T13" i="11"/>
  <c r="U13" i="11"/>
  <c r="V13" i="11"/>
  <c r="W13" i="11"/>
  <c r="X13" i="11"/>
  <c r="Y13" i="11"/>
  <c r="Z13" i="11"/>
  <c r="AA13" i="11"/>
  <c r="Q14" i="11"/>
  <c r="R14" i="11"/>
  <c r="S14" i="11"/>
  <c r="T14" i="11"/>
  <c r="U14" i="11"/>
  <c r="V14" i="11"/>
  <c r="W14" i="11"/>
  <c r="X14" i="11"/>
  <c r="Y14" i="11"/>
  <c r="Z14" i="11"/>
  <c r="AA14" i="11"/>
  <c r="Q15" i="11"/>
  <c r="R15" i="11"/>
  <c r="S15" i="11"/>
  <c r="T15" i="11"/>
  <c r="U15" i="11"/>
  <c r="V15" i="11"/>
  <c r="W15" i="11"/>
  <c r="X15" i="11"/>
  <c r="Y15" i="11"/>
  <c r="Z15" i="11"/>
  <c r="AA15" i="11"/>
  <c r="Q16" i="11"/>
  <c r="R16" i="11"/>
  <c r="S16" i="11"/>
  <c r="T16" i="11"/>
  <c r="U16" i="11"/>
  <c r="V16" i="11"/>
  <c r="W16" i="11"/>
  <c r="X16" i="11"/>
  <c r="Y16" i="11"/>
  <c r="Z16" i="11"/>
  <c r="AA16" i="11"/>
  <c r="Q17" i="11"/>
  <c r="R17" i="11"/>
  <c r="S17" i="11"/>
  <c r="T17" i="11"/>
  <c r="U17" i="11"/>
  <c r="V17" i="11"/>
  <c r="W17" i="11"/>
  <c r="X17" i="11"/>
  <c r="Y17" i="11"/>
  <c r="Z17" i="11"/>
  <c r="AA17" i="11"/>
  <c r="Q18" i="11"/>
  <c r="R18" i="11"/>
  <c r="S18" i="11"/>
  <c r="T18" i="11"/>
  <c r="U18" i="11"/>
  <c r="V18" i="11"/>
  <c r="W18" i="11"/>
  <c r="X18" i="11"/>
  <c r="Y18" i="11"/>
  <c r="Z18" i="11"/>
  <c r="AA18" i="11"/>
  <c r="Q19" i="11"/>
  <c r="R19" i="11"/>
  <c r="S19" i="11"/>
  <c r="T19" i="11"/>
  <c r="U19" i="11"/>
  <c r="V19" i="11"/>
  <c r="W19" i="11"/>
  <c r="X19" i="11"/>
  <c r="Y19" i="11"/>
  <c r="Z19" i="11"/>
  <c r="AA19" i="11"/>
  <c r="Q20" i="11"/>
  <c r="R20" i="11"/>
  <c r="S20" i="11"/>
  <c r="T20" i="11"/>
  <c r="U20" i="11"/>
  <c r="V20" i="11"/>
  <c r="W20" i="11"/>
  <c r="X20" i="11"/>
  <c r="Y20" i="11"/>
  <c r="Z20" i="11"/>
  <c r="AA20" i="11"/>
  <c r="Q21" i="11"/>
  <c r="R21" i="11"/>
  <c r="S21" i="11"/>
  <c r="T21" i="11"/>
  <c r="U21" i="11"/>
  <c r="V21" i="11"/>
  <c r="W21" i="11"/>
  <c r="X21" i="11"/>
  <c r="Y21" i="11"/>
  <c r="Z21" i="11"/>
  <c r="AA21" i="11"/>
  <c r="Q22" i="11"/>
  <c r="R22" i="11"/>
  <c r="S22" i="11"/>
  <c r="T22" i="11"/>
  <c r="U22" i="11"/>
  <c r="V22" i="11"/>
  <c r="W22" i="11"/>
  <c r="X22" i="11"/>
  <c r="Y22" i="11"/>
  <c r="Z22" i="11"/>
  <c r="AA22" i="11"/>
  <c r="Q23" i="11"/>
  <c r="R23" i="11"/>
  <c r="S23" i="11"/>
  <c r="T23" i="11"/>
  <c r="U23" i="11"/>
  <c r="V23" i="11"/>
  <c r="W23" i="11"/>
  <c r="X23" i="11"/>
  <c r="Y23" i="11"/>
  <c r="Z23" i="11"/>
  <c r="AA23" i="11"/>
  <c r="Q24" i="11"/>
  <c r="R24" i="11"/>
  <c r="S24" i="11"/>
  <c r="T24" i="11"/>
  <c r="U24" i="11"/>
  <c r="V24" i="11"/>
  <c r="W24" i="11"/>
  <c r="X24" i="11"/>
  <c r="Y24" i="11"/>
  <c r="Z24" i="11"/>
  <c r="AA24" i="11"/>
  <c r="Q25" i="11"/>
  <c r="R25" i="11"/>
  <c r="S25" i="11"/>
  <c r="T25" i="11"/>
  <c r="U25" i="11"/>
  <c r="V25" i="11"/>
  <c r="W25" i="11"/>
  <c r="X25" i="11"/>
  <c r="Y25" i="11"/>
  <c r="Z25" i="11"/>
  <c r="AA25" i="11"/>
  <c r="Q26" i="11"/>
  <c r="R26" i="11"/>
  <c r="S26" i="11"/>
  <c r="T26" i="11"/>
  <c r="U26" i="11"/>
  <c r="V26" i="11"/>
  <c r="W26" i="11"/>
  <c r="X26" i="11"/>
  <c r="Y26" i="11"/>
  <c r="Z26" i="11"/>
  <c r="AA26" i="11"/>
  <c r="Q27" i="11"/>
  <c r="R27" i="11"/>
  <c r="S27" i="11"/>
  <c r="T27" i="11"/>
  <c r="U27" i="11"/>
  <c r="V27" i="11"/>
  <c r="W27" i="11"/>
  <c r="X27" i="11"/>
  <c r="Y27" i="11"/>
  <c r="Z27" i="11"/>
  <c r="AA27" i="11"/>
  <c r="Q28" i="11"/>
  <c r="R28" i="11"/>
  <c r="S28" i="11"/>
  <c r="T28" i="11"/>
  <c r="U28" i="11"/>
  <c r="V28" i="11"/>
  <c r="W28" i="11"/>
  <c r="X28" i="11"/>
  <c r="Y28" i="11"/>
  <c r="Z28" i="11"/>
  <c r="AA28" i="11"/>
  <c r="Q29" i="11"/>
  <c r="R29" i="11"/>
  <c r="S29" i="11"/>
  <c r="T29" i="11"/>
  <c r="U29" i="11"/>
  <c r="V29" i="11"/>
  <c r="W29" i="11"/>
  <c r="X29" i="11"/>
  <c r="Y29" i="11"/>
  <c r="Z29" i="11"/>
  <c r="AA29" i="11"/>
  <c r="Q30" i="11"/>
  <c r="R30" i="11"/>
  <c r="S30" i="11"/>
  <c r="T30" i="11"/>
  <c r="U30" i="11"/>
  <c r="V30" i="11"/>
  <c r="W30" i="11"/>
  <c r="X30" i="11"/>
  <c r="Y30" i="11"/>
  <c r="Z30" i="11"/>
  <c r="AA30" i="11"/>
  <c r="Q31" i="11"/>
  <c r="R31" i="11"/>
  <c r="S31" i="11"/>
  <c r="T31" i="11"/>
  <c r="U31" i="11"/>
  <c r="V31" i="11"/>
  <c r="W31" i="11"/>
  <c r="X31" i="11"/>
  <c r="Y31" i="11"/>
  <c r="Z31" i="11"/>
  <c r="AA31" i="11"/>
  <c r="Q32" i="11"/>
  <c r="R32" i="11"/>
  <c r="S32" i="11"/>
  <c r="T32" i="11"/>
  <c r="U32" i="11"/>
  <c r="V32" i="11"/>
  <c r="W32" i="11"/>
  <c r="X32" i="11"/>
  <c r="Y32" i="11"/>
  <c r="Z32" i="11"/>
  <c r="AA32" i="11"/>
  <c r="Q33" i="11"/>
  <c r="R33" i="11"/>
  <c r="S33" i="11"/>
  <c r="T33" i="11"/>
  <c r="U33" i="11"/>
  <c r="V33" i="11"/>
  <c r="W33" i="11"/>
  <c r="X33" i="11"/>
  <c r="Y33" i="11"/>
  <c r="Z33" i="11"/>
  <c r="AA33" i="11"/>
  <c r="Q34" i="11"/>
  <c r="R34" i="11"/>
  <c r="S34" i="11"/>
  <c r="T34" i="11"/>
  <c r="U34" i="11"/>
  <c r="V34" i="11"/>
  <c r="W34" i="11"/>
  <c r="X34" i="11"/>
  <c r="Y34" i="11"/>
  <c r="Z34" i="11"/>
  <c r="AA34" i="11"/>
  <c r="Q35" i="11"/>
  <c r="R35" i="11"/>
  <c r="S35" i="11"/>
  <c r="T35" i="11"/>
  <c r="U35" i="11"/>
  <c r="V35" i="11"/>
  <c r="W35" i="11"/>
  <c r="X35" i="11"/>
  <c r="Y35" i="11"/>
  <c r="Z35" i="11"/>
  <c r="AA35" i="11"/>
  <c r="Q36" i="11"/>
  <c r="R36" i="11"/>
  <c r="S36" i="11"/>
  <c r="T36" i="11"/>
  <c r="U36" i="11"/>
  <c r="V36" i="11"/>
  <c r="W36" i="11"/>
  <c r="X36" i="11"/>
  <c r="Y36" i="11"/>
  <c r="Z36" i="11"/>
  <c r="AA36" i="11"/>
  <c r="Q37" i="11"/>
  <c r="R37" i="11"/>
  <c r="S37" i="11"/>
  <c r="T37" i="11"/>
  <c r="U37" i="11"/>
  <c r="V37" i="11"/>
  <c r="W37" i="11"/>
  <c r="X37" i="11"/>
  <c r="Y37" i="11"/>
  <c r="Z37" i="11"/>
  <c r="AA37" i="11"/>
  <c r="Q38" i="11"/>
  <c r="R38" i="11"/>
  <c r="S38" i="11"/>
  <c r="T38" i="11"/>
  <c r="U38" i="11"/>
  <c r="V38" i="11"/>
  <c r="W38" i="11"/>
  <c r="X38" i="11"/>
  <c r="Y38" i="11"/>
  <c r="Z38" i="11"/>
  <c r="AA38" i="11"/>
  <c r="Q39" i="11"/>
  <c r="R39" i="11"/>
  <c r="S39" i="11"/>
  <c r="T39" i="11"/>
  <c r="U39" i="11"/>
  <c r="V39" i="11"/>
  <c r="W39" i="11"/>
  <c r="X39" i="11"/>
  <c r="Y39" i="11"/>
  <c r="Z39" i="11"/>
  <c r="AA39" i="11"/>
  <c r="Q40" i="11"/>
  <c r="R40" i="11"/>
  <c r="S40" i="11"/>
  <c r="T40" i="11"/>
  <c r="U40" i="11"/>
  <c r="V40" i="11"/>
  <c r="W40" i="11"/>
  <c r="X40" i="11"/>
  <c r="Y40" i="11"/>
  <c r="Z40" i="11"/>
  <c r="AA40" i="11"/>
  <c r="Q41" i="11"/>
  <c r="R41" i="11"/>
  <c r="S41" i="11"/>
  <c r="T41" i="11"/>
  <c r="U41" i="11"/>
  <c r="V41" i="11"/>
  <c r="W41" i="11"/>
  <c r="X41" i="11"/>
  <c r="Y41" i="11"/>
  <c r="Z41" i="11"/>
  <c r="AA41" i="11"/>
  <c r="Q42" i="11"/>
  <c r="R42" i="11"/>
  <c r="S42" i="11"/>
  <c r="T42" i="11"/>
  <c r="U42" i="11"/>
  <c r="V42" i="11"/>
  <c r="W42" i="11"/>
  <c r="X42" i="11"/>
  <c r="Y42" i="11"/>
  <c r="Z42" i="11"/>
  <c r="AA42" i="11"/>
  <c r="Q43" i="11"/>
  <c r="R43" i="11"/>
  <c r="S43" i="11"/>
  <c r="T43" i="11"/>
  <c r="U43" i="11"/>
  <c r="V43" i="11"/>
  <c r="W43" i="11"/>
  <c r="X43" i="11"/>
  <c r="Y43" i="11"/>
  <c r="Z43" i="11"/>
  <c r="AA43" i="11"/>
  <c r="Q44" i="11"/>
  <c r="R44" i="11"/>
  <c r="S44" i="11"/>
  <c r="T44" i="11"/>
  <c r="U44" i="11"/>
  <c r="V44" i="11"/>
  <c r="W44" i="11"/>
  <c r="X44" i="11"/>
  <c r="Y44" i="11"/>
  <c r="Z44" i="11"/>
  <c r="AA44" i="11"/>
  <c r="Q45" i="11"/>
  <c r="R45" i="11"/>
  <c r="S45" i="11"/>
  <c r="T45" i="11"/>
  <c r="U45" i="11"/>
  <c r="V45" i="11"/>
  <c r="W45" i="11"/>
  <c r="X45" i="11"/>
  <c r="Y45" i="11"/>
  <c r="Z45" i="11"/>
  <c r="AA45" i="11"/>
  <c r="Q46" i="11"/>
  <c r="R46" i="11"/>
  <c r="S46" i="11"/>
  <c r="T46" i="11"/>
  <c r="U46" i="11"/>
  <c r="V46" i="11"/>
  <c r="W46" i="11"/>
  <c r="X46" i="11"/>
  <c r="Y46" i="11"/>
  <c r="Z46" i="11"/>
  <c r="AA46" i="11"/>
  <c r="Q47" i="11"/>
  <c r="R47" i="11"/>
  <c r="S47" i="11"/>
  <c r="T47" i="11"/>
  <c r="U47" i="11"/>
  <c r="V47" i="11"/>
  <c r="W47" i="11"/>
  <c r="X47" i="11"/>
  <c r="Y47" i="11"/>
  <c r="Z47" i="11"/>
  <c r="AA47" i="11"/>
  <c r="Q48" i="11"/>
  <c r="R48" i="11"/>
  <c r="S48" i="11"/>
  <c r="T48" i="11"/>
  <c r="U48" i="11"/>
  <c r="V48" i="11"/>
  <c r="W48" i="11"/>
  <c r="X48" i="11"/>
  <c r="Y48" i="11"/>
  <c r="Z48" i="11"/>
  <c r="AA48" i="11"/>
  <c r="Q49" i="11"/>
  <c r="R49" i="11"/>
  <c r="S49" i="11"/>
  <c r="T49" i="11"/>
  <c r="U49" i="11"/>
  <c r="V49" i="11"/>
  <c r="W49" i="11"/>
  <c r="X49" i="11"/>
  <c r="Y49" i="11"/>
  <c r="Z49" i="11"/>
  <c r="AA49" i="11"/>
  <c r="Q50" i="11"/>
  <c r="R50" i="11"/>
  <c r="S50" i="11"/>
  <c r="T50" i="11"/>
  <c r="U50" i="11"/>
  <c r="V50" i="11"/>
  <c r="W50" i="11"/>
  <c r="X50" i="11"/>
  <c r="Y50" i="11"/>
  <c r="Z50" i="11"/>
  <c r="AA50" i="11"/>
  <c r="Q51" i="11"/>
  <c r="R51" i="11"/>
  <c r="S51" i="11"/>
  <c r="T51" i="11"/>
  <c r="U51" i="11"/>
  <c r="V51" i="11"/>
  <c r="W51" i="11"/>
  <c r="X51" i="11"/>
  <c r="Y51" i="11"/>
  <c r="Z51" i="11"/>
  <c r="AA51" i="11"/>
  <c r="Q52" i="11"/>
  <c r="R52" i="11"/>
  <c r="S52" i="11"/>
  <c r="T52" i="11"/>
  <c r="U52" i="11"/>
  <c r="V52" i="11"/>
  <c r="W52" i="11"/>
  <c r="X52" i="11"/>
  <c r="Y52" i="11"/>
  <c r="Z52" i="11"/>
  <c r="AA52" i="11"/>
  <c r="Q53" i="11"/>
  <c r="R53" i="11"/>
  <c r="S53" i="11"/>
  <c r="T53" i="11"/>
  <c r="U53" i="11"/>
  <c r="V53" i="11"/>
  <c r="W53" i="11"/>
  <c r="X53" i="11"/>
  <c r="Y53" i="11"/>
  <c r="Z53" i="11"/>
  <c r="AA53" i="11"/>
  <c r="Q54" i="11"/>
  <c r="R54" i="11"/>
  <c r="S54" i="11"/>
  <c r="T54" i="11"/>
  <c r="U54" i="11"/>
  <c r="V54" i="11"/>
  <c r="W54" i="11"/>
  <c r="X54" i="11"/>
  <c r="Y54" i="11"/>
  <c r="Z54" i="11"/>
  <c r="AA54" i="11"/>
  <c r="Q55" i="11"/>
  <c r="R55" i="11"/>
  <c r="S55" i="11"/>
  <c r="T55" i="11"/>
  <c r="U55" i="11"/>
  <c r="V55" i="11"/>
  <c r="W55" i="11"/>
  <c r="X55" i="11"/>
  <c r="Y55" i="11"/>
  <c r="Z55" i="11"/>
  <c r="AA55" i="11"/>
  <c r="Q56" i="11"/>
  <c r="R56" i="11"/>
  <c r="S56" i="11"/>
  <c r="T56" i="11"/>
  <c r="U56" i="11"/>
  <c r="V56" i="11"/>
  <c r="W56" i="11"/>
  <c r="X56" i="11"/>
  <c r="Y56" i="11"/>
  <c r="Z56" i="11"/>
  <c r="AA56" i="11"/>
  <c r="Q57" i="11"/>
  <c r="R57" i="11"/>
  <c r="S57" i="11"/>
  <c r="T57" i="11"/>
  <c r="U57" i="11"/>
  <c r="V57" i="11"/>
  <c r="W57" i="11"/>
  <c r="X57" i="11"/>
  <c r="Y57" i="11"/>
  <c r="Z57" i="11"/>
  <c r="AA57" i="11"/>
  <c r="Q58" i="11"/>
  <c r="R58" i="11"/>
  <c r="S58" i="11"/>
  <c r="T58" i="11"/>
  <c r="U58" i="11"/>
  <c r="V58" i="11"/>
  <c r="W58" i="11"/>
  <c r="X58" i="11"/>
  <c r="Y58" i="11"/>
  <c r="Z58" i="11"/>
  <c r="AA58" i="11"/>
  <c r="Q59" i="11"/>
  <c r="R59" i="11"/>
  <c r="S59" i="11"/>
  <c r="T59" i="11"/>
  <c r="U59" i="11"/>
  <c r="V59" i="11"/>
  <c r="W59" i="11"/>
  <c r="X59" i="11"/>
  <c r="Y59" i="11"/>
  <c r="Z59" i="11"/>
  <c r="AA59" i="11"/>
  <c r="Q60" i="11"/>
  <c r="R60" i="11"/>
  <c r="S60" i="11"/>
  <c r="T60" i="11"/>
  <c r="U60" i="11"/>
  <c r="V60" i="11"/>
  <c r="W60" i="11"/>
  <c r="X60" i="11"/>
  <c r="Y60" i="11"/>
  <c r="Z60" i="11"/>
  <c r="AA60" i="11"/>
  <c r="Q61" i="11"/>
  <c r="R61" i="11"/>
  <c r="S61" i="11"/>
  <c r="T61" i="11"/>
  <c r="U61" i="11"/>
  <c r="V61" i="11"/>
  <c r="W61" i="11"/>
  <c r="X61" i="11"/>
  <c r="Y61" i="11"/>
  <c r="Z61" i="11"/>
  <c r="AA61" i="11"/>
  <c r="Q62" i="11"/>
  <c r="R62" i="11"/>
  <c r="S62" i="11"/>
  <c r="T62" i="11"/>
  <c r="U62" i="11"/>
  <c r="V62" i="11"/>
  <c r="W62" i="11"/>
  <c r="X62" i="11"/>
  <c r="Y62" i="11"/>
  <c r="Z62" i="11"/>
  <c r="AA62" i="11"/>
  <c r="Q63" i="11"/>
  <c r="R63" i="11"/>
  <c r="S63" i="11"/>
  <c r="T63" i="11"/>
  <c r="U63" i="11"/>
  <c r="V63" i="11"/>
  <c r="W63" i="11"/>
  <c r="X63" i="11"/>
  <c r="Y63" i="11"/>
  <c r="Z63" i="11"/>
  <c r="AA63" i="11"/>
  <c r="Q64" i="11"/>
  <c r="R64" i="11"/>
  <c r="S64" i="11"/>
  <c r="T64" i="11"/>
  <c r="U64" i="11"/>
  <c r="V64" i="11"/>
  <c r="W64" i="11"/>
  <c r="X64" i="11"/>
  <c r="Y64" i="11"/>
  <c r="Z64" i="11"/>
  <c r="AA64" i="11"/>
  <c r="Q65" i="11"/>
  <c r="R65" i="11"/>
  <c r="S65" i="11"/>
  <c r="T65" i="11"/>
  <c r="U65" i="11"/>
  <c r="V65" i="11"/>
  <c r="W65" i="11"/>
  <c r="X65" i="11"/>
  <c r="Y65" i="11"/>
  <c r="Z65" i="11"/>
  <c r="AA65" i="11"/>
  <c r="Q66" i="11"/>
  <c r="R66" i="11"/>
  <c r="S66" i="11"/>
  <c r="T66" i="11"/>
  <c r="U66" i="11"/>
  <c r="V66" i="11"/>
  <c r="W66" i="11"/>
  <c r="X66" i="11"/>
  <c r="Y66" i="11"/>
  <c r="Z66" i="11"/>
  <c r="AA66" i="11"/>
  <c r="Q67" i="11"/>
  <c r="R67" i="11"/>
  <c r="S67" i="11"/>
  <c r="T67" i="11"/>
  <c r="U67" i="11"/>
  <c r="V67" i="11"/>
  <c r="W67" i="11"/>
  <c r="X67" i="11"/>
  <c r="Y67" i="11"/>
  <c r="Z67" i="11"/>
  <c r="AA67" i="11"/>
  <c r="Q68" i="11"/>
  <c r="R68" i="11"/>
  <c r="S68" i="11"/>
  <c r="T68" i="11"/>
  <c r="U68" i="11"/>
  <c r="V68" i="11"/>
  <c r="W68" i="11"/>
  <c r="X68" i="11"/>
  <c r="Y68" i="11"/>
  <c r="Z68" i="11"/>
  <c r="AA68" i="11"/>
  <c r="Q69" i="11"/>
  <c r="R69" i="11"/>
  <c r="S69" i="11"/>
  <c r="T69" i="11"/>
  <c r="U69" i="11"/>
  <c r="V69" i="11"/>
  <c r="W69" i="11"/>
  <c r="X69" i="11"/>
  <c r="Y69" i="11"/>
  <c r="Z69" i="11"/>
  <c r="AA69" i="11"/>
  <c r="Q70" i="11"/>
  <c r="R70" i="11"/>
  <c r="S70" i="11"/>
  <c r="T70" i="11"/>
  <c r="U70" i="11"/>
  <c r="V70" i="11"/>
  <c r="W70" i="11"/>
  <c r="X70" i="11"/>
  <c r="Y70" i="11"/>
  <c r="Z70" i="11"/>
  <c r="AA70" i="11"/>
  <c r="Q71" i="11"/>
  <c r="R71" i="11"/>
  <c r="S71" i="11"/>
  <c r="T71" i="11"/>
  <c r="U71" i="11"/>
  <c r="V71" i="11"/>
  <c r="W71" i="11"/>
  <c r="X71" i="11"/>
  <c r="Y71" i="11"/>
  <c r="Z71" i="11"/>
  <c r="AA71" i="11"/>
  <c r="Q72" i="11"/>
  <c r="R72" i="11"/>
  <c r="S72" i="11"/>
  <c r="T72" i="11"/>
  <c r="U72" i="11"/>
  <c r="V72" i="11"/>
  <c r="W72" i="11"/>
  <c r="X72" i="11"/>
  <c r="Y72" i="11"/>
  <c r="Z72" i="11"/>
  <c r="AA72" i="11"/>
  <c r="Q73" i="11"/>
  <c r="R73" i="11"/>
  <c r="S73" i="11"/>
  <c r="T73" i="11"/>
  <c r="U73" i="11"/>
  <c r="V73" i="11"/>
  <c r="W73" i="11"/>
  <c r="X73" i="11"/>
  <c r="Y73" i="11"/>
  <c r="Z73" i="11"/>
  <c r="AA73" i="11"/>
  <c r="Q74" i="11"/>
  <c r="R74" i="11"/>
  <c r="S74" i="11"/>
  <c r="T74" i="11"/>
  <c r="U74" i="11"/>
  <c r="V74" i="11"/>
  <c r="W74" i="11"/>
  <c r="X74" i="11"/>
  <c r="Y74" i="11"/>
  <c r="Z74" i="11"/>
  <c r="AA74" i="11"/>
  <c r="Q75" i="11"/>
  <c r="R75" i="11"/>
  <c r="S75" i="11"/>
  <c r="T75" i="11"/>
  <c r="U75" i="11"/>
  <c r="V75" i="11"/>
  <c r="W75" i="11"/>
  <c r="X75" i="11"/>
  <c r="Y75" i="11"/>
  <c r="Z75" i="11"/>
  <c r="AA75" i="11"/>
  <c r="Q76" i="11"/>
  <c r="R76" i="11"/>
  <c r="S76" i="11"/>
  <c r="T76" i="11"/>
  <c r="U76" i="11"/>
  <c r="V76" i="11"/>
  <c r="W76" i="11"/>
  <c r="X76" i="11"/>
  <c r="Y76" i="11"/>
  <c r="Z76" i="11"/>
  <c r="AA76" i="11"/>
  <c r="Q77" i="11"/>
  <c r="R77" i="11"/>
  <c r="S77" i="11"/>
  <c r="T77" i="11"/>
  <c r="U77" i="11"/>
  <c r="V77" i="11"/>
  <c r="W77" i="11"/>
  <c r="X77" i="11"/>
  <c r="Y77" i="11"/>
  <c r="Z77" i="11"/>
  <c r="AA77" i="11"/>
  <c r="Q78" i="11"/>
  <c r="R78" i="11"/>
  <c r="S78" i="11"/>
  <c r="T78" i="11"/>
  <c r="U78" i="11"/>
  <c r="V78" i="11"/>
  <c r="W78" i="11"/>
  <c r="X78" i="11"/>
  <c r="Y78" i="11"/>
  <c r="Z78" i="11"/>
  <c r="AA78" i="11"/>
  <c r="Q79" i="11"/>
  <c r="R79" i="11"/>
  <c r="S79" i="11"/>
  <c r="T79" i="11"/>
  <c r="U79" i="11"/>
  <c r="V79" i="11"/>
  <c r="W79" i="11"/>
  <c r="X79" i="11"/>
  <c r="Y79" i="11"/>
  <c r="Z79" i="11"/>
  <c r="AA79" i="11"/>
  <c r="Q80" i="11"/>
  <c r="R80" i="11"/>
  <c r="S80" i="11"/>
  <c r="T80" i="11"/>
  <c r="U80" i="11"/>
  <c r="V80" i="11"/>
  <c r="W80" i="11"/>
  <c r="X80" i="11"/>
  <c r="Y80" i="11"/>
  <c r="Z80" i="11"/>
  <c r="AA80" i="11"/>
  <c r="Q81" i="11"/>
  <c r="R81" i="11"/>
  <c r="S81" i="11"/>
  <c r="T81" i="11"/>
  <c r="U81" i="11"/>
  <c r="V81" i="11"/>
  <c r="W81" i="11"/>
  <c r="X81" i="11"/>
  <c r="Y81" i="11"/>
  <c r="Z81" i="11"/>
  <c r="AA81" i="11"/>
  <c r="R7" i="11"/>
  <c r="S7" i="11"/>
  <c r="T7" i="11"/>
  <c r="U7" i="11"/>
  <c r="V7" i="11"/>
  <c r="W7" i="11"/>
  <c r="X7" i="11"/>
  <c r="Y7" i="11"/>
  <c r="Z7" i="11"/>
  <c r="AA7" i="11"/>
  <c r="D4" i="11"/>
  <c r="Q4" i="7"/>
  <c r="R4" i="7"/>
  <c r="S4" i="7"/>
  <c r="T4" i="7"/>
  <c r="U4" i="7"/>
  <c r="Q5" i="7"/>
  <c r="R5" i="7"/>
  <c r="S5" i="7"/>
  <c r="T5" i="7"/>
  <c r="U5" i="7"/>
  <c r="Q6" i="7"/>
  <c r="R6" i="7"/>
  <c r="S6" i="7"/>
  <c r="T6" i="7"/>
  <c r="U6" i="7"/>
  <c r="Q7" i="7"/>
  <c r="R7" i="7"/>
  <c r="S7" i="7"/>
  <c r="T7" i="7"/>
  <c r="U7" i="7"/>
  <c r="Q8" i="7"/>
  <c r="R8" i="7"/>
  <c r="S8" i="7"/>
  <c r="T8" i="7"/>
  <c r="U8" i="7"/>
  <c r="Q9" i="7"/>
  <c r="R9" i="7"/>
  <c r="S9" i="7"/>
  <c r="T9" i="7"/>
  <c r="U9" i="7"/>
  <c r="Q10" i="7"/>
  <c r="R10" i="7"/>
  <c r="S10" i="7"/>
  <c r="T10" i="7"/>
  <c r="U10" i="7"/>
  <c r="Q11" i="7"/>
  <c r="R11" i="7"/>
  <c r="S11" i="7"/>
  <c r="T11" i="7"/>
  <c r="U11" i="7"/>
  <c r="Q12" i="7"/>
  <c r="R12" i="7"/>
  <c r="S12" i="7"/>
  <c r="T12" i="7"/>
  <c r="U12" i="7"/>
  <c r="Q13" i="7"/>
  <c r="R13" i="7"/>
  <c r="S13" i="7"/>
  <c r="T13" i="7"/>
  <c r="U13" i="7"/>
  <c r="Q14" i="7"/>
  <c r="R14" i="7"/>
  <c r="S14" i="7"/>
  <c r="T14" i="7"/>
  <c r="U14" i="7"/>
  <c r="Q15" i="7"/>
  <c r="R15" i="7"/>
  <c r="S15" i="7"/>
  <c r="T15" i="7"/>
  <c r="U15" i="7"/>
  <c r="Q16" i="7"/>
  <c r="R16" i="7"/>
  <c r="S16" i="7"/>
  <c r="T16" i="7"/>
  <c r="U16" i="7"/>
  <c r="Q17" i="7"/>
  <c r="R17" i="7"/>
  <c r="S17" i="7"/>
  <c r="T17" i="7"/>
  <c r="U17" i="7"/>
  <c r="R3" i="7"/>
  <c r="S3" i="7"/>
  <c r="T3" i="7"/>
  <c r="U3" i="7"/>
  <c r="Q3" i="7"/>
  <c r="M9" i="7"/>
  <c r="O4" i="8"/>
  <c r="O5" i="8"/>
  <c r="O6" i="8"/>
  <c r="O3" i="8"/>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I3" i="1"/>
  <c r="J3" i="1"/>
  <c r="K3" i="1"/>
  <c r="I4" i="1"/>
  <c r="J4" i="1"/>
  <c r="K4" i="1"/>
  <c r="I5" i="1"/>
  <c r="J5" i="1"/>
  <c r="K5" i="1"/>
  <c r="I6" i="1"/>
  <c r="J6" i="1"/>
  <c r="K6" i="1"/>
  <c r="I7" i="1"/>
  <c r="J7" i="1"/>
  <c r="K7" i="1"/>
  <c r="I8" i="1"/>
  <c r="J8" i="1"/>
  <c r="K8" i="1"/>
  <c r="H16" i="1"/>
  <c r="G16" i="1"/>
  <c r="F16" i="1"/>
  <c r="E16" i="1"/>
  <c r="D16" i="1"/>
  <c r="C16" i="1"/>
  <c r="H15" i="1"/>
  <c r="G15" i="1"/>
  <c r="F15" i="1"/>
  <c r="E15" i="1"/>
  <c r="D15" i="1"/>
  <c r="C15" i="1"/>
  <c r="H14" i="1"/>
  <c r="G14" i="1"/>
  <c r="F14" i="1"/>
  <c r="E14" i="1"/>
  <c r="D14" i="1"/>
  <c r="C14" i="1"/>
  <c r="N16" i="1"/>
  <c r="M16" i="1"/>
  <c r="L16" i="1"/>
  <c r="K16" i="1"/>
  <c r="J16" i="1"/>
  <c r="I16" i="1"/>
  <c r="N15" i="1"/>
  <c r="M15" i="1"/>
  <c r="L15" i="1"/>
  <c r="K15" i="1"/>
  <c r="J15" i="1"/>
  <c r="I15" i="1"/>
  <c r="N14" i="1"/>
  <c r="M14" i="1"/>
  <c r="L14" i="1"/>
  <c r="K14" i="1"/>
  <c r="J14" i="1"/>
  <c r="I14" i="1"/>
  <c r="N1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1396AA-43D1-437D-B444-6BDE789D39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7481F20-9890-4836-BA16-33509C3F2992}" name="WorksheetConnection_Mohit.xlsx!Table1" type="102" refreshedVersion="8" minRefreshableVersion="5">
    <extLst>
      <ext xmlns:x15="http://schemas.microsoft.com/office/spreadsheetml/2010/11/main" uri="{DE250136-89BD-433C-8126-D09CA5730AF9}">
        <x15:connection id="Table1">
          <x15:rangePr sourceName="_xlcn.WorksheetConnection_Mohit.xlsxTable11"/>
        </x15:connection>
      </ext>
    </extLst>
  </connection>
</connections>
</file>

<file path=xl/sharedStrings.xml><?xml version="1.0" encoding="utf-8"?>
<sst xmlns="http://schemas.openxmlformats.org/spreadsheetml/2006/main" count="7086" uniqueCount="1258">
  <si>
    <t>Vikas</t>
  </si>
  <si>
    <t>Sale Date</t>
  </si>
  <si>
    <t>Region</t>
  </si>
  <si>
    <t>State</t>
  </si>
  <si>
    <t>City</t>
  </si>
  <si>
    <t>Product</t>
  </si>
  <si>
    <t>Quantity</t>
  </si>
  <si>
    <t>AGE</t>
  </si>
  <si>
    <t>Price per Unit</t>
  </si>
  <si>
    <t>Sales Amount</t>
  </si>
  <si>
    <t>West</t>
  </si>
  <si>
    <t>Maharashtra</t>
  </si>
  <si>
    <t>Mumbai</t>
  </si>
  <si>
    <t>Stationery</t>
  </si>
  <si>
    <t>Rajendra</t>
  </si>
  <si>
    <t>South</t>
  </si>
  <si>
    <t>Karnataka</t>
  </si>
  <si>
    <t>Mysuru</t>
  </si>
  <si>
    <t>Clothing</t>
  </si>
  <si>
    <t>Tamil Nadu</t>
  </si>
  <si>
    <t>Chennai</t>
  </si>
  <si>
    <t>Groceries</t>
  </si>
  <si>
    <t>Madurai</t>
  </si>
  <si>
    <t>North</t>
  </si>
  <si>
    <t>Delhi</t>
  </si>
  <si>
    <t>New Delhi</t>
  </si>
  <si>
    <t>Pankaj</t>
  </si>
  <si>
    <t>Nagpur</t>
  </si>
  <si>
    <t>Priya</t>
  </si>
  <si>
    <t>Furniture</t>
  </si>
  <si>
    <t>Keshav</t>
  </si>
  <si>
    <t>Dinesh</t>
  </si>
  <si>
    <t>Coimbatore</t>
  </si>
  <si>
    <t>Raghav</t>
  </si>
  <si>
    <t>Hubli</t>
  </si>
  <si>
    <t>Electronics</t>
  </si>
  <si>
    <t>Pinkesh</t>
  </si>
  <si>
    <t>Jaykesh</t>
  </si>
  <si>
    <t>Gujarat</t>
  </si>
  <si>
    <t>Ahmedabad</t>
  </si>
  <si>
    <t>Vadodara</t>
  </si>
  <si>
    <t>Pune</t>
  </si>
  <si>
    <t>Surat</t>
  </si>
  <si>
    <t>Bengaluru</t>
  </si>
  <si>
    <t>Karol Bagh</t>
  </si>
  <si>
    <t>Dwarka</t>
  </si>
  <si>
    <t>Raj</t>
  </si>
  <si>
    <t>Rohit</t>
  </si>
  <si>
    <t>Name</t>
  </si>
  <si>
    <t>Maths</t>
  </si>
  <si>
    <t xml:space="preserve">English </t>
  </si>
  <si>
    <t>Hindi</t>
  </si>
  <si>
    <t>Mohan</t>
  </si>
  <si>
    <t>Bharti</t>
  </si>
  <si>
    <t>Gunjan</t>
  </si>
  <si>
    <t>Vikas Dhakad</t>
  </si>
  <si>
    <t>Raj Malhotra</t>
  </si>
  <si>
    <t>Grand Total</t>
  </si>
  <si>
    <t>Months (Sale Date)</t>
  </si>
  <si>
    <t>Jan</t>
  </si>
  <si>
    <t>Feb</t>
  </si>
  <si>
    <t>Mar</t>
  </si>
  <si>
    <t>Apr</t>
  </si>
  <si>
    <t>May</t>
  </si>
  <si>
    <t>Jun</t>
  </si>
  <si>
    <t>Jul</t>
  </si>
  <si>
    <t>Aug</t>
  </si>
  <si>
    <t>Sep</t>
  </si>
  <si>
    <t>Oct</t>
  </si>
  <si>
    <t>Nov</t>
  </si>
  <si>
    <t>Dec</t>
  </si>
  <si>
    <t>QuickHeal</t>
  </si>
  <si>
    <t>Cancel</t>
  </si>
  <si>
    <t>eBay</t>
  </si>
  <si>
    <t>December</t>
  </si>
  <si>
    <t>MSOffice</t>
  </si>
  <si>
    <t>Flipkart</t>
  </si>
  <si>
    <t>Mouse</t>
  </si>
  <si>
    <t>Sold</t>
  </si>
  <si>
    <t>Keyboard</t>
  </si>
  <si>
    <t>November</t>
  </si>
  <si>
    <t>October</t>
  </si>
  <si>
    <t>September</t>
  </si>
  <si>
    <t>August</t>
  </si>
  <si>
    <t>July</t>
  </si>
  <si>
    <t>June</t>
  </si>
  <si>
    <t>April</t>
  </si>
  <si>
    <t>March</t>
  </si>
  <si>
    <t>February</t>
  </si>
  <si>
    <t>January</t>
  </si>
  <si>
    <t>Amount</t>
  </si>
  <si>
    <t>Product Name</t>
  </si>
  <si>
    <t>Status</t>
  </si>
  <si>
    <t>Platform</t>
  </si>
  <si>
    <t>Month</t>
  </si>
  <si>
    <t>ID</t>
  </si>
  <si>
    <t>vishal</t>
  </si>
  <si>
    <t>Kuldeep</t>
  </si>
  <si>
    <t>Salesman</t>
  </si>
  <si>
    <t xml:space="preserve">Rohan Mehta - rohan.mehta@gmail.com - 9876543210 - Mumbai - India  </t>
  </si>
  <si>
    <t xml:space="preserve">Priya Sharma - priya.sharma@yahoo.com - 9812345678 - Delhi - India  </t>
  </si>
  <si>
    <t xml:space="preserve">Alex Johnson - alex.johnson@gmail.com - 447911223344 - London - United Kingdom  </t>
  </si>
  <si>
    <t xml:space="preserve">Sara Lee - sara.lee@gmail.com - 16505551234 - New York - USA  </t>
  </si>
  <si>
    <t xml:space="preserve">Neha Verma - neha.verma@hotmail.com - 919876543210 - Jaipur - India  </t>
  </si>
  <si>
    <t xml:space="preserve">David Brown - david.brown@gmail.com - 61412345678 - Sydney - Australia  </t>
  </si>
  <si>
    <t xml:space="preserve">Emma Wilson - emma.wilson@gmail.com - 441234567890 - Manchester - United Kingdom  </t>
  </si>
  <si>
    <t xml:space="preserve">Arjun Patel - arjun.patel@gmail.com - 919812345678 - Ahmedabad - India  </t>
  </si>
  <si>
    <t xml:space="preserve">Li Wei - li.wei@outlook.com - 8613812345678 - Beijing - China  </t>
  </si>
  <si>
    <t xml:space="preserve">Maria Garcia - maria.garcia@gmail.com - 341612345678 - Madrid - Spain  </t>
  </si>
  <si>
    <t xml:space="preserve">Ahmed Khan - ahmed.khan@yahoo.com - 971501234567 - Dubai - UAE  </t>
  </si>
  <si>
    <t xml:space="preserve">Sofia Rossi - sofia.rossi@gmail.com - 393331234567 - Rome - Italy  </t>
  </si>
  <si>
    <t xml:space="preserve">Daniel Smith - daniel.smith@gmail.com - 15555551234 - Los Angeles - USA  </t>
  </si>
  <si>
    <t xml:space="preserve">Kavita Joshi - kavita.joshi@gmail.com - 918888777666 - Pune - India  </t>
  </si>
  <si>
    <t xml:space="preserve">Hiro Tanaka - hiro.tanaka@gmail.com - 819012345678 - Tokyo - Japan  </t>
  </si>
  <si>
    <t xml:space="preserve">Julia Müller - julia.muller@gmail.com - 4915123456789 - Berlin - Germany  </t>
  </si>
  <si>
    <t xml:space="preserve">Carlos Silva - carlos.silva@gmail.com - 5521987654321 - Rio de Janeiro - Brazil  </t>
  </si>
  <si>
    <t xml:space="preserve">Ayesha Rahman - ayesha.rahman@gmail.com - 8801712345678 - Dhaka - Bangladesh  </t>
  </si>
  <si>
    <t xml:space="preserve">Ethan Walker - ethan.walker@gmail.com - 16175551234 - Chicago - USA  </t>
  </si>
  <si>
    <t xml:space="preserve">Tanya Kapoor - tanya.kapoor@gmail.com - 917012345678 - Chandigarh - India  </t>
  </si>
  <si>
    <t>Raw</t>
  </si>
  <si>
    <t>Email</t>
  </si>
  <si>
    <t>phone</t>
  </si>
  <si>
    <t xml:space="preserve">city </t>
  </si>
  <si>
    <t>country</t>
  </si>
  <si>
    <t>NAME</t>
  </si>
  <si>
    <t>ENGLISH</t>
  </si>
  <si>
    <t>HINDI</t>
  </si>
  <si>
    <t>MATHS</t>
  </si>
  <si>
    <t>SCIENCE</t>
  </si>
  <si>
    <t>VIKAS DHAKAD</t>
  </si>
  <si>
    <t>ROHIT KUMAR</t>
  </si>
  <si>
    <t>MOHIT SHARMA</t>
  </si>
  <si>
    <t>VIVEK JAIN</t>
  </si>
  <si>
    <t>ALT+H+O+I</t>
  </si>
  <si>
    <t>AUTO ADJUST COLUM</t>
  </si>
  <si>
    <t>CTRL+C</t>
  </si>
  <si>
    <t>COPY</t>
  </si>
  <si>
    <t>PASTE</t>
  </si>
  <si>
    <t>CTRL+V</t>
  </si>
  <si>
    <t>CTRL+X</t>
  </si>
  <si>
    <t>CUT</t>
  </si>
  <si>
    <t>CTRL+Z</t>
  </si>
  <si>
    <t>UNDO</t>
  </si>
  <si>
    <t>CTRL+Y</t>
  </si>
  <si>
    <t>REDO</t>
  </si>
  <si>
    <t>ALT+H+V+V</t>
  </si>
  <si>
    <t>PASTE VALUES</t>
  </si>
  <si>
    <t>ALT+H+V+T</t>
  </si>
  <si>
    <t>TRANSPOSE</t>
  </si>
  <si>
    <t>CTRL+B</t>
  </si>
  <si>
    <t>BOLD</t>
  </si>
  <si>
    <t>CTRL+U</t>
  </si>
  <si>
    <t>UNDERLINE</t>
  </si>
  <si>
    <t>CTRL+I</t>
  </si>
  <si>
    <t>ITALIC</t>
  </si>
  <si>
    <t xml:space="preserve">VIKAS </t>
  </si>
  <si>
    <t>DHAKAD</t>
  </si>
  <si>
    <t>GWL</t>
  </si>
  <si>
    <t>SHIV</t>
  </si>
  <si>
    <t>PURI</t>
  </si>
  <si>
    <t>ALT+H+F+P</t>
  </si>
  <si>
    <t>FORMAIT PAINTER</t>
  </si>
  <si>
    <t>ALT+H+W</t>
  </si>
  <si>
    <t>WRAP TEXT</t>
  </si>
  <si>
    <t>THIS DATA IS OF 12TH CLASS STUDENTS</t>
  </si>
  <si>
    <t>MY NAME IS VIKAS DHAKAD I AM A DATA ANALYST TRAINER AT AFFY INFORMATICS</t>
  </si>
  <si>
    <t>ALT+H+M+C</t>
  </si>
  <si>
    <t>MERGE AND CENTER</t>
  </si>
  <si>
    <t>ALT+H+M+A</t>
  </si>
  <si>
    <t>MERGE ACROSS</t>
  </si>
  <si>
    <t>MERGE CELLS</t>
  </si>
  <si>
    <t>ALT+H+M+M</t>
  </si>
  <si>
    <t>Rohan Mehta</t>
  </si>
  <si>
    <t>Priya Sharma</t>
  </si>
  <si>
    <t>Alex Johnson</t>
  </si>
  <si>
    <t>Sara Lee</t>
  </si>
  <si>
    <t>Neha Verma</t>
  </si>
  <si>
    <t>David Brown</t>
  </si>
  <si>
    <t>Emma Wilson</t>
  </si>
  <si>
    <t>Arjun Patel</t>
  </si>
  <si>
    <t>Li Wei</t>
  </si>
  <si>
    <t>Maria Garcia</t>
  </si>
  <si>
    <t>Ahmed Khan</t>
  </si>
  <si>
    <t>Sofia Rossi</t>
  </si>
  <si>
    <t>Daniel Smith</t>
  </si>
  <si>
    <t>Kavita Joshi</t>
  </si>
  <si>
    <t>Hiro Tanaka</t>
  </si>
  <si>
    <t>Julia Müller</t>
  </si>
  <si>
    <t>Carlos Silva</t>
  </si>
  <si>
    <t>Ayesha Rahman</t>
  </si>
  <si>
    <t>Ethan Walker</t>
  </si>
  <si>
    <t>Tanya Kapoor</t>
  </si>
  <si>
    <t>English</t>
  </si>
  <si>
    <t>Vikas dhakad</t>
  </si>
  <si>
    <t>Blinkit</t>
  </si>
  <si>
    <t>Rajesh</t>
  </si>
  <si>
    <t xml:space="preserve">Vikas </t>
  </si>
  <si>
    <t>My name is vikas dhakad I am a data anlyst</t>
  </si>
  <si>
    <t>Count of Amount</t>
  </si>
  <si>
    <t>Cancellation%</t>
  </si>
  <si>
    <t>Sum of Sales Amount</t>
  </si>
  <si>
    <t>Sum of Quantity</t>
  </si>
  <si>
    <t>Order ID</t>
  </si>
  <si>
    <t>ORD_1</t>
  </si>
  <si>
    <t>ORD_2</t>
  </si>
  <si>
    <t>ORD_3</t>
  </si>
  <si>
    <t>ORD_4</t>
  </si>
  <si>
    <t>ORD_5</t>
  </si>
  <si>
    <t>ORD_6</t>
  </si>
  <si>
    <t>ORD_7</t>
  </si>
  <si>
    <t>ORD_8</t>
  </si>
  <si>
    <t>ORD_9</t>
  </si>
  <si>
    <t>ORD_10</t>
  </si>
  <si>
    <t>ORD_11</t>
  </si>
  <si>
    <t>ORD_12</t>
  </si>
  <si>
    <t>ORD_13</t>
  </si>
  <si>
    <t>ORD_14</t>
  </si>
  <si>
    <t>ORD_15</t>
  </si>
  <si>
    <t>ORD_16</t>
  </si>
  <si>
    <t>ORD_17</t>
  </si>
  <si>
    <t>ORD_18</t>
  </si>
  <si>
    <t>ORD_19</t>
  </si>
  <si>
    <t>ORD_20</t>
  </si>
  <si>
    <t>ORD_21</t>
  </si>
  <si>
    <t>ORD_22</t>
  </si>
  <si>
    <t>ORD_23</t>
  </si>
  <si>
    <t>ORD_24</t>
  </si>
  <si>
    <t>ORD_25</t>
  </si>
  <si>
    <t>ORD_26</t>
  </si>
  <si>
    <t>ORD_27</t>
  </si>
  <si>
    <t>ORD_28</t>
  </si>
  <si>
    <t>ORD_29</t>
  </si>
  <si>
    <t>ORD_30</t>
  </si>
  <si>
    <t>ORD_31</t>
  </si>
  <si>
    <t>ORD_32</t>
  </si>
  <si>
    <t>ORD_33</t>
  </si>
  <si>
    <t>ORD_34</t>
  </si>
  <si>
    <t>ORD_35</t>
  </si>
  <si>
    <t>ORD_36</t>
  </si>
  <si>
    <t>ORD_37</t>
  </si>
  <si>
    <t>ORD_38</t>
  </si>
  <si>
    <t>ORD_39</t>
  </si>
  <si>
    <t>ORD_40</t>
  </si>
  <si>
    <t>ORD_41</t>
  </si>
  <si>
    <t>ORD_42</t>
  </si>
  <si>
    <t>ORD_43</t>
  </si>
  <si>
    <t>ORD_44</t>
  </si>
  <si>
    <t>ORD_45</t>
  </si>
  <si>
    <t>ORD_46</t>
  </si>
  <si>
    <t>ORD_47</t>
  </si>
  <si>
    <t>ORD_48</t>
  </si>
  <si>
    <t>ORD_49</t>
  </si>
  <si>
    <t>ORD_50</t>
  </si>
  <si>
    <t>ORD_51</t>
  </si>
  <si>
    <t>ORD_52</t>
  </si>
  <si>
    <t>ORD_53</t>
  </si>
  <si>
    <t>ORD_54</t>
  </si>
  <si>
    <t>ORD_55</t>
  </si>
  <si>
    <t>ORD_56</t>
  </si>
  <si>
    <t>ORD_57</t>
  </si>
  <si>
    <t>ORD_58</t>
  </si>
  <si>
    <t>ORD_59</t>
  </si>
  <si>
    <t>ORD_60</t>
  </si>
  <si>
    <t>ORD_61</t>
  </si>
  <si>
    <t>ORD_62</t>
  </si>
  <si>
    <t>ORD_63</t>
  </si>
  <si>
    <t>ORD_64</t>
  </si>
  <si>
    <t>ORD_65</t>
  </si>
  <si>
    <t>ORD_66</t>
  </si>
  <si>
    <t>ORD_67</t>
  </si>
  <si>
    <t>ORD_68</t>
  </si>
  <si>
    <t>ORD_69</t>
  </si>
  <si>
    <t>ORD_70</t>
  </si>
  <si>
    <t>ORD_71</t>
  </si>
  <si>
    <t>ORD_72</t>
  </si>
  <si>
    <t>ORD_73</t>
  </si>
  <si>
    <t>ORD_74</t>
  </si>
  <si>
    <t>ORD_75</t>
  </si>
  <si>
    <t>ORD_76</t>
  </si>
  <si>
    <t>ORD_77</t>
  </si>
  <si>
    <t>ORD_78</t>
  </si>
  <si>
    <t>ORD_79</t>
  </si>
  <si>
    <t>ORD_80</t>
  </si>
  <si>
    <t>ORD_81</t>
  </si>
  <si>
    <t>ORD_82</t>
  </si>
  <si>
    <t>ORD_83</t>
  </si>
  <si>
    <t>ORD_84</t>
  </si>
  <si>
    <t>ORD_85</t>
  </si>
  <si>
    <t>ORD_86</t>
  </si>
  <si>
    <t>ORD_87</t>
  </si>
  <si>
    <t>ORD_88</t>
  </si>
  <si>
    <t>ORD_89</t>
  </si>
  <si>
    <t>ORD_90</t>
  </si>
  <si>
    <t>ORD_91</t>
  </si>
  <si>
    <t>ORD_92</t>
  </si>
  <si>
    <t>ORD_93</t>
  </si>
  <si>
    <t>ORD_94</t>
  </si>
  <si>
    <t>ORD_95</t>
  </si>
  <si>
    <t>ORD_96</t>
  </si>
  <si>
    <t>ORD_97</t>
  </si>
  <si>
    <t>ORD_98</t>
  </si>
  <si>
    <t>ORD_99</t>
  </si>
  <si>
    <t>ORD_100</t>
  </si>
  <si>
    <t>ORD_101</t>
  </si>
  <si>
    <t>ORD_102</t>
  </si>
  <si>
    <t>ORD_103</t>
  </si>
  <si>
    <t>ORD_104</t>
  </si>
  <si>
    <t>ORD_105</t>
  </si>
  <si>
    <t>ORD_106</t>
  </si>
  <si>
    <t>ORD_107</t>
  </si>
  <si>
    <t>ORD_108</t>
  </si>
  <si>
    <t>ORD_109</t>
  </si>
  <si>
    <t>ORD_110</t>
  </si>
  <si>
    <t>ORD_111</t>
  </si>
  <si>
    <t>ORD_112</t>
  </si>
  <si>
    <t>ORD_113</t>
  </si>
  <si>
    <t>ORD_114</t>
  </si>
  <si>
    <t>ORD_115</t>
  </si>
  <si>
    <t>ORD_116</t>
  </si>
  <si>
    <t>ORD_117</t>
  </si>
  <si>
    <t>ORD_118</t>
  </si>
  <si>
    <t>ORD_119</t>
  </si>
  <si>
    <t>ORD_120</t>
  </si>
  <si>
    <t>ORD_121</t>
  </si>
  <si>
    <t>ORD_122</t>
  </si>
  <si>
    <t>ORD_123</t>
  </si>
  <si>
    <t>ORD_124</t>
  </si>
  <si>
    <t>ORD_125</t>
  </si>
  <si>
    <t>ORD_126</t>
  </si>
  <si>
    <t>ORD_127</t>
  </si>
  <si>
    <t>ORD_128</t>
  </si>
  <si>
    <t>ORD_129</t>
  </si>
  <si>
    <t>ORD_130</t>
  </si>
  <si>
    <t>ORD_131</t>
  </si>
  <si>
    <t>ORD_132</t>
  </si>
  <si>
    <t>ORD_133</t>
  </si>
  <si>
    <t>ORD_134</t>
  </si>
  <si>
    <t>ORD_135</t>
  </si>
  <si>
    <t>ORD_136</t>
  </si>
  <si>
    <t>ORD_137</t>
  </si>
  <si>
    <t>ORD_138</t>
  </si>
  <si>
    <t>ORD_139</t>
  </si>
  <si>
    <t>ORD_140</t>
  </si>
  <si>
    <t>ORD_141</t>
  </si>
  <si>
    <t>ORD_142</t>
  </si>
  <si>
    <t>ORD_143</t>
  </si>
  <si>
    <t>ORD_144</t>
  </si>
  <si>
    <t>ORD_145</t>
  </si>
  <si>
    <t>ORD_146</t>
  </si>
  <si>
    <t>ORD_147</t>
  </si>
  <si>
    <t>ORD_148</t>
  </si>
  <si>
    <t>ORD_149</t>
  </si>
  <si>
    <t>ORD_150</t>
  </si>
  <si>
    <t>ORD_151</t>
  </si>
  <si>
    <t>ORD_152</t>
  </si>
  <si>
    <t>ORD_153</t>
  </si>
  <si>
    <t>ORD_154</t>
  </si>
  <si>
    <t>ORD_155</t>
  </si>
  <si>
    <t>ORD_156</t>
  </si>
  <si>
    <t>ORD_157</t>
  </si>
  <si>
    <t>ORD_158</t>
  </si>
  <si>
    <t>ORD_159</t>
  </si>
  <si>
    <t>ORD_160</t>
  </si>
  <si>
    <t>ORD_161</t>
  </si>
  <si>
    <t>ORD_162</t>
  </si>
  <si>
    <t>ORD_163</t>
  </si>
  <si>
    <t>ORD_164</t>
  </si>
  <si>
    <t>ORD_165</t>
  </si>
  <si>
    <t>ORD_166</t>
  </si>
  <si>
    <t>ORD_167</t>
  </si>
  <si>
    <t>ORD_168</t>
  </si>
  <si>
    <t>ORD_169</t>
  </si>
  <si>
    <t>ORD_170</t>
  </si>
  <si>
    <t>ORD_171</t>
  </si>
  <si>
    <t>ORD_172</t>
  </si>
  <si>
    <t>ORD_173</t>
  </si>
  <si>
    <t>ORD_174</t>
  </si>
  <si>
    <t>ORD_175</t>
  </si>
  <si>
    <t>ORD_176</t>
  </si>
  <si>
    <t>ORD_177</t>
  </si>
  <si>
    <t>ORD_178</t>
  </si>
  <si>
    <t>ORD_179</t>
  </si>
  <si>
    <t>ORD_180</t>
  </si>
  <si>
    <t>ORD_181</t>
  </si>
  <si>
    <t>ORD_182</t>
  </si>
  <si>
    <t>ORD_183</t>
  </si>
  <si>
    <t>ORD_184</t>
  </si>
  <si>
    <t>ORD_185</t>
  </si>
  <si>
    <t>ORD_186</t>
  </si>
  <si>
    <t>ORD_187</t>
  </si>
  <si>
    <t>ORD_188</t>
  </si>
  <si>
    <t>ORD_189</t>
  </si>
  <si>
    <t>ORD_190</t>
  </si>
  <si>
    <t>ORD_191</t>
  </si>
  <si>
    <t>ORD_192</t>
  </si>
  <si>
    <t>ORD_193</t>
  </si>
  <si>
    <t>ORD_194</t>
  </si>
  <si>
    <t>ORD_195</t>
  </si>
  <si>
    <t>ORD_196</t>
  </si>
  <si>
    <t>ORD_197</t>
  </si>
  <si>
    <t>ORD_198</t>
  </si>
  <si>
    <t>ORD_199</t>
  </si>
  <si>
    <t>ORD_200</t>
  </si>
  <si>
    <t>ORD_201</t>
  </si>
  <si>
    <t>ORD_202</t>
  </si>
  <si>
    <t>ORD_203</t>
  </si>
  <si>
    <t>ORD_204</t>
  </si>
  <si>
    <t>ORD_205</t>
  </si>
  <si>
    <t>ORD_206</t>
  </si>
  <si>
    <t>ORD_207</t>
  </si>
  <si>
    <t>ORD_208</t>
  </si>
  <si>
    <t>ORD_209</t>
  </si>
  <si>
    <t>ORD_210</t>
  </si>
  <si>
    <t>ORD_211</t>
  </si>
  <si>
    <t>ORD_212</t>
  </si>
  <si>
    <t>ORD_213</t>
  </si>
  <si>
    <t>ORD_214</t>
  </si>
  <si>
    <t>ORD_215</t>
  </si>
  <si>
    <t>ORD_216</t>
  </si>
  <si>
    <t>ORD_217</t>
  </si>
  <si>
    <t>ORD_218</t>
  </si>
  <si>
    <t>ORD_219</t>
  </si>
  <si>
    <t>ORD_220</t>
  </si>
  <si>
    <t>ORD_221</t>
  </si>
  <si>
    <t>ORD_222</t>
  </si>
  <si>
    <t>ORD_223</t>
  </si>
  <si>
    <t>ORD_224</t>
  </si>
  <si>
    <t>ORD_225</t>
  </si>
  <si>
    <t>ORD_226</t>
  </si>
  <si>
    <t>ORD_227</t>
  </si>
  <si>
    <t>ORD_228</t>
  </si>
  <si>
    <t>ORD_229</t>
  </si>
  <si>
    <t>ORD_230</t>
  </si>
  <si>
    <t>ORD_231</t>
  </si>
  <si>
    <t>ORD_232</t>
  </si>
  <si>
    <t>ORD_233</t>
  </si>
  <si>
    <t>ORD_234</t>
  </si>
  <si>
    <t>ORD_235</t>
  </si>
  <si>
    <t>ORD_236</t>
  </si>
  <si>
    <t>ORD_237</t>
  </si>
  <si>
    <t>ORD_238</t>
  </si>
  <si>
    <t>ORD_239</t>
  </si>
  <si>
    <t>ORD_240</t>
  </si>
  <si>
    <t>ORD_241</t>
  </si>
  <si>
    <t>ORD_242</t>
  </si>
  <si>
    <t>ORD_243</t>
  </si>
  <si>
    <t>ORD_244</t>
  </si>
  <si>
    <t>ORD_245</t>
  </si>
  <si>
    <t>ORD_246</t>
  </si>
  <si>
    <t>ORD_247</t>
  </si>
  <si>
    <t>ORD_248</t>
  </si>
  <si>
    <t>ORD_249</t>
  </si>
  <si>
    <t>ORD_250</t>
  </si>
  <si>
    <t>ORD_251</t>
  </si>
  <si>
    <t>ORD_252</t>
  </si>
  <si>
    <t>ORD_253</t>
  </si>
  <si>
    <t>ORD_254</t>
  </si>
  <si>
    <t>ORD_255</t>
  </si>
  <si>
    <t>ORD_256</t>
  </si>
  <si>
    <t>ORD_257</t>
  </si>
  <si>
    <t>ORD_258</t>
  </si>
  <si>
    <t>ORD_259</t>
  </si>
  <si>
    <t>ORD_260</t>
  </si>
  <si>
    <t>ORD_261</t>
  </si>
  <si>
    <t>ORD_262</t>
  </si>
  <si>
    <t>ORD_263</t>
  </si>
  <si>
    <t>ORD_264</t>
  </si>
  <si>
    <t>ORD_265</t>
  </si>
  <si>
    <t>ORD_266</t>
  </si>
  <si>
    <t>ORD_267</t>
  </si>
  <si>
    <t>ORD_268</t>
  </si>
  <si>
    <t>ORD_269</t>
  </si>
  <si>
    <t>ORD_270</t>
  </si>
  <si>
    <t>ORD_271</t>
  </si>
  <si>
    <t>ORD_272</t>
  </si>
  <si>
    <t>ORD_273</t>
  </si>
  <si>
    <t>ORD_274</t>
  </si>
  <si>
    <t>ORD_275</t>
  </si>
  <si>
    <t>ORD_276</t>
  </si>
  <si>
    <t>ORD_277</t>
  </si>
  <si>
    <t>ORD_278</t>
  </si>
  <si>
    <t>ORD_279</t>
  </si>
  <si>
    <t>ORD_280</t>
  </si>
  <si>
    <t>ORD_281</t>
  </si>
  <si>
    <t>ORD_282</t>
  </si>
  <si>
    <t>ORD_283</t>
  </si>
  <si>
    <t>ORD_284</t>
  </si>
  <si>
    <t>ORD_285</t>
  </si>
  <si>
    <t>ORD_286</t>
  </si>
  <si>
    <t>ORD_287</t>
  </si>
  <si>
    <t>ORD_288</t>
  </si>
  <si>
    <t>ORD_289</t>
  </si>
  <si>
    <t>ORD_290</t>
  </si>
  <si>
    <t>ORD_291</t>
  </si>
  <si>
    <t>ORD_292</t>
  </si>
  <si>
    <t>ORD_293</t>
  </si>
  <si>
    <t>ORD_294</t>
  </si>
  <si>
    <t>ORD_295</t>
  </si>
  <si>
    <t>ORD_296</t>
  </si>
  <si>
    <t>ORD_297</t>
  </si>
  <si>
    <t>ORD_298</t>
  </si>
  <si>
    <t>ORD_299</t>
  </si>
  <si>
    <t>ORD_300</t>
  </si>
  <si>
    <t>ORD_301</t>
  </si>
  <si>
    <t>ORD_302</t>
  </si>
  <si>
    <t>ORD_303</t>
  </si>
  <si>
    <t>ORD_304</t>
  </si>
  <si>
    <t>ORD_305</t>
  </si>
  <si>
    <t>ORD_306</t>
  </si>
  <si>
    <t>ORD_307</t>
  </si>
  <si>
    <t>ORD_308</t>
  </si>
  <si>
    <t>ORD_309</t>
  </si>
  <si>
    <t>ORD_310</t>
  </si>
  <si>
    <t>ORD_311</t>
  </si>
  <si>
    <t>ORD_312</t>
  </si>
  <si>
    <t>ORD_313</t>
  </si>
  <si>
    <t>ORD_314</t>
  </si>
  <si>
    <t>ORD_315</t>
  </si>
  <si>
    <t>ORD_316</t>
  </si>
  <si>
    <t>ORD_317</t>
  </si>
  <si>
    <t>ORD_318</t>
  </si>
  <si>
    <t>ORD_319</t>
  </si>
  <si>
    <t>ORD_320</t>
  </si>
  <si>
    <t>ORD_321</t>
  </si>
  <si>
    <t>ORD_322</t>
  </si>
  <si>
    <t>ORD_323</t>
  </si>
  <si>
    <t>ORD_324</t>
  </si>
  <si>
    <t>ORD_325</t>
  </si>
  <si>
    <t>ORD_326</t>
  </si>
  <si>
    <t>ORD_327</t>
  </si>
  <si>
    <t>ORD_328</t>
  </si>
  <si>
    <t>ORD_329</t>
  </si>
  <si>
    <t>ORD_330</t>
  </si>
  <si>
    <t>ORD_331</t>
  </si>
  <si>
    <t>ORD_332</t>
  </si>
  <si>
    <t>ORD_333</t>
  </si>
  <si>
    <t>ORD_334</t>
  </si>
  <si>
    <t>ORD_335</t>
  </si>
  <si>
    <t>ORD_336</t>
  </si>
  <si>
    <t>ORD_337</t>
  </si>
  <si>
    <t>ORD_338</t>
  </si>
  <si>
    <t>ORD_339</t>
  </si>
  <si>
    <t>ORD_340</t>
  </si>
  <si>
    <t>ORD_341</t>
  </si>
  <si>
    <t>ORD_342</t>
  </si>
  <si>
    <t>ORD_343</t>
  </si>
  <si>
    <t>ORD_344</t>
  </si>
  <si>
    <t>ORD_345</t>
  </si>
  <si>
    <t>ORD_346</t>
  </si>
  <si>
    <t>ORD_347</t>
  </si>
  <si>
    <t>ORD_348</t>
  </si>
  <si>
    <t>ORD_349</t>
  </si>
  <si>
    <t>ORD_350</t>
  </si>
  <si>
    <t>ORD_351</t>
  </si>
  <si>
    <t>ORD_352</t>
  </si>
  <si>
    <t>ORD_353</t>
  </si>
  <si>
    <t>ORD_354</t>
  </si>
  <si>
    <t>ORD_355</t>
  </si>
  <si>
    <t>ORD_356</t>
  </si>
  <si>
    <t>ORD_357</t>
  </si>
  <si>
    <t>ORD_358</t>
  </si>
  <si>
    <t>ORD_359</t>
  </si>
  <si>
    <t>ORD_360</t>
  </si>
  <si>
    <t>ORD_361</t>
  </si>
  <si>
    <t>ORD_362</t>
  </si>
  <si>
    <t>ORD_363</t>
  </si>
  <si>
    <t>ORD_364</t>
  </si>
  <si>
    <t>ORD_365</t>
  </si>
  <si>
    <t>ORD_366</t>
  </si>
  <si>
    <t>ORD_367</t>
  </si>
  <si>
    <t>ORD_368</t>
  </si>
  <si>
    <t>ORD_369</t>
  </si>
  <si>
    <t>ORD_370</t>
  </si>
  <si>
    <t>ORD_371</t>
  </si>
  <si>
    <t>ORD_372</t>
  </si>
  <si>
    <t>ORD_373</t>
  </si>
  <si>
    <t>ORD_374</t>
  </si>
  <si>
    <t>ORD_375</t>
  </si>
  <si>
    <t>ORD_376</t>
  </si>
  <si>
    <t>ORD_377</t>
  </si>
  <si>
    <t>ORD_378</t>
  </si>
  <si>
    <t>ORD_379</t>
  </si>
  <si>
    <t>ORD_380</t>
  </si>
  <si>
    <t>ORD_381</t>
  </si>
  <si>
    <t>ORD_382</t>
  </si>
  <si>
    <t>ORD_383</t>
  </si>
  <si>
    <t>ORD_384</t>
  </si>
  <si>
    <t>ORD_385</t>
  </si>
  <si>
    <t>ORD_386</t>
  </si>
  <si>
    <t>ORD_387</t>
  </si>
  <si>
    <t>ORD_388</t>
  </si>
  <si>
    <t>ORD_389</t>
  </si>
  <si>
    <t>ORD_390</t>
  </si>
  <si>
    <t>ORD_391</t>
  </si>
  <si>
    <t>ORD_392</t>
  </si>
  <si>
    <t>ORD_393</t>
  </si>
  <si>
    <t>ORD_394</t>
  </si>
  <si>
    <t>ORD_395</t>
  </si>
  <si>
    <t>ORD_396</t>
  </si>
  <si>
    <t>ORD_397</t>
  </si>
  <si>
    <t>ORD_398</t>
  </si>
  <si>
    <t>ORD_399</t>
  </si>
  <si>
    <t>ORD_400</t>
  </si>
  <si>
    <t>ORD_401</t>
  </si>
  <si>
    <t>ORD_402</t>
  </si>
  <si>
    <t>ORD_403</t>
  </si>
  <si>
    <t>ORD_404</t>
  </si>
  <si>
    <t>ORD_405</t>
  </si>
  <si>
    <t>ORD_406</t>
  </si>
  <si>
    <t>ORD_407</t>
  </si>
  <si>
    <t>ORD_408</t>
  </si>
  <si>
    <t>ORD_409</t>
  </si>
  <si>
    <t>ORD_410</t>
  </si>
  <si>
    <t>ORD_411</t>
  </si>
  <si>
    <t>ORD_412</t>
  </si>
  <si>
    <t>ORD_413</t>
  </si>
  <si>
    <t>ORD_414</t>
  </si>
  <si>
    <t>ORD_415</t>
  </si>
  <si>
    <t>ORD_416</t>
  </si>
  <si>
    <t>ORD_417</t>
  </si>
  <si>
    <t>ORD_418</t>
  </si>
  <si>
    <t>ORD_419</t>
  </si>
  <si>
    <t>ORD_420</t>
  </si>
  <si>
    <t>ORD_421</t>
  </si>
  <si>
    <t>ORD_422</t>
  </si>
  <si>
    <t>ORD_423</t>
  </si>
  <si>
    <t>ORD_424</t>
  </si>
  <si>
    <t>ORD_425</t>
  </si>
  <si>
    <t>ORD_426</t>
  </si>
  <si>
    <t>ORD_427</t>
  </si>
  <si>
    <t>ORD_428</t>
  </si>
  <si>
    <t>ORD_429</t>
  </si>
  <si>
    <t>ORD_430</t>
  </si>
  <si>
    <t>ORD_431</t>
  </si>
  <si>
    <t>ORD_432</t>
  </si>
  <si>
    <t>ORD_433</t>
  </si>
  <si>
    <t>ORD_434</t>
  </si>
  <si>
    <t>ORD_435</t>
  </si>
  <si>
    <t>ORD_436</t>
  </si>
  <si>
    <t>ORD_437</t>
  </si>
  <si>
    <t>ORD_438</t>
  </si>
  <si>
    <t>ORD_439</t>
  </si>
  <si>
    <t>ORD_440</t>
  </si>
  <si>
    <t>ORD_441</t>
  </si>
  <si>
    <t>ORD_442</t>
  </si>
  <si>
    <t>ORD_443</t>
  </si>
  <si>
    <t>ORD_444</t>
  </si>
  <si>
    <t>ORD_445</t>
  </si>
  <si>
    <t>ORD_446</t>
  </si>
  <si>
    <t>ORD_447</t>
  </si>
  <si>
    <t>ORD_448</t>
  </si>
  <si>
    <t>ORD_449</t>
  </si>
  <si>
    <t>ORD_450</t>
  </si>
  <si>
    <t>ORD_451</t>
  </si>
  <si>
    <t>ORD_452</t>
  </si>
  <si>
    <t>ORD_453</t>
  </si>
  <si>
    <t>ORD_454</t>
  </si>
  <si>
    <t>ORD_455</t>
  </si>
  <si>
    <t>ORD_456</t>
  </si>
  <si>
    <t>ORD_457</t>
  </si>
  <si>
    <t>ORD_458</t>
  </si>
  <si>
    <t>ORD_459</t>
  </si>
  <si>
    <t>ORD_460</t>
  </si>
  <si>
    <t>ORD_461</t>
  </si>
  <si>
    <t>ORD_462</t>
  </si>
  <si>
    <t>ORD_463</t>
  </si>
  <si>
    <t>ORD_464</t>
  </si>
  <si>
    <t>ORD_465</t>
  </si>
  <si>
    <t>ORD_466</t>
  </si>
  <si>
    <t>ORD_467</t>
  </si>
  <si>
    <t>ORD_468</t>
  </si>
  <si>
    <t>ORD_469</t>
  </si>
  <si>
    <t>ORD_470</t>
  </si>
  <si>
    <t>ORD_471</t>
  </si>
  <si>
    <t>ORD_472</t>
  </si>
  <si>
    <t>ORD_473</t>
  </si>
  <si>
    <t>ORD_474</t>
  </si>
  <si>
    <t>ORD_475</t>
  </si>
  <si>
    <t>ORD_476</t>
  </si>
  <si>
    <t>ORD_477</t>
  </si>
  <si>
    <t>ORD_478</t>
  </si>
  <si>
    <t>ORD_479</t>
  </si>
  <si>
    <t>ORD_480</t>
  </si>
  <si>
    <t>ORD_481</t>
  </si>
  <si>
    <t>ORD_482</t>
  </si>
  <si>
    <t>ORD_483</t>
  </si>
  <si>
    <t>ORD_484</t>
  </si>
  <si>
    <t>ORD_485</t>
  </si>
  <si>
    <t>ORD_486</t>
  </si>
  <si>
    <t>ORD_487</t>
  </si>
  <si>
    <t>ORD_488</t>
  </si>
  <si>
    <t>ORD_489</t>
  </si>
  <si>
    <t>ORD_490</t>
  </si>
  <si>
    <t>ORD_491</t>
  </si>
  <si>
    <t>ORD_492</t>
  </si>
  <si>
    <t>ORD_493</t>
  </si>
  <si>
    <t>ORD_494</t>
  </si>
  <si>
    <t>ORD_495</t>
  </si>
  <si>
    <t>ORD_496</t>
  </si>
  <si>
    <t>ORD_497</t>
  </si>
  <si>
    <t>ORD_498</t>
  </si>
  <si>
    <t>ORD_499</t>
  </si>
  <si>
    <t>ORD_500</t>
  </si>
  <si>
    <t>ORD_501</t>
  </si>
  <si>
    <t>ORD_502</t>
  </si>
  <si>
    <t>ORD_503</t>
  </si>
  <si>
    <t>ORD_504</t>
  </si>
  <si>
    <t>ORD_505</t>
  </si>
  <si>
    <t>ORD_506</t>
  </si>
  <si>
    <t>ORD_507</t>
  </si>
  <si>
    <t>ORD_508</t>
  </si>
  <si>
    <t>ORD_509</t>
  </si>
  <si>
    <t>ORD_510</t>
  </si>
  <si>
    <t>ORD_511</t>
  </si>
  <si>
    <t>ORD_512</t>
  </si>
  <si>
    <t>ORD_513</t>
  </si>
  <si>
    <t>ORD_514</t>
  </si>
  <si>
    <t>ORD_515</t>
  </si>
  <si>
    <t>ORD_516</t>
  </si>
  <si>
    <t>ORD_517</t>
  </si>
  <si>
    <t>ORD_518</t>
  </si>
  <si>
    <t>ORD_519</t>
  </si>
  <si>
    <t>ORD_520</t>
  </si>
  <si>
    <t>ORD_521</t>
  </si>
  <si>
    <t>ORD_522</t>
  </si>
  <si>
    <t>ORD_523</t>
  </si>
  <si>
    <t>ORD_524</t>
  </si>
  <si>
    <t>ORD_525</t>
  </si>
  <si>
    <t>ORD_526</t>
  </si>
  <si>
    <t>ORD_527</t>
  </si>
  <si>
    <t>ORD_528</t>
  </si>
  <si>
    <t>ORD_529</t>
  </si>
  <si>
    <t>ORD_530</t>
  </si>
  <si>
    <t>ORD_531</t>
  </si>
  <si>
    <t>ORD_532</t>
  </si>
  <si>
    <t>ORD_533</t>
  </si>
  <si>
    <t>ORD_534</t>
  </si>
  <si>
    <t>ORD_535</t>
  </si>
  <si>
    <t>ORD_536</t>
  </si>
  <si>
    <t>ORD_537</t>
  </si>
  <si>
    <t>ORD_538</t>
  </si>
  <si>
    <t>ORD_539</t>
  </si>
  <si>
    <t>ORD_540</t>
  </si>
  <si>
    <t>ORD_541</t>
  </si>
  <si>
    <t>ORD_542</t>
  </si>
  <si>
    <t>ORD_543</t>
  </si>
  <si>
    <t>ORD_544</t>
  </si>
  <si>
    <t>ORD_545</t>
  </si>
  <si>
    <t>ORD_546</t>
  </si>
  <si>
    <t>ORD_547</t>
  </si>
  <si>
    <t>ORD_548</t>
  </si>
  <si>
    <t>ORD_549</t>
  </si>
  <si>
    <t>ORD_550</t>
  </si>
  <si>
    <t>ORD_551</t>
  </si>
  <si>
    <t>ORD_552</t>
  </si>
  <si>
    <t>ORD_553</t>
  </si>
  <si>
    <t>ORD_554</t>
  </si>
  <si>
    <t>ORD_555</t>
  </si>
  <si>
    <t>ORD_556</t>
  </si>
  <si>
    <t>ORD_557</t>
  </si>
  <si>
    <t>ORD_558</t>
  </si>
  <si>
    <t>ORD_559</t>
  </si>
  <si>
    <t>ORD_560</t>
  </si>
  <si>
    <t>ORD_561</t>
  </si>
  <si>
    <t>ORD_562</t>
  </si>
  <si>
    <t>ORD_563</t>
  </si>
  <si>
    <t>ORD_564</t>
  </si>
  <si>
    <t>ORD_565</t>
  </si>
  <si>
    <t>ORD_566</t>
  </si>
  <si>
    <t>ORD_567</t>
  </si>
  <si>
    <t>ORD_568</t>
  </si>
  <si>
    <t>ORD_569</t>
  </si>
  <si>
    <t>ORD_570</t>
  </si>
  <si>
    <t>ORD_571</t>
  </si>
  <si>
    <t>ORD_572</t>
  </si>
  <si>
    <t>ORD_573</t>
  </si>
  <si>
    <t>ORD_574</t>
  </si>
  <si>
    <t>ORD_575</t>
  </si>
  <si>
    <t>ORD_576</t>
  </si>
  <si>
    <t>ORD_577</t>
  </si>
  <si>
    <t>ORD_578</t>
  </si>
  <si>
    <t>ORD_579</t>
  </si>
  <si>
    <t>ORD_580</t>
  </si>
  <si>
    <t>ORD_581</t>
  </si>
  <si>
    <t>ORD_582</t>
  </si>
  <si>
    <t>ORD_583</t>
  </si>
  <si>
    <t>ORD_584</t>
  </si>
  <si>
    <t>ORD_585</t>
  </si>
  <si>
    <t>ORD_586</t>
  </si>
  <si>
    <t>ORD_587</t>
  </si>
  <si>
    <t>ORD_588</t>
  </si>
  <si>
    <t>ORD_589</t>
  </si>
  <si>
    <t>ORD_590</t>
  </si>
  <si>
    <t>ORD_591</t>
  </si>
  <si>
    <t>ORD_592</t>
  </si>
  <si>
    <t>ORD_593</t>
  </si>
  <si>
    <t>ORD_594</t>
  </si>
  <si>
    <t>ORD_595</t>
  </si>
  <si>
    <t>ORD_596</t>
  </si>
  <si>
    <t>ORD_597</t>
  </si>
  <si>
    <t>ORD_598</t>
  </si>
  <si>
    <t>ORD_599</t>
  </si>
  <si>
    <t>ORD_600</t>
  </si>
  <si>
    <t>ORD_601</t>
  </si>
  <si>
    <t>ORD_602</t>
  </si>
  <si>
    <t>ORD_603</t>
  </si>
  <si>
    <t>ORD_604</t>
  </si>
  <si>
    <t>ORD_605</t>
  </si>
  <si>
    <t>ORD_606</t>
  </si>
  <si>
    <t>ORD_607</t>
  </si>
  <si>
    <t>ORD_608</t>
  </si>
  <si>
    <t>ORD_609</t>
  </si>
  <si>
    <t>ORD_610</t>
  </si>
  <si>
    <t>ORD_611</t>
  </si>
  <si>
    <t>ORD_612</t>
  </si>
  <si>
    <t>ORD_613</t>
  </si>
  <si>
    <t>ORD_614</t>
  </si>
  <si>
    <t>ORD_615</t>
  </si>
  <si>
    <t>ORD_616</t>
  </si>
  <si>
    <t>ORD_617</t>
  </si>
  <si>
    <t>ORD_618</t>
  </si>
  <si>
    <t>ORD_619</t>
  </si>
  <si>
    <t>ORD_620</t>
  </si>
  <si>
    <t>ORD_621</t>
  </si>
  <si>
    <t>ORD_622</t>
  </si>
  <si>
    <t>ORD_623</t>
  </si>
  <si>
    <t>ORD_624</t>
  </si>
  <si>
    <t>ORD_625</t>
  </si>
  <si>
    <t>ORD_626</t>
  </si>
  <si>
    <t>ORD_627</t>
  </si>
  <si>
    <t>ORD_628</t>
  </si>
  <si>
    <t>ORD_629</t>
  </si>
  <si>
    <t>ORD_630</t>
  </si>
  <si>
    <t>ORD_631</t>
  </si>
  <si>
    <t>ORD_632</t>
  </si>
  <si>
    <t>ORD_633</t>
  </si>
  <si>
    <t>ORD_634</t>
  </si>
  <si>
    <t>ORD_635</t>
  </si>
  <si>
    <t>ORD_636</t>
  </si>
  <si>
    <t>ORD_637</t>
  </si>
  <si>
    <t>ORD_638</t>
  </si>
  <si>
    <t>ORD_639</t>
  </si>
  <si>
    <t>ORD_640</t>
  </si>
  <si>
    <t>ORD_641</t>
  </si>
  <si>
    <t>ORD_642</t>
  </si>
  <si>
    <t>ORD_643</t>
  </si>
  <si>
    <t>ORD_644</t>
  </si>
  <si>
    <t>ORD_645</t>
  </si>
  <si>
    <t>ORD_646</t>
  </si>
  <si>
    <t>ORD_647</t>
  </si>
  <si>
    <t>ORD_648</t>
  </si>
  <si>
    <t>ORD_649</t>
  </si>
  <si>
    <t>ORD_650</t>
  </si>
  <si>
    <t>ORD_651</t>
  </si>
  <si>
    <t>ORD_652</t>
  </si>
  <si>
    <t>ORD_653</t>
  </si>
  <si>
    <t>ORD_654</t>
  </si>
  <si>
    <t>ORD_655</t>
  </si>
  <si>
    <t>ORD_656</t>
  </si>
  <si>
    <t>ORD_657</t>
  </si>
  <si>
    <t>ORD_658</t>
  </si>
  <si>
    <t>ORD_659</t>
  </si>
  <si>
    <t>ORD_660</t>
  </si>
  <si>
    <t>ORD_661</t>
  </si>
  <si>
    <t>ORD_662</t>
  </si>
  <si>
    <t>ORD_663</t>
  </si>
  <si>
    <t>ORD_664</t>
  </si>
  <si>
    <t>ORD_665</t>
  </si>
  <si>
    <t>ORD_666</t>
  </si>
  <si>
    <t>ORD_667</t>
  </si>
  <si>
    <t>ORD_668</t>
  </si>
  <si>
    <t>ORD_669</t>
  </si>
  <si>
    <t>ORD_670</t>
  </si>
  <si>
    <t>ORD_671</t>
  </si>
  <si>
    <t>ORD_672</t>
  </si>
  <si>
    <t>ORD_673</t>
  </si>
  <si>
    <t>ORD_674</t>
  </si>
  <si>
    <t>ORD_675</t>
  </si>
  <si>
    <t>ORD_676</t>
  </si>
  <si>
    <t>ORD_677</t>
  </si>
  <si>
    <t>ORD_678</t>
  </si>
  <si>
    <t>ORD_679</t>
  </si>
  <si>
    <t>ORD_680</t>
  </si>
  <si>
    <t>ORD_681</t>
  </si>
  <si>
    <t>ORD_682</t>
  </si>
  <si>
    <t>ORD_683</t>
  </si>
  <si>
    <t>ORD_684</t>
  </si>
  <si>
    <t>ORD_685</t>
  </si>
  <si>
    <t>ORD_686</t>
  </si>
  <si>
    <t>ORD_687</t>
  </si>
  <si>
    <t>ORD_688</t>
  </si>
  <si>
    <t>ORD_689</t>
  </si>
  <si>
    <t>ORD_690</t>
  </si>
  <si>
    <t>ORD_691</t>
  </si>
  <si>
    <t>ORD_692</t>
  </si>
  <si>
    <t>ORD_693</t>
  </si>
  <si>
    <t>ORD_694</t>
  </si>
  <si>
    <t>ORD_695</t>
  </si>
  <si>
    <t>ORD_696</t>
  </si>
  <si>
    <t>ORD_697</t>
  </si>
  <si>
    <t>ORD_698</t>
  </si>
  <si>
    <t>ORD_699</t>
  </si>
  <si>
    <t>ORD_700</t>
  </si>
  <si>
    <t>ORD_701</t>
  </si>
  <si>
    <t>ORD_702</t>
  </si>
  <si>
    <t>ORD_703</t>
  </si>
  <si>
    <t>ORD_704</t>
  </si>
  <si>
    <t>ORD_705</t>
  </si>
  <si>
    <t>ORD_706</t>
  </si>
  <si>
    <t>ORD_707</t>
  </si>
  <si>
    <t>ORD_708</t>
  </si>
  <si>
    <t>ORD_709</t>
  </si>
  <si>
    <t>ORD_710</t>
  </si>
  <si>
    <t>ORD_711</t>
  </si>
  <si>
    <t>ORD_712</t>
  </si>
  <si>
    <t>ORD_713</t>
  </si>
  <si>
    <t>ORD_714</t>
  </si>
  <si>
    <t>ORD_715</t>
  </si>
  <si>
    <t>ORD_716</t>
  </si>
  <si>
    <t>ORD_717</t>
  </si>
  <si>
    <t>ORD_718</t>
  </si>
  <si>
    <t>ORD_719</t>
  </si>
  <si>
    <t>ORD_720</t>
  </si>
  <si>
    <t>ORD_721</t>
  </si>
  <si>
    <t>ORD_722</t>
  </si>
  <si>
    <t>ORD_723</t>
  </si>
  <si>
    <t>ORD_724</t>
  </si>
  <si>
    <t>ORD_725</t>
  </si>
  <si>
    <t>ORD_726</t>
  </si>
  <si>
    <t>ORD_727</t>
  </si>
  <si>
    <t>ORD_728</t>
  </si>
  <si>
    <t>ORD_729</t>
  </si>
  <si>
    <t>ORD_730</t>
  </si>
  <si>
    <t>ORD_731</t>
  </si>
  <si>
    <t>ORD_732</t>
  </si>
  <si>
    <t>ORD_733</t>
  </si>
  <si>
    <t>ORD_734</t>
  </si>
  <si>
    <t>ORD_735</t>
  </si>
  <si>
    <t>ORD_736</t>
  </si>
  <si>
    <t>ORD_737</t>
  </si>
  <si>
    <t>ORD_738</t>
  </si>
  <si>
    <t>ORD_739</t>
  </si>
  <si>
    <t>ORD_740</t>
  </si>
  <si>
    <t>ORD_741</t>
  </si>
  <si>
    <t>ORD_742</t>
  </si>
  <si>
    <t>ORD_743</t>
  </si>
  <si>
    <t>ORD_744</t>
  </si>
  <si>
    <t>ORD_745</t>
  </si>
  <si>
    <t>ORD_746</t>
  </si>
  <si>
    <t>ORD_747</t>
  </si>
  <si>
    <t>ORD_748</t>
  </si>
  <si>
    <t>ORD_749</t>
  </si>
  <si>
    <t>ORD_750</t>
  </si>
  <si>
    <t>ORD_751</t>
  </si>
  <si>
    <t>ORD_752</t>
  </si>
  <si>
    <t>ORD_753</t>
  </si>
  <si>
    <t>ORD_754</t>
  </si>
  <si>
    <t>ORD_755</t>
  </si>
  <si>
    <t>ORD_756</t>
  </si>
  <si>
    <t>ORD_757</t>
  </si>
  <si>
    <t>ORD_758</t>
  </si>
  <si>
    <t>ORD_759</t>
  </si>
  <si>
    <t>ORD_760</t>
  </si>
  <si>
    <t>ORD_761</t>
  </si>
  <si>
    <t>ORD_762</t>
  </si>
  <si>
    <t>ORD_763</t>
  </si>
  <si>
    <t>ORD_764</t>
  </si>
  <si>
    <t>ORD_765</t>
  </si>
  <si>
    <t>ORD_766</t>
  </si>
  <si>
    <t>ORD_767</t>
  </si>
  <si>
    <t>ORD_768</t>
  </si>
  <si>
    <t>ORD_769</t>
  </si>
  <si>
    <t>ORD_770</t>
  </si>
  <si>
    <t>ORD_771</t>
  </si>
  <si>
    <t>ORD_772</t>
  </si>
  <si>
    <t>ORD_773</t>
  </si>
  <si>
    <t>ORD_774</t>
  </si>
  <si>
    <t>ORD_775</t>
  </si>
  <si>
    <t>ORD_776</t>
  </si>
  <si>
    <t>ORD_777</t>
  </si>
  <si>
    <t>ORD_778</t>
  </si>
  <si>
    <t>ORD_779</t>
  </si>
  <si>
    <t>ORD_780</t>
  </si>
  <si>
    <t>ORD_781</t>
  </si>
  <si>
    <t>ORD_782</t>
  </si>
  <si>
    <t>ORD_783</t>
  </si>
  <si>
    <t>ORD_784</t>
  </si>
  <si>
    <t>ORD_785</t>
  </si>
  <si>
    <t>ORD_786</t>
  </si>
  <si>
    <t>ORD_787</t>
  </si>
  <si>
    <t>ORD_788</t>
  </si>
  <si>
    <t>ORD_789</t>
  </si>
  <si>
    <t>ORD_790</t>
  </si>
  <si>
    <t>ORD_791</t>
  </si>
  <si>
    <t>ORD_792</t>
  </si>
  <si>
    <t>ORD_793</t>
  </si>
  <si>
    <t>ORD_794</t>
  </si>
  <si>
    <t>ORD_795</t>
  </si>
  <si>
    <t>ORD_796</t>
  </si>
  <si>
    <t>ORD_797</t>
  </si>
  <si>
    <t>ORD_798</t>
  </si>
  <si>
    <t>ORD_799</t>
  </si>
  <si>
    <t>ORD_800</t>
  </si>
  <si>
    <t>ORD_801</t>
  </si>
  <si>
    <t>ORD_802</t>
  </si>
  <si>
    <t>ORD_803</t>
  </si>
  <si>
    <t>ORD_804</t>
  </si>
  <si>
    <t>ORD_805</t>
  </si>
  <si>
    <t>ORD_806</t>
  </si>
  <si>
    <t>ORD_807</t>
  </si>
  <si>
    <t>ORD_808</t>
  </si>
  <si>
    <t>ORD_809</t>
  </si>
  <si>
    <t>ORD_810</t>
  </si>
  <si>
    <t>ORD_811</t>
  </si>
  <si>
    <t>ORD_812</t>
  </si>
  <si>
    <t>ORD_813</t>
  </si>
  <si>
    <t>ORD_814</t>
  </si>
  <si>
    <t>ORD_815</t>
  </si>
  <si>
    <t>ORD_816</t>
  </si>
  <si>
    <t>ORD_817</t>
  </si>
  <si>
    <t>ORD_818</t>
  </si>
  <si>
    <t>ORD_819</t>
  </si>
  <si>
    <t>ORD_820</t>
  </si>
  <si>
    <t>ORD_821</t>
  </si>
  <si>
    <t>ORD_822</t>
  </si>
  <si>
    <t>ORD_823</t>
  </si>
  <si>
    <t>ORD_824</t>
  </si>
  <si>
    <t>ORD_825</t>
  </si>
  <si>
    <t>ORD_826</t>
  </si>
  <si>
    <t>ORD_827</t>
  </si>
  <si>
    <t>ORD_828</t>
  </si>
  <si>
    <t>ORD_829</t>
  </si>
  <si>
    <t>ORD_830</t>
  </si>
  <si>
    <t>ORD_831</t>
  </si>
  <si>
    <t>ORD_832</t>
  </si>
  <si>
    <t>ORD_833</t>
  </si>
  <si>
    <t>ORD_834</t>
  </si>
  <si>
    <t>ORD_835</t>
  </si>
  <si>
    <t>ORD_836</t>
  </si>
  <si>
    <t>ORD_837</t>
  </si>
  <si>
    <t>ORD_838</t>
  </si>
  <si>
    <t>ORD_839</t>
  </si>
  <si>
    <t>ORD_840</t>
  </si>
  <si>
    <t>ORD_841</t>
  </si>
  <si>
    <t>ORD_842</t>
  </si>
  <si>
    <t>ORD_843</t>
  </si>
  <si>
    <t>ORD_844</t>
  </si>
  <si>
    <t>ORD_845</t>
  </si>
  <si>
    <t>ORD_846</t>
  </si>
  <si>
    <t>ORD_847</t>
  </si>
  <si>
    <t>ORD_848</t>
  </si>
  <si>
    <t>ORD_849</t>
  </si>
  <si>
    <t>ORD_850</t>
  </si>
  <si>
    <t>ORD_851</t>
  </si>
  <si>
    <t>ORD_852</t>
  </si>
  <si>
    <t>ORD_853</t>
  </si>
  <si>
    <t>ORD_854</t>
  </si>
  <si>
    <t>ORD_855</t>
  </si>
  <si>
    <t>ORD_856</t>
  </si>
  <si>
    <t>ORD_857</t>
  </si>
  <si>
    <t>ORD_858</t>
  </si>
  <si>
    <t>ORD_859</t>
  </si>
  <si>
    <t>ORD_860</t>
  </si>
  <si>
    <t>ORD_861</t>
  </si>
  <si>
    <t>ORD_862</t>
  </si>
  <si>
    <t>ORD_863</t>
  </si>
  <si>
    <t>ORD_864</t>
  </si>
  <si>
    <t>ORD_865</t>
  </si>
  <si>
    <t>ORD_866</t>
  </si>
  <si>
    <t>ORD_867</t>
  </si>
  <si>
    <t>ORD_868</t>
  </si>
  <si>
    <t>ORD_869</t>
  </si>
  <si>
    <t>ORD_870</t>
  </si>
  <si>
    <t>ORD_871</t>
  </si>
  <si>
    <t>ORD_872</t>
  </si>
  <si>
    <t>ORD_873</t>
  </si>
  <si>
    <t>ORD_874</t>
  </si>
  <si>
    <t>ORD_875</t>
  </si>
  <si>
    <t>ORD_876</t>
  </si>
  <si>
    <t>ORD_877</t>
  </si>
  <si>
    <t>ORD_878</t>
  </si>
  <si>
    <t>ORD_879</t>
  </si>
  <si>
    <t>ORD_880</t>
  </si>
  <si>
    <t>ORD_881</t>
  </si>
  <si>
    <t>ORD_882</t>
  </si>
  <si>
    <t>ORD_883</t>
  </si>
  <si>
    <t>ORD_884</t>
  </si>
  <si>
    <t>ORD_885</t>
  </si>
  <si>
    <t>ORD_886</t>
  </si>
  <si>
    <t>ORD_887</t>
  </si>
  <si>
    <t>ORD_888</t>
  </si>
  <si>
    <t>ORD_889</t>
  </si>
  <si>
    <t>ORD_890</t>
  </si>
  <si>
    <t>ORD_891</t>
  </si>
  <si>
    <t>ORD_892</t>
  </si>
  <si>
    <t>ORD_893</t>
  </si>
  <si>
    <t>ORD_894</t>
  </si>
  <si>
    <t>ORD_895</t>
  </si>
  <si>
    <t>ORD_896</t>
  </si>
  <si>
    <t>ORD_897</t>
  </si>
  <si>
    <t>ORD_898</t>
  </si>
  <si>
    <t>ORD_899</t>
  </si>
  <si>
    <t>ORD_900</t>
  </si>
  <si>
    <t>ORD_901</t>
  </si>
  <si>
    <t>ORD_902</t>
  </si>
  <si>
    <t>ORD_903</t>
  </si>
  <si>
    <t>ORD_904</t>
  </si>
  <si>
    <t>ORD_905</t>
  </si>
  <si>
    <t>ORD_906</t>
  </si>
  <si>
    <t>ORD_907</t>
  </si>
  <si>
    <t>ORD_908</t>
  </si>
  <si>
    <t>ORD_909</t>
  </si>
  <si>
    <t>ORD_910</t>
  </si>
  <si>
    <t>ORD_911</t>
  </si>
  <si>
    <t>ORD_912</t>
  </si>
  <si>
    <t>ORD_913</t>
  </si>
  <si>
    <t>ORD_914</t>
  </si>
  <si>
    <t>ORD_915</t>
  </si>
  <si>
    <t>ORD_916</t>
  </si>
  <si>
    <t>ORD_917</t>
  </si>
  <si>
    <t>ORD_918</t>
  </si>
  <si>
    <t>ORD_919</t>
  </si>
  <si>
    <t>ORD_920</t>
  </si>
  <si>
    <t>ORD_921</t>
  </si>
  <si>
    <t>ORD_922</t>
  </si>
  <si>
    <t>ORD_923</t>
  </si>
  <si>
    <t>ORD_924</t>
  </si>
  <si>
    <t>ORD_925</t>
  </si>
  <si>
    <t>ORD_926</t>
  </si>
  <si>
    <t>ORD_927</t>
  </si>
  <si>
    <t>ORD_928</t>
  </si>
  <si>
    <t>ORD_929</t>
  </si>
  <si>
    <t>ORD_930</t>
  </si>
  <si>
    <t>ORD_931</t>
  </si>
  <si>
    <t>ORD_932</t>
  </si>
  <si>
    <t>ORD_933</t>
  </si>
  <si>
    <t>ORD_934</t>
  </si>
  <si>
    <t>ORD_935</t>
  </si>
  <si>
    <t>ORD_936</t>
  </si>
  <si>
    <t>ORD_937</t>
  </si>
  <si>
    <t>ORD_938</t>
  </si>
  <si>
    <t>ORD_939</t>
  </si>
  <si>
    <t>ORD_940</t>
  </si>
  <si>
    <t>ORD_941</t>
  </si>
  <si>
    <t>ORD_942</t>
  </si>
  <si>
    <t>ORD_943</t>
  </si>
  <si>
    <t>ORD_944</t>
  </si>
  <si>
    <t>ORD_945</t>
  </si>
  <si>
    <t>ORD_946</t>
  </si>
  <si>
    <t>ORD_947</t>
  </si>
  <si>
    <t>ORD_948</t>
  </si>
  <si>
    <t>ORD_949</t>
  </si>
  <si>
    <t>ORD_950</t>
  </si>
  <si>
    <t>ORD_951</t>
  </si>
  <si>
    <t>ORD_952</t>
  </si>
  <si>
    <t>ORD_953</t>
  </si>
  <si>
    <t>ORD_954</t>
  </si>
  <si>
    <t>ORD_955</t>
  </si>
  <si>
    <t>ORD_956</t>
  </si>
  <si>
    <t>ORD_957</t>
  </si>
  <si>
    <t>ORD_958</t>
  </si>
  <si>
    <t>ORD_959</t>
  </si>
  <si>
    <t>ORD_960</t>
  </si>
  <si>
    <t>ORD_961</t>
  </si>
  <si>
    <t>ORD_962</t>
  </si>
  <si>
    <t>ORD_963</t>
  </si>
  <si>
    <t>ORD_964</t>
  </si>
  <si>
    <t>ORD_965</t>
  </si>
  <si>
    <t>ORD_966</t>
  </si>
  <si>
    <t>ORD_967</t>
  </si>
  <si>
    <t>ORD_968</t>
  </si>
  <si>
    <t>ORD_969</t>
  </si>
  <si>
    <t>ORD_970</t>
  </si>
  <si>
    <t>ORD_971</t>
  </si>
  <si>
    <t>ORD_972</t>
  </si>
  <si>
    <t>ORD_973</t>
  </si>
  <si>
    <t>ORD_974</t>
  </si>
  <si>
    <t>ORD_975</t>
  </si>
  <si>
    <t>ORD_976</t>
  </si>
  <si>
    <t>ORD_977</t>
  </si>
  <si>
    <t>ORD_978</t>
  </si>
  <si>
    <t>ORD_979</t>
  </si>
  <si>
    <t>ORD_980</t>
  </si>
  <si>
    <t>ORD_981</t>
  </si>
  <si>
    <t>ORD_982</t>
  </si>
  <si>
    <t>ORD_983</t>
  </si>
  <si>
    <t>ORD_984</t>
  </si>
  <si>
    <t>ORD_985</t>
  </si>
  <si>
    <t>ORD_986</t>
  </si>
  <si>
    <t>ORD_987</t>
  </si>
  <si>
    <t>ORD_988</t>
  </si>
  <si>
    <t>ORD_989</t>
  </si>
  <si>
    <t>ORD_990</t>
  </si>
  <si>
    <t>ORD_991</t>
  </si>
  <si>
    <t>ORD_992</t>
  </si>
  <si>
    <t>ORD_993</t>
  </si>
  <si>
    <t>ORD_994</t>
  </si>
  <si>
    <t>ORD_995</t>
  </si>
  <si>
    <t>ORD_996</t>
  </si>
  <si>
    <t>ORD_997</t>
  </si>
  <si>
    <t>ORD_998</t>
  </si>
  <si>
    <t>ORD_999</t>
  </si>
  <si>
    <t>ORD_1000</t>
  </si>
  <si>
    <t>ORD_1001</t>
  </si>
  <si>
    <t>ORD_1002</t>
  </si>
  <si>
    <t>ORD_1003</t>
  </si>
  <si>
    <t>ORD_1004</t>
  </si>
  <si>
    <t>ORD_1005</t>
  </si>
  <si>
    <t>ORD_1006</t>
  </si>
  <si>
    <t>ORD_1007</t>
  </si>
  <si>
    <t>ORD_1008</t>
  </si>
  <si>
    <t>ORD_1009</t>
  </si>
  <si>
    <t>ORD_1010</t>
  </si>
  <si>
    <t>ORD_1011</t>
  </si>
  <si>
    <t>ORD_1012</t>
  </si>
  <si>
    <t>ORD_1013</t>
  </si>
  <si>
    <t>ORD_1014</t>
  </si>
  <si>
    <t>ORD_1015</t>
  </si>
  <si>
    <t>ORD_1016</t>
  </si>
  <si>
    <t>ORD_1017</t>
  </si>
  <si>
    <t>ORD_1018</t>
  </si>
  <si>
    <t>ORD_1019</t>
  </si>
  <si>
    <t>ORD_1020</t>
  </si>
  <si>
    <t>ORD_1021</t>
  </si>
  <si>
    <t>ORD_1022</t>
  </si>
  <si>
    <t>ORD_1023</t>
  </si>
  <si>
    <t>ORD_1024</t>
  </si>
  <si>
    <t>ORD_1025</t>
  </si>
  <si>
    <t>ORD_1026</t>
  </si>
  <si>
    <t>ORD_1027</t>
  </si>
  <si>
    <t>ORD_1028</t>
  </si>
  <si>
    <t>ORD_1029</t>
  </si>
  <si>
    <t>ORD_1030</t>
  </si>
  <si>
    <t>ORD_1031</t>
  </si>
  <si>
    <t>ORD_1032</t>
  </si>
  <si>
    <t>ORD_1033</t>
  </si>
  <si>
    <t>ORD_1034</t>
  </si>
  <si>
    <t>ORD_1035</t>
  </si>
  <si>
    <t>ORD_1036</t>
  </si>
  <si>
    <t>ORD_1037</t>
  </si>
  <si>
    <t>ORD_1038</t>
  </si>
  <si>
    <t>ORD_1039</t>
  </si>
  <si>
    <t>ORD_1040</t>
  </si>
  <si>
    <t>ORD_1041</t>
  </si>
  <si>
    <t>ORD_1042</t>
  </si>
  <si>
    <t>ORD_1043</t>
  </si>
  <si>
    <t>ORD_1044</t>
  </si>
  <si>
    <t>ORD_1045</t>
  </si>
  <si>
    <t>Row Labels</t>
  </si>
  <si>
    <t>Column Labels</t>
  </si>
  <si>
    <t>COUNTIFS()</t>
  </si>
  <si>
    <t>FORMULA</t>
  </si>
  <si>
    <t>SYNTAX</t>
  </si>
  <si>
    <t>CRITERIA RANGE 1,CRITERIA1…......N</t>
  </si>
  <si>
    <t>SUMIFS()</t>
  </si>
  <si>
    <t>SUM RANGE,CRITERIA RANGE 1,CRITERIA1,…......N</t>
  </si>
  <si>
    <t>AVERAGEIFS()</t>
  </si>
  <si>
    <t>AVERAGE RANGE,CRITERIA RANGE 1,CRITERIA1,…......N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</si>
</sst>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39]#,##0.00"/>
    <numFmt numFmtId="165" formatCode="[$-F800]dddd\,\ mmmm\ dd\,\ yyyy"/>
  </numFmts>
  <fonts count="9" x14ac:knownFonts="1">
    <font>
      <sz val="11"/>
      <color theme="1"/>
      <name val="Calibri"/>
      <family val="2"/>
      <scheme val="minor"/>
    </font>
    <font>
      <b/>
      <sz val="11"/>
      <color theme="0"/>
      <name val="Calibri"/>
      <family val="2"/>
      <scheme val="minor"/>
    </font>
    <font>
      <b/>
      <sz val="12"/>
      <color theme="1"/>
      <name val="Calibri"/>
      <family val="2"/>
      <scheme val="minor"/>
    </font>
    <font>
      <i/>
      <sz val="14"/>
      <color theme="5" tint="-0.249977111117893"/>
      <name val="Bauhaus 93"/>
      <family val="5"/>
    </font>
    <font>
      <sz val="14"/>
      <color theme="1"/>
      <name val="Arial"/>
      <family val="2"/>
    </font>
    <font>
      <sz val="11"/>
      <color theme="1"/>
      <name val="Calibri"/>
      <family val="2"/>
      <scheme val="minor"/>
    </font>
    <font>
      <b/>
      <sz val="11"/>
      <color theme="1"/>
      <name val="Calibri"/>
      <family val="2"/>
      <scheme val="minor"/>
    </font>
    <font>
      <b/>
      <i/>
      <u/>
      <sz val="11"/>
      <color theme="1"/>
      <name val="Calibri"/>
      <family val="2"/>
      <scheme val="minor"/>
    </font>
    <font>
      <sz val="8"/>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rgb="FFFFFF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style="thin">
        <color theme="4" tint="0.39997558519241921"/>
      </left>
      <right/>
      <top/>
      <bottom/>
      <diagonal/>
    </border>
    <border>
      <left/>
      <right style="thin">
        <color theme="4" tint="0.39997558519241921"/>
      </right>
      <top/>
      <bottom/>
      <diagonal/>
    </border>
  </borders>
  <cellStyleXfs count="2">
    <xf numFmtId="0" fontId="0" fillId="0" borderId="0"/>
    <xf numFmtId="9" fontId="5" fillId="0" borderId="0" applyFont="0" applyFill="0" applyBorder="0" applyAlignment="0" applyProtection="0"/>
  </cellStyleXfs>
  <cellXfs count="72">
    <xf numFmtId="0" fontId="0" fillId="0" borderId="0" xfId="0"/>
    <xf numFmtId="14" fontId="0" fillId="0" borderId="0" xfId="0" applyNumberFormat="1"/>
    <xf numFmtId="0" fontId="0" fillId="0" borderId="0" xfId="0" pivotButton="1"/>
    <xf numFmtId="0" fontId="2" fillId="0" borderId="0" xfId="0" applyFont="1"/>
    <xf numFmtId="1" fontId="0" fillId="0" borderId="0" xfId="0" applyNumberFormat="1"/>
    <xf numFmtId="0" fontId="0" fillId="3" borderId="0" xfId="0" applyFill="1"/>
    <xf numFmtId="0" fontId="3" fillId="4" borderId="2" xfId="0" applyFont="1" applyFill="1" applyBorder="1"/>
    <xf numFmtId="0" fontId="3" fillId="4" borderId="3" xfId="0" applyFont="1" applyFill="1" applyBorder="1"/>
    <xf numFmtId="0" fontId="3" fillId="4" borderId="4" xfId="0" applyFont="1" applyFill="1" applyBorder="1"/>
    <xf numFmtId="0" fontId="4" fillId="5" borderId="5" xfId="0" applyFont="1" applyFill="1" applyBorder="1"/>
    <xf numFmtId="0" fontId="4" fillId="5" borderId="1" xfId="0" applyFont="1" applyFill="1" applyBorder="1"/>
    <xf numFmtId="0" fontId="4" fillId="5" borderId="6" xfId="0" applyFont="1" applyFill="1" applyBorder="1"/>
    <xf numFmtId="0" fontId="4" fillId="5" borderId="7" xfId="0" applyFont="1" applyFill="1" applyBorder="1"/>
    <xf numFmtId="0" fontId="4" fillId="5" borderId="8" xfId="0" applyFont="1" applyFill="1" applyBorder="1"/>
    <xf numFmtId="0" fontId="4" fillId="5" borderId="9" xfId="0" applyFont="1" applyFill="1" applyBorder="1"/>
    <xf numFmtId="0" fontId="0" fillId="0" borderId="0" xfId="0" applyAlignment="1">
      <alignment wrapText="1"/>
    </xf>
    <xf numFmtId="0" fontId="3" fillId="4" borderId="18" xfId="0" applyFont="1" applyFill="1" applyBorder="1"/>
    <xf numFmtId="0" fontId="3" fillId="4" borderId="19" xfId="0" applyFont="1" applyFill="1" applyBorder="1"/>
    <xf numFmtId="0" fontId="3" fillId="4" borderId="20" xfId="0" applyFont="1" applyFill="1" applyBorder="1"/>
    <xf numFmtId="0" fontId="0" fillId="0" borderId="0" xfId="0" applyAlignment="1">
      <alignment horizontal="center"/>
    </xf>
    <xf numFmtId="0" fontId="6" fillId="0" borderId="0" xfId="0" applyFont="1"/>
    <xf numFmtId="0" fontId="7" fillId="0" borderId="0" xfId="0" applyFont="1"/>
    <xf numFmtId="0" fontId="7" fillId="0" borderId="1" xfId="0" applyFont="1" applyBorder="1"/>
    <xf numFmtId="0" fontId="0" fillId="0" borderId="0" xfId="0" applyAlignment="1">
      <alignment horizontal="right"/>
    </xf>
    <xf numFmtId="0" fontId="4" fillId="5" borderId="21" xfId="0" applyFont="1" applyFill="1" applyBorder="1"/>
    <xf numFmtId="0" fontId="0" fillId="0" borderId="1" xfId="0" applyBorder="1"/>
    <xf numFmtId="0" fontId="3" fillId="4" borderId="24" xfId="0" applyFont="1" applyFill="1" applyBorder="1"/>
    <xf numFmtId="0" fontId="4" fillId="5" borderId="25" xfId="0" applyFont="1" applyFill="1" applyBorder="1"/>
    <xf numFmtId="164" fontId="0" fillId="0" borderId="0" xfId="1" applyNumberFormat="1" applyFont="1"/>
    <xf numFmtId="165" fontId="0" fillId="0" borderId="0" xfId="0" applyNumberFormat="1"/>
    <xf numFmtId="9" fontId="0" fillId="0" borderId="0" xfId="0" applyNumberFormat="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0" xfId="0" applyAlignment="1">
      <alignment horizontal="left"/>
    </xf>
    <xf numFmtId="0" fontId="0" fillId="0" borderId="1" xfId="0" applyBorder="1" applyAlignment="1">
      <alignment horizontal="center"/>
    </xf>
    <xf numFmtId="0" fontId="0" fillId="0" borderId="0" xfId="0" applyAlignment="1">
      <alignment horizontal="center"/>
    </xf>
    <xf numFmtId="0" fontId="0" fillId="6" borderId="21" xfId="0" applyFill="1" applyBorder="1" applyAlignment="1">
      <alignment horizontal="center"/>
    </xf>
    <xf numFmtId="0" fontId="0" fillId="6" borderId="22" xfId="0" applyFill="1" applyBorder="1" applyAlignment="1">
      <alignment horizontal="center"/>
    </xf>
    <xf numFmtId="0" fontId="0" fillId="6" borderId="23" xfId="0" applyFill="1"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21" xfId="0" applyBorder="1"/>
    <xf numFmtId="0" fontId="0" fillId="0" borderId="22" xfId="0" applyBorder="1"/>
    <xf numFmtId="0" fontId="0" fillId="0" borderId="23"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6" fillId="7" borderId="35" xfId="0" applyFont="1" applyFill="1" applyBorder="1"/>
    <xf numFmtId="0" fontId="6" fillId="0" borderId="35" xfId="0" applyFont="1" applyBorder="1"/>
    <xf numFmtId="0" fontId="0" fillId="8" borderId="0" xfId="0" applyFill="1"/>
    <xf numFmtId="14" fontId="1" fillId="2" borderId="36" xfId="0" applyNumberFormat="1" applyFont="1" applyFill="1" applyBorder="1"/>
    <xf numFmtId="0" fontId="1" fillId="2" borderId="0" xfId="0" applyFont="1" applyFill="1" applyBorder="1"/>
    <xf numFmtId="164" fontId="1" fillId="2" borderId="37" xfId="0" applyNumberFormat="1" applyFont="1" applyFill="1" applyBorder="1"/>
  </cellXfs>
  <cellStyles count="2">
    <cellStyle name="Normal" xfId="0" builtinId="0"/>
    <cellStyle name="Percent" xfId="1" builtinId="5"/>
  </cellStyles>
  <dxfs count="12">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19" formatCode="yyyy/mm/dd"/>
    </dxf>
    <dxf>
      <border outline="0">
        <top style="thin">
          <color theme="4" tint="0.39997558519241921"/>
        </top>
      </border>
    </dxf>
    <dxf>
      <numFmt numFmtId="1" formatCode="0"/>
    </dxf>
    <dxf>
      <numFmt numFmtId="13" formatCode="0%"/>
    </dxf>
    <dxf>
      <font>
        <b/>
        <sz val="11"/>
        <color theme="1"/>
      </font>
    </dxf>
    <dxf>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9"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7" tint="0.59996337778862885"/>
        </patternFill>
      </fill>
    </dxf>
    <dxf>
      <fill>
        <patternFill>
          <bgColor theme="9" tint="0.79998168889431442"/>
        </patternFill>
      </fill>
    </dxf>
    <dxf>
      <fill>
        <patternFill>
          <bgColor theme="9" tint="0.79998168889431442"/>
        </patternFill>
      </fill>
    </dxf>
  </dxfs>
  <tableStyles count="5" defaultTableStyle="TableStyleMedium2" defaultPivotStyle="PivotStyleLight16">
    <tableStyle name="Slicer Style 1" pivot="0" table="0" count="1" xr9:uid="{EBE6F33F-4A96-4104-8DE5-45264C2BF314}">
      <tableStyleElement type="wholeTable" dxfId="11"/>
    </tableStyle>
    <tableStyle name="Slicer Style 2" pivot="0" table="0" count="2" xr9:uid="{B204E943-6A40-4575-B2D5-025167FF2505}">
      <tableStyleElement type="wholeTable" dxfId="10"/>
    </tableStyle>
    <tableStyle name="Slicer Style 3" pivot="0" table="0" count="3" xr9:uid="{8405EC7A-2EE0-49C3-9762-CD0B299E5BEE}">
      <tableStyleElement type="wholeTable" dxfId="9"/>
    </tableStyle>
    <tableStyle name="Timeline Style 1" pivot="0" table="0" count="8" xr9:uid="{AF802E44-EFF0-41BC-9C45-78B483838EA8}">
      <tableStyleElement type="wholeTable" dxfId="8"/>
      <tableStyleElement type="headerRow" dxfId="7"/>
    </tableStyle>
    <tableStyle name="Timeline Style 2" pivot="0" table="0" count="8" xr9:uid="{FCDC768A-385A-4C4A-98D2-F1480B4F5104}">
      <tableStyleElement type="wholeTable" dxfId="6"/>
      <tableStyleElement type="headerRow" dxfId="5"/>
    </tableStyle>
  </tableStyles>
  <colors>
    <mruColors>
      <color rgb="FFFF3399"/>
    </mruColors>
  </colors>
  <extLst>
    <ext xmlns:x14="http://schemas.microsoft.com/office/spreadsheetml/2009/9/main" uri="{46F421CA-312F-682f-3DD2-61675219B42D}">
      <x14:dxfs count="3">
        <dxf>
          <font>
            <b/>
            <i/>
          </font>
          <fill>
            <patternFill>
              <bgColor theme="5" tint="-0.24994659260841701"/>
            </patternFill>
          </fill>
          <border>
            <left style="thin">
              <color auto="1"/>
            </left>
            <right style="thin">
              <color auto="1"/>
            </right>
            <top style="thin">
              <color auto="1"/>
            </top>
            <bottom style="thin">
              <color auto="1"/>
            </bottom>
          </border>
        </dxf>
        <dxf>
          <fill>
            <patternFill>
              <bgColor rgb="FF92D050"/>
            </patternFill>
          </fill>
          <border>
            <left style="thin">
              <color auto="1"/>
            </left>
            <right style="thin">
              <color auto="1"/>
            </right>
            <top style="thin">
              <color auto="1"/>
            </top>
            <bottom style="thin">
              <color auto="1"/>
            </bottom>
          </border>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6795556505021"/>
              <bgColor theme="7" tint="0.39994506668294322"/>
            </patternFill>
          </fill>
        </dxf>
        <dxf>
          <fill>
            <patternFill patternType="solid">
              <fgColor theme="0"/>
              <bgColor theme="5"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9" tint="0.39994506668294322"/>
            </patternFill>
          </fill>
          <border>
            <left style="thin">
              <color auto="1"/>
            </left>
            <right style="thin">
              <color auto="1"/>
            </right>
            <top style="thin">
              <color auto="1"/>
            </top>
            <bottom style="thin">
              <color auto="1"/>
            </bottom>
          </border>
        </dxf>
        <dxf>
          <fill>
            <patternFill patternType="solid">
              <fgColor theme="0"/>
              <bgColor theme="5" tint="-0.24994659260841701"/>
            </patternFill>
          </fill>
          <border>
            <left style="thin">
              <color auto="1"/>
            </left>
            <right style="thin">
              <color auto="1"/>
            </right>
            <top style="thin">
              <color auto="1"/>
            </top>
            <bottom style="thin">
              <color auto="1"/>
            </bottom>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5.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4.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wise QTY sales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449400113331098E-2"/>
          <c:y val="0.13280309044897445"/>
          <c:w val="0.93779035527852395"/>
          <c:h val="0.78413404501021733"/>
        </c:manualLayout>
      </c:layout>
      <c:barChart>
        <c:barDir val="col"/>
        <c:grouping val="clustered"/>
        <c:varyColors val="0"/>
        <c:ser>
          <c:idx val="0"/>
          <c:order val="0"/>
          <c:tx>
            <c:strRef>
              <c:f>Sheet3!$B$2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Sheet3!$A$3:$A$13</c:f>
              <c:strCache>
                <c:ptCount val="10"/>
                <c:pt idx="0">
                  <c:v>Dinesh</c:v>
                </c:pt>
                <c:pt idx="1">
                  <c:v>Jaykesh</c:v>
                </c:pt>
                <c:pt idx="2">
                  <c:v>Keshav</c:v>
                </c:pt>
                <c:pt idx="3">
                  <c:v>Kuldeep</c:v>
                </c:pt>
                <c:pt idx="4">
                  <c:v>Pankaj</c:v>
                </c:pt>
                <c:pt idx="5">
                  <c:v>Pinkesh</c:v>
                </c:pt>
                <c:pt idx="6">
                  <c:v>Priya</c:v>
                </c:pt>
                <c:pt idx="7">
                  <c:v>Rajendra</c:v>
                </c:pt>
                <c:pt idx="8">
                  <c:v>vishal</c:v>
                </c:pt>
                <c:pt idx="9">
                  <c:v>Rajesh</c:v>
                </c:pt>
              </c:strCache>
            </c:strRef>
          </c:cat>
          <c:val>
            <c:numRef>
              <c:f>Sheet3!$B$3:$B$13</c:f>
              <c:numCache>
                <c:formatCode>General</c:formatCode>
                <c:ptCount val="10"/>
                <c:pt idx="0">
                  <c:v>16</c:v>
                </c:pt>
                <c:pt idx="1">
                  <c:v>32</c:v>
                </c:pt>
                <c:pt idx="2">
                  <c:v>10</c:v>
                </c:pt>
                <c:pt idx="3">
                  <c:v>7</c:v>
                </c:pt>
                <c:pt idx="4">
                  <c:v>8</c:v>
                </c:pt>
                <c:pt idx="5">
                  <c:v>20</c:v>
                </c:pt>
                <c:pt idx="6">
                  <c:v>12</c:v>
                </c:pt>
                <c:pt idx="7">
                  <c:v>13</c:v>
                </c:pt>
                <c:pt idx="8">
                  <c:v>25</c:v>
                </c:pt>
                <c:pt idx="9">
                  <c:v>23</c:v>
                </c:pt>
              </c:numCache>
            </c:numRef>
          </c:val>
          <c:extLst>
            <c:ext xmlns:c16="http://schemas.microsoft.com/office/drawing/2014/chart" uri="{C3380CC4-5D6E-409C-BE32-E72D297353CC}">
              <c16:uniqueId val="{00000000-F56D-4095-8E5E-D6D34CEEA32D}"/>
            </c:ext>
          </c:extLst>
        </c:ser>
        <c:dLbls>
          <c:dLblPos val="outEnd"/>
          <c:showLegendKey val="0"/>
          <c:showVal val="1"/>
          <c:showCatName val="0"/>
          <c:showSerName val="0"/>
          <c:showPercent val="0"/>
          <c:showBubbleSize val="0"/>
        </c:dLbls>
        <c:gapWidth val="219"/>
        <c:overlap val="-27"/>
        <c:axId val="506257760"/>
        <c:axId val="506255600"/>
      </c:barChart>
      <c:catAx>
        <c:axId val="50625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255600"/>
        <c:crosses val="autoZero"/>
        <c:auto val="1"/>
        <c:lblAlgn val="ctr"/>
        <c:lblOffset val="100"/>
        <c:noMultiLvlLbl val="0"/>
      </c:catAx>
      <c:valAx>
        <c:axId val="506255600"/>
        <c:scaling>
          <c:orientation val="minMax"/>
        </c:scaling>
        <c:delete val="1"/>
        <c:axPos val="l"/>
        <c:numFmt formatCode="General" sourceLinked="1"/>
        <c:majorTickMark val="none"/>
        <c:minorTickMark val="none"/>
        <c:tickLblPos val="nextTo"/>
        <c:crossAx val="5062577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r>
              <a:rPr lang="en-IN" baseline="0"/>
              <a:t> Wise QTY Sales Report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Sheet3!$F$2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Sheet3!$E$3:$E$18</c:f>
              <c:strCache>
                <c:ptCount val="15"/>
                <c:pt idx="0">
                  <c:v>Ahmedabad</c:v>
                </c:pt>
                <c:pt idx="1">
                  <c:v>Bengaluru</c:v>
                </c:pt>
                <c:pt idx="2">
                  <c:v>Chennai</c:v>
                </c:pt>
                <c:pt idx="3">
                  <c:v>Coimbatore</c:v>
                </c:pt>
                <c:pt idx="4">
                  <c:v>Dwarka</c:v>
                </c:pt>
                <c:pt idx="5">
                  <c:v>Hubli</c:v>
                </c:pt>
                <c:pt idx="6">
                  <c:v>Karol Bagh</c:v>
                </c:pt>
                <c:pt idx="7">
                  <c:v>Madurai</c:v>
                </c:pt>
                <c:pt idx="8">
                  <c:v>Mumbai</c:v>
                </c:pt>
                <c:pt idx="9">
                  <c:v>Mysuru</c:v>
                </c:pt>
                <c:pt idx="10">
                  <c:v>Nagpur</c:v>
                </c:pt>
                <c:pt idx="11">
                  <c:v>New Delhi</c:v>
                </c:pt>
                <c:pt idx="12">
                  <c:v>Pune</c:v>
                </c:pt>
                <c:pt idx="13">
                  <c:v>Surat</c:v>
                </c:pt>
                <c:pt idx="14">
                  <c:v>Vadodara</c:v>
                </c:pt>
              </c:strCache>
            </c:strRef>
          </c:cat>
          <c:val>
            <c:numRef>
              <c:f>Sheet3!$F$3:$F$18</c:f>
              <c:numCache>
                <c:formatCode>General</c:formatCode>
                <c:ptCount val="15"/>
                <c:pt idx="0">
                  <c:v>166</c:v>
                </c:pt>
                <c:pt idx="1">
                  <c:v>90</c:v>
                </c:pt>
                <c:pt idx="2">
                  <c:v>109</c:v>
                </c:pt>
                <c:pt idx="3">
                  <c:v>172</c:v>
                </c:pt>
                <c:pt idx="4">
                  <c:v>95</c:v>
                </c:pt>
                <c:pt idx="5">
                  <c:v>155</c:v>
                </c:pt>
                <c:pt idx="6">
                  <c:v>66</c:v>
                </c:pt>
                <c:pt idx="7">
                  <c:v>137</c:v>
                </c:pt>
                <c:pt idx="8">
                  <c:v>153</c:v>
                </c:pt>
                <c:pt idx="9">
                  <c:v>137</c:v>
                </c:pt>
                <c:pt idx="10">
                  <c:v>191</c:v>
                </c:pt>
                <c:pt idx="11">
                  <c:v>188</c:v>
                </c:pt>
                <c:pt idx="12">
                  <c:v>56</c:v>
                </c:pt>
                <c:pt idx="13">
                  <c:v>111</c:v>
                </c:pt>
                <c:pt idx="14">
                  <c:v>131</c:v>
                </c:pt>
              </c:numCache>
            </c:numRef>
          </c:val>
          <c:extLst>
            <c:ext xmlns:c16="http://schemas.microsoft.com/office/drawing/2014/chart" uri="{C3380CC4-5D6E-409C-BE32-E72D297353CC}">
              <c16:uniqueId val="{00000000-9A37-4292-9BA9-F98647A07622}"/>
            </c:ext>
          </c:extLst>
        </c:ser>
        <c:dLbls>
          <c:showLegendKey val="0"/>
          <c:showVal val="1"/>
          <c:showCatName val="0"/>
          <c:showSerName val="0"/>
          <c:showPercent val="0"/>
          <c:showBubbleSize val="0"/>
        </c:dLbls>
        <c:gapWidth val="75"/>
        <c:axId val="678309456"/>
        <c:axId val="497877640"/>
      </c:barChart>
      <c:catAx>
        <c:axId val="67830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77640"/>
        <c:crosses val="autoZero"/>
        <c:auto val="1"/>
        <c:lblAlgn val="ctr"/>
        <c:lblOffset val="100"/>
        <c:noMultiLvlLbl val="0"/>
      </c:catAx>
      <c:valAx>
        <c:axId val="497877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0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wise sales report</a:t>
            </a:r>
            <a:endParaRPr lang="en-US"/>
          </a:p>
        </c:rich>
      </c:tx>
      <c:layout>
        <c:manualLayout>
          <c:xMode val="edge"/>
          <c:yMode val="edge"/>
          <c:x val="0.33151691338633565"/>
          <c:y val="1.80781138254225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0.11863727399928661"/>
              <c:y val="0.1626743486332500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0.15481619882260481"/>
              <c:y val="0.17674695726325346"/>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0.16974584426946626"/>
              <c:y val="-0.142918124817731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3.4769685039370078E-2"/>
              <c:y val="-0.1751753426655001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381905198250899E-2"/>
          <c:y val="0.18758978871030477"/>
          <c:w val="0.93180635266121414"/>
          <c:h val="0.7343614728798884"/>
        </c:manualLayout>
      </c:layout>
      <c:pie3DChart>
        <c:varyColors val="1"/>
        <c:ser>
          <c:idx val="0"/>
          <c:order val="0"/>
          <c:tx>
            <c:strRef>
              <c:f>Sheet3!$I$10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307-48E3-B88F-5ED47AB0306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307-48E3-B88F-5ED47AB0306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307-48E3-B88F-5ED47AB0306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307-48E3-B88F-5ED47AB0306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307-48E3-B88F-5ED47AB030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Sheet3!$H$11:$H$16</c:f>
              <c:strCache>
                <c:ptCount val="5"/>
                <c:pt idx="0">
                  <c:v>Clothing</c:v>
                </c:pt>
                <c:pt idx="1">
                  <c:v>Electronics</c:v>
                </c:pt>
                <c:pt idx="2">
                  <c:v>Furniture</c:v>
                </c:pt>
                <c:pt idx="3">
                  <c:v>Groceries</c:v>
                </c:pt>
                <c:pt idx="4">
                  <c:v>Stationery</c:v>
                </c:pt>
              </c:strCache>
            </c:strRef>
          </c:cat>
          <c:val>
            <c:numRef>
              <c:f>Sheet3!$I$11:$I$16</c:f>
              <c:numCache>
                <c:formatCode>General</c:formatCode>
                <c:ptCount val="5"/>
                <c:pt idx="0">
                  <c:v>47</c:v>
                </c:pt>
                <c:pt idx="1">
                  <c:v>166</c:v>
                </c:pt>
                <c:pt idx="2">
                  <c:v>223</c:v>
                </c:pt>
                <c:pt idx="3">
                  <c:v>200</c:v>
                </c:pt>
                <c:pt idx="4">
                  <c:v>218</c:v>
                </c:pt>
              </c:numCache>
            </c:numRef>
          </c:val>
          <c:extLst>
            <c:ext xmlns:c16="http://schemas.microsoft.com/office/drawing/2014/chart" uri="{C3380CC4-5D6E-409C-BE32-E72D297353CC}">
              <c16:uniqueId val="{00000000-19DF-4B27-8A7F-BBE4A7F84364}"/>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[Mohit.xlsx]Sheet3!PivotTable5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a:t>Monthly QTY Sales Report </a:t>
            </a:r>
          </a:p>
        </c:rich>
      </c:tx>
      <c:layout>
        <c:manualLayout>
          <c:xMode val="edge"/>
          <c:yMode val="edge"/>
          <c:x val="0.34286305705781245"/>
          <c:y val="2.4934994346454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34837187295997E-2"/>
          <c:y val="0.29713309207338229"/>
          <c:w val="0.85593732204920769"/>
          <c:h val="0.59794179060950725"/>
        </c:manualLayout>
      </c:layout>
      <c:lineChart>
        <c:grouping val="standard"/>
        <c:varyColors val="0"/>
        <c:ser>
          <c:idx val="0"/>
          <c:order val="0"/>
          <c:tx>
            <c:strRef>
              <c:f>Sheet3!$E$24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Sheet3!$D$25:$D$34</c:f>
              <c:strCache>
                <c:ptCount val="9"/>
                <c:pt idx="0">
                  <c:v>Jan</c:v>
                </c:pt>
                <c:pt idx="1">
                  <c:v>Feb</c:v>
                </c:pt>
                <c:pt idx="2">
                  <c:v>Mar</c:v>
                </c:pt>
                <c:pt idx="3">
                  <c:v>May</c:v>
                </c:pt>
                <c:pt idx="4">
                  <c:v>Jun</c:v>
                </c:pt>
                <c:pt idx="5">
                  <c:v>Aug</c:v>
                </c:pt>
                <c:pt idx="6">
                  <c:v>Oct</c:v>
                </c:pt>
                <c:pt idx="7">
                  <c:v>Nov</c:v>
                </c:pt>
                <c:pt idx="8">
                  <c:v>Dec</c:v>
                </c:pt>
              </c:strCache>
            </c:strRef>
          </c:cat>
          <c:val>
            <c:numRef>
              <c:f>Sheet3!$E$25:$E$34</c:f>
              <c:numCache>
                <c:formatCode>General</c:formatCode>
                <c:ptCount val="9"/>
                <c:pt idx="0">
                  <c:v>13</c:v>
                </c:pt>
                <c:pt idx="1">
                  <c:v>10</c:v>
                </c:pt>
                <c:pt idx="2">
                  <c:v>3</c:v>
                </c:pt>
                <c:pt idx="3">
                  <c:v>3</c:v>
                </c:pt>
                <c:pt idx="4">
                  <c:v>39</c:v>
                </c:pt>
                <c:pt idx="5">
                  <c:v>27</c:v>
                </c:pt>
                <c:pt idx="6">
                  <c:v>32</c:v>
                </c:pt>
                <c:pt idx="7">
                  <c:v>13</c:v>
                </c:pt>
                <c:pt idx="8">
                  <c:v>26</c:v>
                </c:pt>
              </c:numCache>
            </c:numRef>
          </c:val>
          <c:smooth val="0"/>
          <c:extLst>
            <c:ext xmlns:c16="http://schemas.microsoft.com/office/drawing/2014/chart" uri="{C3380CC4-5D6E-409C-BE32-E72D297353CC}">
              <c16:uniqueId val="{00000000-EB66-4D9E-B9B5-41673E7C0706}"/>
            </c:ext>
          </c:extLst>
        </c:ser>
        <c:dLbls>
          <c:dLblPos val="t"/>
          <c:showLegendKey val="0"/>
          <c:showVal val="1"/>
          <c:showCatName val="0"/>
          <c:showSerName val="0"/>
          <c:showPercent val="0"/>
          <c:showBubbleSize val="0"/>
        </c:dLbls>
        <c:marker val="1"/>
        <c:smooth val="0"/>
        <c:axId val="678311976"/>
        <c:axId val="678306216"/>
      </c:lineChart>
      <c:catAx>
        <c:axId val="678311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8306216"/>
        <c:crosses val="autoZero"/>
        <c:auto val="1"/>
        <c:lblAlgn val="ctr"/>
        <c:lblOffset val="100"/>
        <c:noMultiLvlLbl val="0"/>
      </c:catAx>
      <c:valAx>
        <c:axId val="678306216"/>
        <c:scaling>
          <c:orientation val="minMax"/>
        </c:scaling>
        <c:delete val="1"/>
        <c:axPos val="l"/>
        <c:numFmt formatCode="General" sourceLinked="1"/>
        <c:majorTickMark val="out"/>
        <c:minorTickMark val="none"/>
        <c:tickLblPos val="nextTo"/>
        <c:crossAx val="678311976"/>
        <c:crosses val="autoZero"/>
        <c:crossBetween val="between"/>
      </c:valAx>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45358</xdr:colOff>
      <xdr:row>0</xdr:row>
      <xdr:rowOff>54429</xdr:rowOff>
    </xdr:from>
    <xdr:to>
      <xdr:col>18</xdr:col>
      <xdr:colOff>344715</xdr:colOff>
      <xdr:row>39</xdr:row>
      <xdr:rowOff>99786</xdr:rowOff>
    </xdr:to>
    <xdr:sp macro="" textlink="">
      <xdr:nvSpPr>
        <xdr:cNvPr id="9" name="Rectangle 8">
          <a:extLst>
            <a:ext uri="{FF2B5EF4-FFF2-40B4-BE49-F238E27FC236}">
              <a16:creationId xmlns:a16="http://schemas.microsoft.com/office/drawing/2014/main" id="{94F7690B-4DD3-BE01-67CC-821E07F6E156}"/>
            </a:ext>
          </a:extLst>
        </xdr:cNvPr>
        <xdr:cNvSpPr/>
      </xdr:nvSpPr>
      <xdr:spPr>
        <a:xfrm>
          <a:off x="816429" y="54429"/>
          <a:ext cx="11919857" cy="7121071"/>
        </a:xfrm>
        <a:prstGeom prst="rect">
          <a:avLst/>
        </a:prstGeom>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470806</xdr:colOff>
      <xdr:row>19</xdr:row>
      <xdr:rowOff>54429</xdr:rowOff>
    </xdr:from>
    <xdr:to>
      <xdr:col>18</xdr:col>
      <xdr:colOff>99786</xdr:colOff>
      <xdr:row>38</xdr:row>
      <xdr:rowOff>154214</xdr:rowOff>
    </xdr:to>
    <xdr:graphicFrame macro="">
      <xdr:nvGraphicFramePr>
        <xdr:cNvPr id="3" name="Chart 2">
          <a:extLst>
            <a:ext uri="{FF2B5EF4-FFF2-40B4-BE49-F238E27FC236}">
              <a16:creationId xmlns:a16="http://schemas.microsoft.com/office/drawing/2014/main" id="{307E2A9F-6CDD-A4AB-67AA-2CC2506DA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282121</xdr:colOff>
      <xdr:row>1</xdr:row>
      <xdr:rowOff>19051</xdr:rowOff>
    </xdr:from>
    <xdr:to>
      <xdr:col>18</xdr:col>
      <xdr:colOff>145143</xdr:colOff>
      <xdr:row>4</xdr:row>
      <xdr:rowOff>25400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8930BB7C-9873-81D3-289E-A0361F816D8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53192" y="200480"/>
              <a:ext cx="11483522" cy="550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209550</xdr:colOff>
      <xdr:row>4</xdr:row>
      <xdr:rowOff>104774</xdr:rowOff>
    </xdr:from>
    <xdr:to>
      <xdr:col>10</xdr:col>
      <xdr:colOff>374650</xdr:colOff>
      <xdr:row>26</xdr:row>
      <xdr:rowOff>54428</xdr:rowOff>
    </xdr:to>
    <xdr:graphicFrame macro="">
      <xdr:nvGraphicFramePr>
        <xdr:cNvPr id="5" name="Chart 4">
          <a:extLst>
            <a:ext uri="{FF2B5EF4-FFF2-40B4-BE49-F238E27FC236}">
              <a16:creationId xmlns:a16="http://schemas.microsoft.com/office/drawing/2014/main" id="{D97F18BF-2CFB-935F-2EFF-77A6B13E4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266700</xdr:colOff>
      <xdr:row>4</xdr:row>
      <xdr:rowOff>114300</xdr:rowOff>
    </xdr:from>
    <xdr:to>
      <xdr:col>3</xdr:col>
      <xdr:colOff>171450</xdr:colOff>
      <xdr:row>37</xdr:row>
      <xdr:rowOff>158750</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69384867-0C5E-DCD6-E03F-907058557A9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37771" y="840014"/>
              <a:ext cx="1446893" cy="6031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511628</xdr:colOff>
      <xdr:row>4</xdr:row>
      <xdr:rowOff>107496</xdr:rowOff>
    </xdr:from>
    <xdr:to>
      <xdr:col>17</xdr:col>
      <xdr:colOff>589643</xdr:colOff>
      <xdr:row>18</xdr:row>
      <xdr:rowOff>117928</xdr:rowOff>
    </xdr:to>
    <xdr:graphicFrame macro="">
      <xdr:nvGraphicFramePr>
        <xdr:cNvPr id="7" name="Chart 6">
          <a:extLst>
            <a:ext uri="{FF2B5EF4-FFF2-40B4-BE49-F238E27FC236}">
              <a16:creationId xmlns:a16="http://schemas.microsoft.com/office/drawing/2014/main" id="{6AB48E4E-5BA2-7BF5-425A-063DEDDC7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273050</xdr:colOff>
      <xdr:row>26</xdr:row>
      <xdr:rowOff>108857</xdr:rowOff>
    </xdr:from>
    <xdr:to>
      <xdr:col>10</xdr:col>
      <xdr:colOff>400050</xdr:colOff>
      <xdr:row>38</xdr:row>
      <xdr:rowOff>154213</xdr:rowOff>
    </xdr:to>
    <xdr:graphicFrame macro="">
      <xdr:nvGraphicFramePr>
        <xdr:cNvPr id="8" name="Chart 7">
          <a:extLst>
            <a:ext uri="{FF2B5EF4-FFF2-40B4-BE49-F238E27FC236}">
              <a16:creationId xmlns:a16="http://schemas.microsoft.com/office/drawing/2014/main" id="{4FEB4D15-0488-929F-E4A6-AD7CAE141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0</xdr:row>
      <xdr:rowOff>107950</xdr:rowOff>
    </xdr:from>
    <xdr:to>
      <xdr:col>15</xdr:col>
      <xdr:colOff>298450</xdr:colOff>
      <xdr:row>3</xdr:row>
      <xdr:rowOff>139700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DAF13C42-B951-556C-ECEB-4639BBE5A5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4300" y="107950"/>
              <a:ext cx="11684000" cy="58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361950</xdr:colOff>
      <xdr:row>12</xdr:row>
      <xdr:rowOff>0</xdr:rowOff>
    </xdr:from>
    <xdr:to>
      <xdr:col>10</xdr:col>
      <xdr:colOff>63500</xdr:colOff>
      <xdr:row>25</xdr:row>
      <xdr:rowOff>130175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9E15710-0298-65A7-13B4-05B609CB482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57900"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158750</xdr:colOff>
      <xdr:row>11</xdr:row>
      <xdr:rowOff>152400</xdr:rowOff>
    </xdr:from>
    <xdr:to>
      <xdr:col>12</xdr:col>
      <xdr:colOff>615950</xdr:colOff>
      <xdr:row>25</xdr:row>
      <xdr:rowOff>98425</xdr:rowOff>
    </xdr:to>
    <mc:AlternateContent xmlns:mc="http://schemas.openxmlformats.org/markup-compatibility/2006" xmlns:a14="http://schemas.microsoft.com/office/drawing/2010/main">
      <mc:Choice Requires="a14">
        <xdr:graphicFrame macro="">
          <xdr:nvGraphicFramePr>
            <xdr:cNvPr id="4" name="Salesman">
              <a:extLst>
                <a:ext uri="{FF2B5EF4-FFF2-40B4-BE49-F238E27FC236}">
                  <a16:creationId xmlns:a16="http://schemas.microsoft.com/office/drawing/2014/main" id="{FA808943-48E3-A6FF-5BA2-CE6710494302}"/>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7981950" y="217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0</xdr:row>
      <xdr:rowOff>0</xdr:rowOff>
    </xdr:from>
    <xdr:to>
      <xdr:col>14</xdr:col>
      <xdr:colOff>317500</xdr:colOff>
      <xdr:row>2</xdr:row>
      <xdr:rowOff>94095</xdr:rowOff>
    </xdr:to>
    <xdr:sp macro="" textlink="">
      <xdr:nvSpPr>
        <xdr:cNvPr id="2" name="Rectangle 1">
          <a:extLst>
            <a:ext uri="{FF2B5EF4-FFF2-40B4-BE49-F238E27FC236}">
              <a16:creationId xmlns:a16="http://schemas.microsoft.com/office/drawing/2014/main" id="{F02FF14B-B5AA-4396-9F27-1E202A03FF7A}"/>
            </a:ext>
          </a:extLst>
        </xdr:cNvPr>
        <xdr:cNvSpPr/>
      </xdr:nvSpPr>
      <xdr:spPr>
        <a:xfrm>
          <a:off x="10587182" y="0"/>
          <a:ext cx="4693227" cy="46355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FF3399"/>
              </a:solidFill>
            </a:rPr>
            <a:t>COUNTIFS(),SUMIFS(),AVERAGEIFS()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558800</xdr:colOff>
      <xdr:row>0</xdr:row>
      <xdr:rowOff>19050</xdr:rowOff>
    </xdr:from>
    <xdr:to>
      <xdr:col>7</xdr:col>
      <xdr:colOff>635000</xdr:colOff>
      <xdr:row>2</xdr:row>
      <xdr:rowOff>114300</xdr:rowOff>
    </xdr:to>
    <xdr:sp macro="" textlink="">
      <xdr:nvSpPr>
        <xdr:cNvPr id="2" name="Rectangle 1">
          <a:extLst>
            <a:ext uri="{FF2B5EF4-FFF2-40B4-BE49-F238E27FC236}">
              <a16:creationId xmlns:a16="http://schemas.microsoft.com/office/drawing/2014/main" id="{99D996CC-F485-4BF2-74EE-3E7CB9C60655}"/>
            </a:ext>
          </a:extLst>
        </xdr:cNvPr>
        <xdr:cNvSpPr/>
      </xdr:nvSpPr>
      <xdr:spPr>
        <a:xfrm>
          <a:off x="1168400" y="19050"/>
          <a:ext cx="4730750" cy="46355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rgbClr val="FF3399"/>
              </a:solidFill>
            </a:rPr>
            <a:t>COUNTIFS(),SUMIFS(),AVERAGEIFS()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12700</xdr:colOff>
      <xdr:row>0</xdr:row>
      <xdr:rowOff>165100</xdr:rowOff>
    </xdr:from>
    <xdr:to>
      <xdr:col>19</xdr:col>
      <xdr:colOff>692150</xdr:colOff>
      <xdr:row>3</xdr:row>
      <xdr:rowOff>76200</xdr:rowOff>
    </xdr:to>
    <xdr:sp macro="" textlink="">
      <xdr:nvSpPr>
        <xdr:cNvPr id="2" name="Rectangle 1">
          <a:extLst>
            <a:ext uri="{FF2B5EF4-FFF2-40B4-BE49-F238E27FC236}">
              <a16:creationId xmlns:a16="http://schemas.microsoft.com/office/drawing/2014/main" id="{949F6359-8EE2-465C-95F4-C564B18D6CFA}"/>
            </a:ext>
          </a:extLst>
        </xdr:cNvPr>
        <xdr:cNvSpPr/>
      </xdr:nvSpPr>
      <xdr:spPr>
        <a:xfrm>
          <a:off x="10661650" y="165100"/>
          <a:ext cx="4743450" cy="46355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rgbClr val="FF3399"/>
              </a:solidFill>
            </a:rPr>
            <a:t>COUNTIFS(),SUMIFS(),AVERAGEIFS()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Dhakad" refreshedDate="46055.360757175928" createdVersion="8" refreshedVersion="8" minRefreshableVersion="3" recordCount="72" xr:uid="{22BF791E-AEA8-41E1-8399-28FEFCD8BF07}">
  <cacheSource type="worksheet">
    <worksheetSource ref="A1:E73" sheet="Calculated item"/>
  </cacheSource>
  <cacheFields count="5">
    <cacheField name="Month" numFmtId="0">
      <sharedItems/>
    </cacheField>
    <cacheField name="Platform" numFmtId="0">
      <sharedItems/>
    </cacheField>
    <cacheField name="Status" numFmtId="0">
      <sharedItems count="3">
        <s v="Sold"/>
        <s v="Cancel"/>
        <s v="Cancellation%" f="1"/>
      </sharedItems>
    </cacheField>
    <cacheField name="Product Name" numFmtId="0">
      <sharedItems count="4">
        <s v="Keyboard"/>
        <s v="Mouse"/>
        <s v="MSOffice"/>
        <s v="QuickHeal"/>
      </sharedItems>
    </cacheField>
    <cacheField name="Amount" numFmtId="0">
      <sharedItems containsSemiMixedTypes="0" containsString="0" containsNumber="1" containsInteger="1" minValue="1200" maxValue="6400"/>
    </cacheField>
  </cacheFields>
  <calculatedItems count="1">
    <calculatedItem formula="Status[Cancel]/(Status[Cancel]+Status[Sold])">
      <pivotArea cacheIndex="1" outline="0" fieldPosition="0">
        <references count="1">
          <reference field="2" count="1">
            <x v="2"/>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Dhakad" refreshedDate="46055.360757754628" createdVersion="8" refreshedVersion="8" minRefreshableVersion="3" recordCount="1045" xr:uid="{2BBF8D30-1C82-4F5B-B6A8-93A9CE7EC94E}">
  <cacheSource type="worksheet">
    <worksheetSource ref="B1:J1046" sheet="VIKAS"/>
  </cacheSource>
  <cacheFields count="12">
    <cacheField name="Sale Date" numFmtId="14">
      <sharedItems containsSemiMixedTypes="0" containsNonDate="0" containsDate="1" containsString="0" minDate="2023-01-01T00:00:00" maxDate="2024-12-24T00:00:00" count="387">
        <d v="2024-11-13T00:00:00"/>
        <d v="2023-01-23T00:00:00"/>
        <d v="2023-02-19T00:00:00"/>
        <d v="2023-01-29T00:00:00"/>
        <d v="2023-09-11T00:00:00"/>
        <d v="2023-08-21T00:00:00"/>
        <d v="2024-12-03T00:00:00"/>
        <d v="2023-12-07T00:00:00"/>
        <d v="2023-03-23T00:00:00"/>
        <d v="2023-03-16T00:00:00"/>
        <d v="2023-11-06T00:00:00"/>
        <d v="2023-02-22T00:00:00"/>
        <d v="2023-04-13T00:00:00"/>
        <d v="2023-10-14T00:00:00"/>
        <d v="2023-06-03T00:00:00"/>
        <d v="2023-04-12T00:00:00"/>
        <d v="2023-06-19T00:00:00"/>
        <d v="2023-06-20T00:00:00"/>
        <d v="2023-11-10T00:00:00"/>
        <d v="2023-12-28T00:00:00"/>
        <d v="2023-11-27T00:00:00"/>
        <d v="2023-04-16T00:00:00"/>
        <d v="2023-10-20T00:00:00"/>
        <d v="2023-08-18T00:00:00"/>
        <d v="2023-07-19T00:00:00"/>
        <d v="2023-08-24T00:00:00"/>
        <d v="2023-05-06T00:00:00"/>
        <d v="2023-10-29T00:00:00"/>
        <d v="2023-10-07T00:00:00"/>
        <d v="2023-01-14T00:00:00"/>
        <d v="2023-07-07T00:00:00"/>
        <d v="2023-10-02T00:00:00"/>
        <d v="2023-12-14T00:00:00"/>
        <d v="2023-10-24T00:00:00"/>
        <d v="2023-03-19T00:00:00"/>
        <d v="2023-07-23T00:00:00"/>
        <d v="2023-11-01T00:00:00"/>
        <d v="2023-07-20T00:00:00"/>
        <d v="2023-01-06T00:00:00"/>
        <d v="2023-06-05T00:00:00"/>
        <d v="2023-07-25T00:00:00"/>
        <d v="2023-09-28T00:00:00"/>
        <d v="2023-08-29T00:00:00"/>
        <d v="2023-08-30T00:00:00"/>
        <d v="2023-05-25T00:00:00"/>
        <d v="2023-03-25T00:00:00"/>
        <d v="2023-09-17T00:00:00"/>
        <d v="2023-06-29T00:00:00"/>
        <d v="2023-03-31T00:00:00"/>
        <d v="2023-02-12T00:00:00"/>
        <d v="2023-08-17T00:00:00"/>
        <d v="2023-03-28T00:00:00"/>
        <d v="2023-09-23T00:00:00"/>
        <d v="2023-09-15T00:00:00"/>
        <d v="2023-10-27T00:00:00"/>
        <d v="2023-11-02T00:00:00"/>
        <d v="2023-04-21T00:00:00"/>
        <d v="2023-05-17T00:00:00"/>
        <d v="2023-04-28T00:00:00"/>
        <d v="2023-11-19T00:00:00"/>
        <d v="2023-09-20T00:00:00"/>
        <d v="2024-12-23T00:00:00"/>
        <d v="2023-06-27T00:00:00"/>
        <d v="2023-11-08T00:00:00"/>
        <d v="2023-04-02T00:00:00"/>
        <d v="2023-02-15T00:00:00"/>
        <d v="2023-06-18T00:00:00"/>
        <d v="2023-04-14T00:00:00"/>
        <d v="2023-04-03T00:00:00"/>
        <d v="2023-10-01T00:00:00"/>
        <d v="2023-12-24T00:00:00"/>
        <d v="2023-09-30T00:00:00"/>
        <d v="2023-10-12T00:00:00"/>
        <d v="2023-11-03T00:00:00"/>
        <d v="2023-05-30T00:00:00"/>
        <d v="2023-10-28T00:00:00"/>
        <d v="2023-07-12T00:00:00"/>
        <d v="2023-09-25T00:00:00"/>
        <d v="2023-12-18T00:00:00"/>
        <d v="2023-10-25T00:00:00"/>
        <d v="2024-11-27T00:00:00"/>
        <d v="2023-04-23T00:00:00"/>
        <d v="2023-01-07T00:00:00"/>
        <d v="2023-12-21T00:00:00"/>
        <d v="2023-09-12T00:00:00"/>
        <d v="2023-02-28T00:00:00"/>
        <d v="2023-04-17T00:00:00"/>
        <d v="2023-03-05T00:00:00"/>
        <d v="2023-06-23T00:00:00"/>
        <d v="2023-12-15T00:00:00"/>
        <d v="2023-10-15T00:00:00"/>
        <d v="2023-05-12T00:00:00"/>
        <d v="2023-08-23T00:00:00"/>
        <d v="2023-10-16T00:00:00"/>
        <d v="2023-08-10T00:00:00"/>
        <d v="2023-04-06T00:00:00"/>
        <d v="2023-09-02T00:00:00"/>
        <d v="2023-07-29T00:00:00"/>
        <d v="2023-10-08T00:00:00"/>
        <d v="2023-05-14T00:00:00"/>
        <d v="2023-08-28T00:00:00"/>
        <d v="2023-02-07T00:00:00"/>
        <d v="2023-06-30T00:00:00"/>
        <d v="2023-06-24T00:00:00"/>
        <d v="2023-04-19T00:00:00"/>
        <d v="2023-03-12T00:00:00"/>
        <d v="2023-03-04T00:00:00"/>
        <d v="2023-11-20T00:00:00"/>
        <d v="2024-11-17T00:00:00"/>
        <d v="2023-04-08T00:00:00"/>
        <d v="2023-04-22T00:00:00"/>
        <d v="2023-02-09T00:00:00"/>
        <d v="2023-09-14T00:00:00"/>
        <d v="2024-12-11T00:00:00"/>
        <d v="2023-10-10T00:00:00"/>
        <d v="2023-05-24T00:00:00"/>
        <d v="2024-11-24T00:00:00"/>
        <d v="2023-01-08T00:00:00"/>
        <d v="2023-01-04T00:00:00"/>
        <d v="2023-03-08T00:00:00"/>
        <d v="2023-11-30T00:00:00"/>
        <d v="2023-06-13T00:00:00"/>
        <d v="2023-12-25T00:00:00"/>
        <d v="2023-05-28T00:00:00"/>
        <d v="2023-01-27T00:00:00"/>
        <d v="2023-08-08T00:00:00"/>
        <d v="2024-12-14T00:00:00"/>
        <d v="2023-07-13T00:00:00"/>
        <d v="2023-01-24T00:00:00"/>
        <d v="2023-12-22T00:00:00"/>
        <d v="2023-12-01T00:00:00"/>
        <d v="2024-11-28T00:00:00"/>
        <d v="2023-03-09T00:00:00"/>
        <d v="2023-10-31T00:00:00"/>
        <d v="2024-12-18T00:00:00"/>
        <d v="2023-02-08T00:00:00"/>
        <d v="2023-10-06T00:00:00"/>
        <d v="2023-06-22T00:00:00"/>
        <d v="2023-06-06T00:00:00"/>
        <d v="2023-04-15T00:00:00"/>
        <d v="2023-08-12T00:00:00"/>
        <d v="2023-05-18T00:00:00"/>
        <d v="2023-04-29T00:00:00"/>
        <d v="2023-12-10T00:00:00"/>
        <d v="2023-02-04T00:00:00"/>
        <d v="2023-05-22T00:00:00"/>
        <d v="2023-06-28T00:00:00"/>
        <d v="2023-07-28T00:00:00"/>
        <d v="2023-08-02T00:00:00"/>
        <d v="2023-01-21T00:00:00"/>
        <d v="2023-05-15T00:00:00"/>
        <d v="2023-01-05T00:00:00"/>
        <d v="2023-07-01T00:00:00"/>
        <d v="2023-11-17T00:00:00"/>
        <d v="2023-09-04T00:00:00"/>
        <d v="2023-03-07T00:00:00"/>
        <d v="2023-03-26T00:00:00"/>
        <d v="2023-02-27T00:00:00"/>
        <d v="2023-04-05T00:00:00"/>
        <d v="2023-11-13T00:00:00"/>
        <d v="2023-07-08T00:00:00"/>
        <d v="2023-03-01T00:00:00"/>
        <d v="2023-02-17T00:00:00"/>
        <d v="2023-06-21T00:00:00"/>
        <d v="2023-05-01T00:00:00"/>
        <d v="2023-01-02T00:00:00"/>
        <d v="2023-11-14T00:00:00"/>
        <d v="2023-04-01T00:00:00"/>
        <d v="2024-12-20T00:00:00"/>
        <d v="2023-07-17T00:00:00"/>
        <d v="2023-09-26T00:00:00"/>
        <d v="2023-08-05T00:00:00"/>
        <d v="2023-10-05T00:00:00"/>
        <d v="2023-10-09T00:00:00"/>
        <d v="2023-09-22T00:00:00"/>
        <d v="2023-12-20T00:00:00"/>
        <d v="2024-12-16T00:00:00"/>
        <d v="2023-08-20T00:00:00"/>
        <d v="2023-09-05T00:00:00"/>
        <d v="2023-12-08T00:00:00"/>
        <d v="2023-11-12T00:00:00"/>
        <d v="2023-07-11T00:00:00"/>
        <d v="2023-03-29T00:00:00"/>
        <d v="2023-03-18T00:00:00"/>
        <d v="2023-08-26T00:00:00"/>
        <d v="2023-02-21T00:00:00"/>
        <d v="2024-12-15T00:00:00"/>
        <d v="2023-01-17T00:00:00"/>
        <d v="2023-09-24T00:00:00"/>
        <d v="2023-11-23T00:00:00"/>
        <d v="2023-11-24T00:00:00"/>
        <d v="2023-02-03T00:00:00"/>
        <d v="2023-05-16T00:00:00"/>
        <d v="2023-10-04T00:00:00"/>
        <d v="2023-07-05T00:00:00"/>
        <d v="2023-05-29T00:00:00"/>
        <d v="2023-03-30T00:00:00"/>
        <d v="2023-11-25T00:00:00"/>
        <d v="2023-05-09T00:00:00"/>
        <d v="2023-02-16T00:00:00"/>
        <d v="2024-11-22T00:00:00"/>
        <d v="2023-08-06T00:00:00"/>
        <d v="2023-05-04T00:00:00"/>
        <d v="2023-07-21T00:00:00"/>
        <d v="2023-04-20T00:00:00"/>
        <d v="2024-11-29T00:00:00"/>
        <d v="2023-03-22T00:00:00"/>
        <d v="2023-01-28T00:00:00"/>
        <d v="2023-05-21T00:00:00"/>
        <d v="2023-01-25T00:00:00"/>
        <d v="2023-12-30T00:00:00"/>
        <d v="2023-07-03T00:00:00"/>
        <d v="2023-09-29T00:00:00"/>
        <d v="2023-04-30T00:00:00"/>
        <d v="2023-05-31T00:00:00"/>
        <d v="2023-10-30T00:00:00"/>
        <d v="2023-06-12T00:00:00"/>
        <d v="2023-08-03T00:00:00"/>
        <d v="2023-05-27T00:00:00"/>
        <d v="2023-05-23T00:00:00"/>
        <d v="2023-10-19T00:00:00"/>
        <d v="2023-01-30T00:00:00"/>
        <d v="2024-12-09T00:00:00"/>
        <d v="2023-10-13T00:00:00"/>
        <d v="2023-12-27T00:00:00"/>
        <d v="2023-12-02T00:00:00"/>
        <d v="2023-12-23T00:00:00"/>
        <d v="2024-11-15T00:00:00"/>
        <d v="2023-12-29T00:00:00"/>
        <d v="2023-11-05T00:00:00"/>
        <d v="2023-01-22T00:00:00"/>
        <d v="2023-08-01T00:00:00"/>
        <d v="2023-07-18T00:00:00"/>
        <d v="2023-07-16T00:00:00"/>
        <d v="2023-04-24T00:00:00"/>
        <d v="2023-06-07T00:00:00"/>
        <d v="2023-11-15T00:00:00"/>
        <d v="2023-07-27T00:00:00"/>
        <d v="2023-02-18T00:00:00"/>
        <d v="2023-05-08T00:00:00"/>
        <d v="2024-12-05T00:00:00"/>
        <d v="2023-11-04T00:00:00"/>
        <d v="2023-02-20T00:00:00"/>
        <d v="2023-07-06T00:00:00"/>
        <d v="2023-07-02T00:00:00"/>
        <d v="2023-07-09T00:00:00"/>
        <d v="2023-11-09T00:00:00"/>
        <d v="2023-05-13T00:00:00"/>
        <d v="2023-03-15T00:00:00"/>
        <d v="2023-07-22T00:00:00"/>
        <d v="2024-12-08T00:00:00"/>
        <d v="2024-11-14T00:00:00"/>
        <d v="2023-03-17T00:00:00"/>
        <d v="2023-07-31T00:00:00"/>
        <d v="2023-04-10T00:00:00"/>
        <d v="2023-11-11T00:00:00"/>
        <d v="2024-11-11T00:00:00"/>
        <d v="2023-02-11T00:00:00"/>
        <d v="2023-03-10T00:00:00"/>
        <d v="2024-11-26T00:00:00"/>
        <d v="2023-03-11T00:00:00"/>
        <d v="2023-04-07T00:00:00"/>
        <d v="2023-04-27T00:00:00"/>
        <d v="2023-09-08T00:00:00"/>
        <d v="2023-01-03T00:00:00"/>
        <d v="2023-10-21T00:00:00"/>
        <d v="2023-10-03T00:00:00"/>
        <d v="2023-08-04T00:00:00"/>
        <d v="2023-03-06T00:00:00"/>
        <d v="2023-02-05T00:00:00"/>
        <d v="2024-11-19T00:00:00"/>
        <d v="2023-03-27T00:00:00"/>
        <d v="2023-12-19T00:00:00"/>
        <d v="2023-08-27T00:00:00"/>
        <d v="2023-11-21T00:00:00"/>
        <d v="2023-09-03T00:00:00"/>
        <d v="2023-04-04T00:00:00"/>
        <d v="2023-04-09T00:00:00"/>
        <d v="2023-03-24T00:00:00"/>
        <d v="2023-09-19T00:00:00"/>
        <d v="2023-12-05T00:00:00"/>
        <d v="2023-01-19T00:00:00"/>
        <d v="2023-10-23T00:00:00"/>
        <d v="2024-12-10T00:00:00"/>
        <d v="2023-02-06T00:00:00"/>
        <d v="2023-09-10T00:00:00"/>
        <d v="2023-02-23T00:00:00"/>
        <d v="2023-10-26T00:00:00"/>
        <d v="2023-12-26T00:00:00"/>
        <d v="2023-01-12T00:00:00"/>
        <d v="2024-11-16T00:00:00"/>
        <d v="2023-02-01T00:00:00"/>
        <d v="2023-06-04T00:00:00"/>
        <d v="2023-07-04T00:00:00"/>
        <d v="2024-12-13T00:00:00"/>
        <d v="2023-09-18T00:00:00"/>
        <d v="2023-07-14T00:00:00"/>
        <d v="2024-12-01T00:00:00"/>
        <d v="2023-05-03T00:00:00"/>
        <d v="2023-02-25T00:00:00"/>
        <d v="2023-09-13T00:00:00"/>
        <d v="2023-07-30T00:00:00"/>
        <d v="2023-06-15T00:00:00"/>
        <d v="2023-09-16T00:00:00"/>
        <d v="2023-02-02T00:00:00"/>
        <d v="2023-01-16T00:00:00"/>
        <d v="2023-04-18T00:00:00"/>
        <d v="2023-07-10T00:00:00"/>
        <d v="2023-03-02T00:00:00"/>
        <d v="2023-12-04T00:00:00"/>
        <d v="2023-08-14T00:00:00"/>
        <d v="2023-01-20T00:00:00"/>
        <d v="2023-12-16T00:00:00"/>
        <d v="2023-04-11T00:00:00"/>
        <d v="2023-07-26T00:00:00"/>
        <d v="2023-12-31T00:00:00"/>
        <d v="2023-01-15T00:00:00"/>
        <d v="2023-08-22T00:00:00"/>
        <d v="2024-12-21T00:00:00"/>
        <d v="2024-12-17T00:00:00"/>
        <d v="2023-01-26T00:00:00"/>
        <d v="2023-12-13T00:00:00"/>
        <d v="2023-11-18T00:00:00"/>
        <d v="2023-08-11T00:00:00"/>
        <d v="2023-03-13T00:00:00"/>
        <d v="2024-11-30T00:00:00"/>
        <d v="2023-12-06T00:00:00"/>
        <d v="2023-11-26T00:00:00"/>
        <d v="2023-07-24T00:00:00"/>
        <d v="2023-05-19T00:00:00"/>
        <d v="2024-11-23T00:00:00"/>
        <d v="2023-02-13T00:00:00"/>
        <d v="2023-03-14T00:00:00"/>
        <d v="2023-09-09T00:00:00"/>
        <d v="2023-01-10T00:00:00"/>
        <d v="2023-08-16T00:00:00"/>
        <d v="2023-08-25T00:00:00"/>
        <d v="2023-04-26T00:00:00"/>
        <d v="2024-12-19T00:00:00"/>
        <d v="2023-10-11T00:00:00"/>
        <d v="2023-11-22T00:00:00"/>
        <d v="2024-12-06T00:00:00"/>
        <d v="2023-11-28T00:00:00"/>
        <d v="2024-11-21T00:00:00"/>
        <d v="2023-01-09T00:00:00"/>
        <d v="2023-05-05T00:00:00"/>
        <d v="2023-09-06T00:00:00"/>
        <d v="2024-12-07T00:00:00"/>
        <d v="2023-12-09T00:00:00"/>
        <d v="2023-02-14T00:00:00"/>
        <d v="2023-08-13T00:00:00"/>
        <d v="2024-11-25T00:00:00"/>
        <d v="2023-05-26T00:00:00"/>
        <d v="2023-11-16T00:00:00"/>
        <d v="2023-09-07T00:00:00"/>
        <d v="2023-05-20T00:00:00"/>
        <d v="2023-08-31T00:00:00"/>
        <d v="2024-12-12T00:00:00"/>
        <d v="2023-05-10T00:00:00"/>
        <d v="2023-06-08T00:00:00"/>
        <d v="2023-06-01T00:00:00"/>
        <d v="2023-03-03T00:00:00"/>
        <d v="2023-07-15T00:00:00"/>
        <d v="2023-05-02T00:00:00"/>
        <d v="2023-02-10T00:00:00"/>
        <d v="2023-05-11T00:00:00"/>
        <d v="2023-01-01T00:00:00"/>
        <d v="2023-10-18T00:00:00"/>
        <d v="2023-06-17T00:00:00"/>
        <d v="2023-01-31T00:00:00"/>
        <d v="2023-01-13T00:00:00"/>
        <d v="2023-12-12T00:00:00"/>
        <d v="2024-11-12T00:00:00"/>
        <d v="2024-11-20T00:00:00"/>
        <d v="2023-06-09T00:00:00"/>
        <d v="2023-08-07T00:00:00"/>
        <d v="2024-11-18T00:00:00"/>
        <d v="2023-02-24T00:00:00"/>
        <d v="2023-09-01T00:00:00"/>
        <d v="2024-12-22T00:00:00"/>
        <d v="2024-12-02T00:00:00"/>
        <d v="2023-06-11T00:00:00"/>
        <d v="2024-12-04T00:00:00"/>
        <d v="2023-04-25T00:00:00"/>
        <d v="2023-01-18T00:00:00"/>
        <d v="2023-06-14T00:00:00"/>
        <d v="2023-03-21T00:00:00"/>
      </sharedItems>
      <fieldGroup par="11"/>
    </cacheField>
    <cacheField name="Region" numFmtId="0">
      <sharedItems/>
    </cacheField>
    <cacheField name="State" numFmtId="0">
      <sharedItems/>
    </cacheField>
    <cacheField name="City" numFmtId="0">
      <sharedItems/>
    </cacheField>
    <cacheField name="Product" numFmtId="0">
      <sharedItems containsBlank="1" count="6">
        <s v="Groceries"/>
        <s v="Electronics"/>
        <s v="Clothing"/>
        <s v="Stationery"/>
        <s v="Furniture"/>
        <m u="1"/>
      </sharedItems>
    </cacheField>
    <cacheField name="Quantity" numFmtId="0">
      <sharedItems containsSemiMixedTypes="0" containsString="0" containsNumber="1" containsInteger="1" minValue="1" maxValue="20"/>
    </cacheField>
    <cacheField name="Salesman" numFmtId="0">
      <sharedItems/>
    </cacheField>
    <cacheField name="AGE" numFmtId="0">
      <sharedItems containsSemiMixedTypes="0" containsString="0" containsNumber="1" containsInteger="1" minValue="16" maxValue="55"/>
    </cacheField>
    <cacheField name="Price per Unit" numFmtId="0">
      <sharedItems containsSemiMixedTypes="0" containsString="0" containsNumber="1" minValue="116.58" maxValue="4999.8999999999996"/>
    </cacheField>
    <cacheField name="Months (Sale Date)" numFmtId="0" databaseField="0">
      <fieldGroup base="0">
        <rangePr groupBy="months" startDate="2023-01-01T00:00:00" endDate="2024-12-24T00:00:00"/>
        <groupItems count="14">
          <s v="&lt;2023-01-01"/>
          <s v="Jan"/>
          <s v="Feb"/>
          <s v="Mar"/>
          <s v="Apr"/>
          <s v="May"/>
          <s v="Jun"/>
          <s v="Jul"/>
          <s v="Aug"/>
          <s v="Sep"/>
          <s v="Oct"/>
          <s v="Nov"/>
          <s v="Dec"/>
          <s v="&gt;2024-12-24"/>
        </groupItems>
      </fieldGroup>
    </cacheField>
    <cacheField name="Quarters (Sale Date)" numFmtId="0" databaseField="0">
      <fieldGroup base="0">
        <rangePr groupBy="quarters" startDate="2023-01-01T00:00:00" endDate="2024-12-24T00:00:00"/>
        <groupItems count="6">
          <s v="&lt;2023-01-01"/>
          <s v="Qtr1"/>
          <s v="Qtr2"/>
          <s v="Qtr3"/>
          <s v="Qtr4"/>
          <s v="&gt;2024-12-24"/>
        </groupItems>
      </fieldGroup>
    </cacheField>
    <cacheField name="Years (Sale Date)" numFmtId="0" databaseField="0">
      <fieldGroup base="0">
        <rangePr groupBy="years" startDate="2023-01-01T00:00:00" endDate="2024-12-24T00:00:00"/>
        <groupItems count="4">
          <s v="&lt;2023-01-01"/>
          <s v="2023"/>
          <s v="2024"/>
          <s v="&gt;2024-12-24"/>
        </groupItems>
      </fieldGroup>
    </cacheField>
  </cacheFields>
  <extLst>
    <ext xmlns:x14="http://schemas.microsoft.com/office/spreadsheetml/2009/9/main" uri="{725AE2AE-9491-48be-B2B4-4EB974FC3084}">
      <x14:pivotCacheDefinition pivotCacheId="38394595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Dhakad" refreshedDate="46055.360759143521" createdVersion="8" refreshedVersion="8" minRefreshableVersion="3" recordCount="1045" xr:uid="{A0EA8008-0212-4ADE-89A2-60C9B93A8E0F}">
  <cacheSource type="worksheet">
    <worksheetSource ref="B1:J1046" sheet="VIKAS"/>
  </cacheSource>
  <cacheFields count="12">
    <cacheField name="Sale Date" numFmtId="14">
      <sharedItems containsSemiMixedTypes="0" containsNonDate="0" containsDate="1" containsString="0" minDate="2023-01-01T00:00:00" maxDate="2024-12-24T00:00:00" count="387">
        <d v="2024-11-13T00:00:00"/>
        <d v="2023-01-23T00:00:00"/>
        <d v="2023-02-19T00:00:00"/>
        <d v="2023-01-29T00:00:00"/>
        <d v="2023-09-11T00:00:00"/>
        <d v="2023-08-21T00:00:00"/>
        <d v="2024-12-03T00:00:00"/>
        <d v="2023-12-07T00:00:00"/>
        <d v="2023-03-23T00:00:00"/>
        <d v="2023-03-16T00:00:00"/>
        <d v="2023-11-06T00:00:00"/>
        <d v="2023-02-22T00:00:00"/>
        <d v="2023-04-13T00:00:00"/>
        <d v="2023-10-14T00:00:00"/>
        <d v="2023-06-03T00:00:00"/>
        <d v="2023-04-12T00:00:00"/>
        <d v="2023-06-19T00:00:00"/>
        <d v="2023-06-20T00:00:00"/>
        <d v="2023-11-10T00:00:00"/>
        <d v="2023-12-28T00:00:00"/>
        <d v="2023-11-27T00:00:00"/>
        <d v="2023-04-16T00:00:00"/>
        <d v="2023-10-20T00:00:00"/>
        <d v="2023-08-18T00:00:00"/>
        <d v="2023-07-19T00:00:00"/>
        <d v="2023-08-24T00:00:00"/>
        <d v="2023-05-06T00:00:00"/>
        <d v="2023-10-29T00:00:00"/>
        <d v="2023-10-07T00:00:00"/>
        <d v="2023-01-14T00:00:00"/>
        <d v="2023-07-07T00:00:00"/>
        <d v="2023-10-02T00:00:00"/>
        <d v="2023-12-14T00:00:00"/>
        <d v="2023-10-24T00:00:00"/>
        <d v="2023-03-19T00:00:00"/>
        <d v="2023-07-23T00:00:00"/>
        <d v="2023-11-01T00:00:00"/>
        <d v="2023-07-20T00:00:00"/>
        <d v="2023-01-06T00:00:00"/>
        <d v="2023-06-05T00:00:00"/>
        <d v="2023-07-25T00:00:00"/>
        <d v="2023-09-28T00:00:00"/>
        <d v="2023-08-29T00:00:00"/>
        <d v="2023-08-30T00:00:00"/>
        <d v="2023-05-25T00:00:00"/>
        <d v="2023-03-25T00:00:00"/>
        <d v="2023-09-17T00:00:00"/>
        <d v="2023-06-29T00:00:00"/>
        <d v="2023-03-31T00:00:00"/>
        <d v="2023-02-12T00:00:00"/>
        <d v="2023-08-17T00:00:00"/>
        <d v="2023-03-28T00:00:00"/>
        <d v="2023-09-23T00:00:00"/>
        <d v="2023-09-15T00:00:00"/>
        <d v="2023-10-27T00:00:00"/>
        <d v="2023-11-02T00:00:00"/>
        <d v="2023-04-21T00:00:00"/>
        <d v="2023-05-17T00:00:00"/>
        <d v="2023-04-28T00:00:00"/>
        <d v="2023-11-19T00:00:00"/>
        <d v="2023-09-20T00:00:00"/>
        <d v="2024-12-23T00:00:00"/>
        <d v="2023-06-27T00:00:00"/>
        <d v="2023-11-08T00:00:00"/>
        <d v="2023-04-02T00:00:00"/>
        <d v="2023-02-15T00:00:00"/>
        <d v="2023-06-18T00:00:00"/>
        <d v="2023-04-14T00:00:00"/>
        <d v="2023-04-03T00:00:00"/>
        <d v="2023-10-01T00:00:00"/>
        <d v="2023-12-24T00:00:00"/>
        <d v="2023-09-30T00:00:00"/>
        <d v="2023-10-12T00:00:00"/>
        <d v="2023-11-03T00:00:00"/>
        <d v="2023-05-30T00:00:00"/>
        <d v="2023-10-28T00:00:00"/>
        <d v="2023-07-12T00:00:00"/>
        <d v="2023-09-25T00:00:00"/>
        <d v="2023-12-18T00:00:00"/>
        <d v="2023-10-25T00:00:00"/>
        <d v="2024-11-27T00:00:00"/>
        <d v="2023-04-23T00:00:00"/>
        <d v="2023-01-07T00:00:00"/>
        <d v="2023-12-21T00:00:00"/>
        <d v="2023-09-12T00:00:00"/>
        <d v="2023-02-28T00:00:00"/>
        <d v="2023-04-17T00:00:00"/>
        <d v="2023-03-05T00:00:00"/>
        <d v="2023-06-23T00:00:00"/>
        <d v="2023-12-15T00:00:00"/>
        <d v="2023-10-15T00:00:00"/>
        <d v="2023-05-12T00:00:00"/>
        <d v="2023-08-23T00:00:00"/>
        <d v="2023-10-16T00:00:00"/>
        <d v="2023-08-10T00:00:00"/>
        <d v="2023-04-06T00:00:00"/>
        <d v="2023-09-02T00:00:00"/>
        <d v="2023-07-29T00:00:00"/>
        <d v="2023-10-08T00:00:00"/>
        <d v="2023-05-14T00:00:00"/>
        <d v="2023-08-28T00:00:00"/>
        <d v="2023-02-07T00:00:00"/>
        <d v="2023-06-30T00:00:00"/>
        <d v="2023-06-24T00:00:00"/>
        <d v="2023-04-19T00:00:00"/>
        <d v="2023-03-12T00:00:00"/>
        <d v="2023-03-04T00:00:00"/>
        <d v="2023-11-20T00:00:00"/>
        <d v="2024-11-17T00:00:00"/>
        <d v="2023-04-08T00:00:00"/>
        <d v="2023-04-22T00:00:00"/>
        <d v="2023-02-09T00:00:00"/>
        <d v="2023-09-14T00:00:00"/>
        <d v="2024-12-11T00:00:00"/>
        <d v="2023-10-10T00:00:00"/>
        <d v="2023-05-24T00:00:00"/>
        <d v="2024-11-24T00:00:00"/>
        <d v="2023-01-08T00:00:00"/>
        <d v="2023-01-04T00:00:00"/>
        <d v="2023-03-08T00:00:00"/>
        <d v="2023-11-30T00:00:00"/>
        <d v="2023-06-13T00:00:00"/>
        <d v="2023-12-25T00:00:00"/>
        <d v="2023-05-28T00:00:00"/>
        <d v="2023-01-27T00:00:00"/>
        <d v="2023-08-08T00:00:00"/>
        <d v="2024-12-14T00:00:00"/>
        <d v="2023-07-13T00:00:00"/>
        <d v="2023-01-24T00:00:00"/>
        <d v="2023-12-22T00:00:00"/>
        <d v="2023-12-01T00:00:00"/>
        <d v="2024-11-28T00:00:00"/>
        <d v="2023-03-09T00:00:00"/>
        <d v="2023-10-31T00:00:00"/>
        <d v="2024-12-18T00:00:00"/>
        <d v="2023-02-08T00:00:00"/>
        <d v="2023-10-06T00:00:00"/>
        <d v="2023-06-22T00:00:00"/>
        <d v="2023-06-06T00:00:00"/>
        <d v="2023-04-15T00:00:00"/>
        <d v="2023-08-12T00:00:00"/>
        <d v="2023-05-18T00:00:00"/>
        <d v="2023-04-29T00:00:00"/>
        <d v="2023-12-10T00:00:00"/>
        <d v="2023-02-04T00:00:00"/>
        <d v="2023-05-22T00:00:00"/>
        <d v="2023-06-28T00:00:00"/>
        <d v="2023-07-28T00:00:00"/>
        <d v="2023-08-02T00:00:00"/>
        <d v="2023-01-21T00:00:00"/>
        <d v="2023-05-15T00:00:00"/>
        <d v="2023-01-05T00:00:00"/>
        <d v="2023-07-01T00:00:00"/>
        <d v="2023-11-17T00:00:00"/>
        <d v="2023-09-04T00:00:00"/>
        <d v="2023-03-07T00:00:00"/>
        <d v="2023-03-26T00:00:00"/>
        <d v="2023-02-27T00:00:00"/>
        <d v="2023-04-05T00:00:00"/>
        <d v="2023-11-13T00:00:00"/>
        <d v="2023-07-08T00:00:00"/>
        <d v="2023-03-01T00:00:00"/>
        <d v="2023-02-17T00:00:00"/>
        <d v="2023-06-21T00:00:00"/>
        <d v="2023-05-01T00:00:00"/>
        <d v="2023-01-02T00:00:00"/>
        <d v="2023-11-14T00:00:00"/>
        <d v="2023-04-01T00:00:00"/>
        <d v="2024-12-20T00:00:00"/>
        <d v="2023-07-17T00:00:00"/>
        <d v="2023-09-26T00:00:00"/>
        <d v="2023-08-05T00:00:00"/>
        <d v="2023-10-05T00:00:00"/>
        <d v="2023-10-09T00:00:00"/>
        <d v="2023-09-22T00:00:00"/>
        <d v="2023-12-20T00:00:00"/>
        <d v="2024-12-16T00:00:00"/>
        <d v="2023-08-20T00:00:00"/>
        <d v="2023-09-05T00:00:00"/>
        <d v="2023-12-08T00:00:00"/>
        <d v="2023-11-12T00:00:00"/>
        <d v="2023-07-11T00:00:00"/>
        <d v="2023-03-29T00:00:00"/>
        <d v="2023-03-18T00:00:00"/>
        <d v="2023-08-26T00:00:00"/>
        <d v="2023-02-21T00:00:00"/>
        <d v="2024-12-15T00:00:00"/>
        <d v="2023-01-17T00:00:00"/>
        <d v="2023-09-24T00:00:00"/>
        <d v="2023-11-23T00:00:00"/>
        <d v="2023-11-24T00:00:00"/>
        <d v="2023-02-03T00:00:00"/>
        <d v="2023-05-16T00:00:00"/>
        <d v="2023-10-04T00:00:00"/>
        <d v="2023-07-05T00:00:00"/>
        <d v="2023-05-29T00:00:00"/>
        <d v="2023-03-30T00:00:00"/>
        <d v="2023-11-25T00:00:00"/>
        <d v="2023-05-09T00:00:00"/>
        <d v="2023-02-16T00:00:00"/>
        <d v="2024-11-22T00:00:00"/>
        <d v="2023-08-06T00:00:00"/>
        <d v="2023-05-04T00:00:00"/>
        <d v="2023-07-21T00:00:00"/>
        <d v="2023-04-20T00:00:00"/>
        <d v="2024-11-29T00:00:00"/>
        <d v="2023-03-22T00:00:00"/>
        <d v="2023-01-28T00:00:00"/>
        <d v="2023-05-21T00:00:00"/>
        <d v="2023-01-25T00:00:00"/>
        <d v="2023-12-30T00:00:00"/>
        <d v="2023-07-03T00:00:00"/>
        <d v="2023-09-29T00:00:00"/>
        <d v="2023-04-30T00:00:00"/>
        <d v="2023-05-31T00:00:00"/>
        <d v="2023-10-30T00:00:00"/>
        <d v="2023-06-12T00:00:00"/>
        <d v="2023-08-03T00:00:00"/>
        <d v="2023-05-27T00:00:00"/>
        <d v="2023-05-23T00:00:00"/>
        <d v="2023-10-19T00:00:00"/>
        <d v="2023-01-30T00:00:00"/>
        <d v="2024-12-09T00:00:00"/>
        <d v="2023-10-13T00:00:00"/>
        <d v="2023-12-27T00:00:00"/>
        <d v="2023-12-02T00:00:00"/>
        <d v="2023-12-23T00:00:00"/>
        <d v="2024-11-15T00:00:00"/>
        <d v="2023-12-29T00:00:00"/>
        <d v="2023-11-05T00:00:00"/>
        <d v="2023-01-22T00:00:00"/>
        <d v="2023-08-01T00:00:00"/>
        <d v="2023-07-18T00:00:00"/>
        <d v="2023-07-16T00:00:00"/>
        <d v="2023-04-24T00:00:00"/>
        <d v="2023-06-07T00:00:00"/>
        <d v="2023-11-15T00:00:00"/>
        <d v="2023-07-27T00:00:00"/>
        <d v="2023-02-18T00:00:00"/>
        <d v="2023-05-08T00:00:00"/>
        <d v="2024-12-05T00:00:00"/>
        <d v="2023-11-04T00:00:00"/>
        <d v="2023-02-20T00:00:00"/>
        <d v="2023-07-06T00:00:00"/>
        <d v="2023-07-02T00:00:00"/>
        <d v="2023-07-09T00:00:00"/>
        <d v="2023-11-09T00:00:00"/>
        <d v="2023-05-13T00:00:00"/>
        <d v="2023-03-15T00:00:00"/>
        <d v="2023-07-22T00:00:00"/>
        <d v="2024-12-08T00:00:00"/>
        <d v="2024-11-14T00:00:00"/>
        <d v="2023-03-17T00:00:00"/>
        <d v="2023-07-31T00:00:00"/>
        <d v="2023-04-10T00:00:00"/>
        <d v="2023-11-11T00:00:00"/>
        <d v="2024-11-11T00:00:00"/>
        <d v="2023-02-11T00:00:00"/>
        <d v="2023-03-10T00:00:00"/>
        <d v="2024-11-26T00:00:00"/>
        <d v="2023-03-11T00:00:00"/>
        <d v="2023-04-07T00:00:00"/>
        <d v="2023-04-27T00:00:00"/>
        <d v="2023-09-08T00:00:00"/>
        <d v="2023-01-03T00:00:00"/>
        <d v="2023-10-21T00:00:00"/>
        <d v="2023-10-03T00:00:00"/>
        <d v="2023-08-04T00:00:00"/>
        <d v="2023-03-06T00:00:00"/>
        <d v="2023-02-05T00:00:00"/>
        <d v="2024-11-19T00:00:00"/>
        <d v="2023-03-27T00:00:00"/>
        <d v="2023-12-19T00:00:00"/>
        <d v="2023-08-27T00:00:00"/>
        <d v="2023-11-21T00:00:00"/>
        <d v="2023-09-03T00:00:00"/>
        <d v="2023-04-04T00:00:00"/>
        <d v="2023-04-09T00:00:00"/>
        <d v="2023-03-24T00:00:00"/>
        <d v="2023-09-19T00:00:00"/>
        <d v="2023-12-05T00:00:00"/>
        <d v="2023-01-19T00:00:00"/>
        <d v="2023-10-23T00:00:00"/>
        <d v="2024-12-10T00:00:00"/>
        <d v="2023-02-06T00:00:00"/>
        <d v="2023-09-10T00:00:00"/>
        <d v="2023-02-23T00:00:00"/>
        <d v="2023-10-26T00:00:00"/>
        <d v="2023-12-26T00:00:00"/>
        <d v="2023-01-12T00:00:00"/>
        <d v="2024-11-16T00:00:00"/>
        <d v="2023-02-01T00:00:00"/>
        <d v="2023-06-04T00:00:00"/>
        <d v="2023-07-04T00:00:00"/>
        <d v="2024-12-13T00:00:00"/>
        <d v="2023-09-18T00:00:00"/>
        <d v="2023-07-14T00:00:00"/>
        <d v="2024-12-01T00:00:00"/>
        <d v="2023-05-03T00:00:00"/>
        <d v="2023-02-25T00:00:00"/>
        <d v="2023-09-13T00:00:00"/>
        <d v="2023-07-30T00:00:00"/>
        <d v="2023-06-15T00:00:00"/>
        <d v="2023-09-16T00:00:00"/>
        <d v="2023-02-02T00:00:00"/>
        <d v="2023-01-16T00:00:00"/>
        <d v="2023-04-18T00:00:00"/>
        <d v="2023-07-10T00:00:00"/>
        <d v="2023-03-02T00:00:00"/>
        <d v="2023-12-04T00:00:00"/>
        <d v="2023-08-14T00:00:00"/>
        <d v="2023-01-20T00:00:00"/>
        <d v="2023-12-16T00:00:00"/>
        <d v="2023-04-11T00:00:00"/>
        <d v="2023-07-26T00:00:00"/>
        <d v="2023-12-31T00:00:00"/>
        <d v="2023-01-15T00:00:00"/>
        <d v="2023-08-22T00:00:00"/>
        <d v="2024-12-21T00:00:00"/>
        <d v="2024-12-17T00:00:00"/>
        <d v="2023-01-26T00:00:00"/>
        <d v="2023-12-13T00:00:00"/>
        <d v="2023-11-18T00:00:00"/>
        <d v="2023-08-11T00:00:00"/>
        <d v="2023-03-13T00:00:00"/>
        <d v="2024-11-30T00:00:00"/>
        <d v="2023-12-06T00:00:00"/>
        <d v="2023-11-26T00:00:00"/>
        <d v="2023-07-24T00:00:00"/>
        <d v="2023-05-19T00:00:00"/>
        <d v="2024-11-23T00:00:00"/>
        <d v="2023-02-13T00:00:00"/>
        <d v="2023-03-14T00:00:00"/>
        <d v="2023-09-09T00:00:00"/>
        <d v="2023-01-10T00:00:00"/>
        <d v="2023-08-16T00:00:00"/>
        <d v="2023-08-25T00:00:00"/>
        <d v="2023-04-26T00:00:00"/>
        <d v="2024-12-19T00:00:00"/>
        <d v="2023-10-11T00:00:00"/>
        <d v="2023-11-22T00:00:00"/>
        <d v="2024-12-06T00:00:00"/>
        <d v="2023-11-28T00:00:00"/>
        <d v="2024-11-21T00:00:00"/>
        <d v="2023-01-09T00:00:00"/>
        <d v="2023-05-05T00:00:00"/>
        <d v="2023-09-06T00:00:00"/>
        <d v="2024-12-07T00:00:00"/>
        <d v="2023-12-09T00:00:00"/>
        <d v="2023-02-14T00:00:00"/>
        <d v="2023-08-13T00:00:00"/>
        <d v="2024-11-25T00:00:00"/>
        <d v="2023-05-26T00:00:00"/>
        <d v="2023-11-16T00:00:00"/>
        <d v="2023-09-07T00:00:00"/>
        <d v="2023-05-20T00:00:00"/>
        <d v="2023-08-31T00:00:00"/>
        <d v="2024-12-12T00:00:00"/>
        <d v="2023-05-10T00:00:00"/>
        <d v="2023-06-08T00:00:00"/>
        <d v="2023-06-01T00:00:00"/>
        <d v="2023-03-03T00:00:00"/>
        <d v="2023-07-15T00:00:00"/>
        <d v="2023-05-02T00:00:00"/>
        <d v="2023-02-10T00:00:00"/>
        <d v="2023-05-11T00:00:00"/>
        <d v="2023-01-01T00:00:00"/>
        <d v="2023-10-18T00:00:00"/>
        <d v="2023-06-17T00:00:00"/>
        <d v="2023-01-31T00:00:00"/>
        <d v="2023-01-13T00:00:00"/>
        <d v="2023-12-12T00:00:00"/>
        <d v="2024-11-12T00:00:00"/>
        <d v="2024-11-20T00:00:00"/>
        <d v="2023-06-09T00:00:00"/>
        <d v="2023-08-07T00:00:00"/>
        <d v="2024-11-18T00:00:00"/>
        <d v="2023-02-24T00:00:00"/>
        <d v="2023-09-01T00:00:00"/>
        <d v="2024-12-22T00:00:00"/>
        <d v="2024-12-02T00:00:00"/>
        <d v="2023-06-11T00:00:00"/>
        <d v="2024-12-04T00:00:00"/>
        <d v="2023-04-25T00:00:00"/>
        <d v="2023-01-18T00:00:00"/>
        <d v="2023-06-14T00:00:00"/>
        <d v="2023-03-21T00:00:00"/>
      </sharedItems>
      <fieldGroup par="11"/>
    </cacheField>
    <cacheField name="Region" numFmtId="0">
      <sharedItems/>
    </cacheField>
    <cacheField name="State" numFmtId="0">
      <sharedItems/>
    </cacheField>
    <cacheField name="City" numFmtId="0">
      <sharedItems count="15">
        <s v="Chennai"/>
        <s v="Ahmedabad"/>
        <s v="Hubli"/>
        <s v="Nagpur"/>
        <s v="New Delhi"/>
        <s v="Mumbai"/>
        <s v="Madurai"/>
        <s v="Bengaluru"/>
        <s v="Coimbatore"/>
        <s v="Vadodara"/>
        <s v="Dwarka"/>
        <s v="Pune"/>
        <s v="Mysuru"/>
        <s v="Karol Bagh"/>
        <s v="Surat"/>
      </sharedItems>
    </cacheField>
    <cacheField name="Product" numFmtId="0">
      <sharedItems containsBlank="1" count="6">
        <s v="Groceries"/>
        <s v="Electronics"/>
        <s v="Clothing"/>
        <s v="Stationery"/>
        <s v="Furniture"/>
        <m u="1"/>
      </sharedItems>
    </cacheField>
    <cacheField name="Quantity" numFmtId="0">
      <sharedItems containsSemiMixedTypes="0" containsString="0" containsNumber="1" containsInteger="1" minValue="1" maxValue="20"/>
    </cacheField>
    <cacheField name="Salesman" numFmtId="0">
      <sharedItems count="27">
        <s v="Rajesh"/>
        <s v="vishal"/>
        <s v="Jaykesh"/>
        <s v="Pinkesh"/>
        <s v="Priya"/>
        <s v="Dinesh"/>
        <s v="Raghav"/>
        <s v="Kuldeep"/>
        <s v="Keshav"/>
        <s v="Rajendra"/>
        <s v="Pankaj"/>
        <s v="Rajesh  " u="1"/>
        <s v="Rajesh   " u="1"/>
        <s v="vishal  " u="1"/>
        <s v="vishal   " u="1"/>
        <s v="Jaykesh  " u="1"/>
        <s v="Vikas    " u="1"/>
        <s v="Pinkesh     " u="1"/>
        <s v="Priya      Dhakad      " u="1"/>
        <s v="Priya            " u="1"/>
        <s v="Vikas" u="1"/>
        <s v="Rustam" u="1"/>
        <s v="Bablu" u="1"/>
        <s v="bittu" u="1"/>
        <s v="Raju" u="1"/>
        <s v="Golu" u="1"/>
        <s v="Kalu" u="1"/>
      </sharedItems>
    </cacheField>
    <cacheField name="AGE" numFmtId="0">
      <sharedItems containsSemiMixedTypes="0" containsString="0" containsNumber="1" containsInteger="1" minValue="16" maxValue="55"/>
    </cacheField>
    <cacheField name="Price per Unit" numFmtId="0">
      <sharedItems containsSemiMixedTypes="0" containsString="0" containsNumber="1" minValue="116.58" maxValue="4999.8999999999996"/>
    </cacheField>
    <cacheField name="Months (Sale Date)" numFmtId="0" databaseField="0">
      <fieldGroup base="0">
        <rangePr groupBy="months" startDate="2023-01-01T00:00:00" endDate="2024-12-24T00:00:00"/>
        <groupItems count="14">
          <s v="&lt;2023-01-01"/>
          <s v="Jan"/>
          <s v="Feb"/>
          <s v="Mar"/>
          <s v="Apr"/>
          <s v="May"/>
          <s v="Jun"/>
          <s v="Jul"/>
          <s v="Aug"/>
          <s v="Sep"/>
          <s v="Oct"/>
          <s v="Nov"/>
          <s v="Dec"/>
          <s v="&gt;2024-12-24"/>
        </groupItems>
      </fieldGroup>
    </cacheField>
    <cacheField name="Quarters (Sale Date)" numFmtId="0" databaseField="0">
      <fieldGroup base="0">
        <rangePr groupBy="quarters" startDate="2023-01-01T00:00:00" endDate="2024-12-24T00:00:00"/>
        <groupItems count="6">
          <s v="&lt;2023-01-01"/>
          <s v="Qtr1"/>
          <s v="Qtr2"/>
          <s v="Qtr3"/>
          <s v="Qtr4"/>
          <s v="&gt;2024-12-24"/>
        </groupItems>
      </fieldGroup>
    </cacheField>
    <cacheField name="Years (Sale Date)" numFmtId="0" databaseField="0">
      <fieldGroup base="0">
        <rangePr groupBy="years" startDate="2023-01-01T00:00:00" endDate="2024-12-24T00:00:00"/>
        <groupItems count="4">
          <s v="&lt;2023-01-01"/>
          <s v="2023"/>
          <s v="2024"/>
          <s v="&gt;2024-12-24"/>
        </groupItems>
      </fieldGroup>
    </cacheField>
  </cacheFields>
  <extLst>
    <ext xmlns:x14="http://schemas.microsoft.com/office/spreadsheetml/2009/9/main" uri="{725AE2AE-9491-48be-B2B4-4EB974FC3084}">
      <x14:pivotCacheDefinition pivotCacheId="87872678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Dhakad" refreshedDate="46056.484577430558" createdVersion="8" refreshedVersion="8" minRefreshableVersion="3" recordCount="1045" xr:uid="{2A68F186-CAAC-408D-AA99-13FF5C872352}">
  <cacheSource type="worksheet">
    <worksheetSource ref="B1:K1046" sheet="VIKAS"/>
  </cacheSource>
  <cacheFields count="13">
    <cacheField name="Sale Date" numFmtId="14">
      <sharedItems containsSemiMixedTypes="0" containsNonDate="0" containsDate="1" containsString="0" minDate="2023-01-01T00:00:00" maxDate="2024-12-24T00:00:00" count="387">
        <d v="2024-11-13T00:00:00"/>
        <d v="2023-01-23T00:00:00"/>
        <d v="2023-02-19T00:00:00"/>
        <d v="2023-01-29T00:00:00"/>
        <d v="2023-09-11T00:00:00"/>
        <d v="2023-08-21T00:00:00"/>
        <d v="2024-12-03T00:00:00"/>
        <d v="2023-12-07T00:00:00"/>
        <d v="2023-03-23T00:00:00"/>
        <d v="2023-03-16T00:00:00"/>
        <d v="2023-11-06T00:00:00"/>
        <d v="2023-02-22T00:00:00"/>
        <d v="2023-04-13T00:00:00"/>
        <d v="2023-10-14T00:00:00"/>
        <d v="2023-06-03T00:00:00"/>
        <d v="2023-04-12T00:00:00"/>
        <d v="2023-06-19T00:00:00"/>
        <d v="2023-06-20T00:00:00"/>
        <d v="2023-11-10T00:00:00"/>
        <d v="2023-12-28T00:00:00"/>
        <d v="2023-11-27T00:00:00"/>
        <d v="2023-04-16T00:00:00"/>
        <d v="2023-10-20T00:00:00"/>
        <d v="2023-08-18T00:00:00"/>
        <d v="2023-07-19T00:00:00"/>
        <d v="2023-08-24T00:00:00"/>
        <d v="2023-05-06T00:00:00"/>
        <d v="2023-10-29T00:00:00"/>
        <d v="2023-10-07T00:00:00"/>
        <d v="2023-01-14T00:00:00"/>
        <d v="2023-07-07T00:00:00"/>
        <d v="2023-10-02T00:00:00"/>
        <d v="2023-12-14T00:00:00"/>
        <d v="2023-10-24T00:00:00"/>
        <d v="2023-03-19T00:00:00"/>
        <d v="2023-07-23T00:00:00"/>
        <d v="2023-11-01T00:00:00"/>
        <d v="2023-07-20T00:00:00"/>
        <d v="2023-01-06T00:00:00"/>
        <d v="2023-06-05T00:00:00"/>
        <d v="2023-07-25T00:00:00"/>
        <d v="2023-09-28T00:00:00"/>
        <d v="2023-08-29T00:00:00"/>
        <d v="2023-08-30T00:00:00"/>
        <d v="2023-05-25T00:00:00"/>
        <d v="2023-03-25T00:00:00"/>
        <d v="2023-09-17T00:00:00"/>
        <d v="2023-06-29T00:00:00"/>
        <d v="2023-03-31T00:00:00"/>
        <d v="2023-02-12T00:00:00"/>
        <d v="2023-08-17T00:00:00"/>
        <d v="2023-03-28T00:00:00"/>
        <d v="2023-09-23T00:00:00"/>
        <d v="2023-09-15T00:00:00"/>
        <d v="2023-10-27T00:00:00"/>
        <d v="2023-11-02T00:00:00"/>
        <d v="2023-04-21T00:00:00"/>
        <d v="2023-05-17T00:00:00"/>
        <d v="2023-04-28T00:00:00"/>
        <d v="2023-11-19T00:00:00"/>
        <d v="2023-09-20T00:00:00"/>
        <d v="2024-12-23T00:00:00"/>
        <d v="2023-06-27T00:00:00"/>
        <d v="2023-11-08T00:00:00"/>
        <d v="2023-04-02T00:00:00"/>
        <d v="2023-02-15T00:00:00"/>
        <d v="2023-06-18T00:00:00"/>
        <d v="2023-04-14T00:00:00"/>
        <d v="2023-04-03T00:00:00"/>
        <d v="2023-10-01T00:00:00"/>
        <d v="2023-12-24T00:00:00"/>
        <d v="2023-09-30T00:00:00"/>
        <d v="2023-10-12T00:00:00"/>
        <d v="2023-11-03T00:00:00"/>
        <d v="2023-05-30T00:00:00"/>
        <d v="2023-10-28T00:00:00"/>
        <d v="2023-07-12T00:00:00"/>
        <d v="2023-09-25T00:00:00"/>
        <d v="2023-12-18T00:00:00"/>
        <d v="2023-10-25T00:00:00"/>
        <d v="2024-11-27T00:00:00"/>
        <d v="2023-04-23T00:00:00"/>
        <d v="2023-01-07T00:00:00"/>
        <d v="2023-12-21T00:00:00"/>
        <d v="2023-09-12T00:00:00"/>
        <d v="2023-02-28T00:00:00"/>
        <d v="2023-04-17T00:00:00"/>
        <d v="2023-03-05T00:00:00"/>
        <d v="2023-06-23T00:00:00"/>
        <d v="2023-12-15T00:00:00"/>
        <d v="2023-10-15T00:00:00"/>
        <d v="2023-05-12T00:00:00"/>
        <d v="2023-08-23T00:00:00"/>
        <d v="2023-10-16T00:00:00"/>
        <d v="2023-08-10T00:00:00"/>
        <d v="2023-04-06T00:00:00"/>
        <d v="2023-09-02T00:00:00"/>
        <d v="2023-07-29T00:00:00"/>
        <d v="2023-10-08T00:00:00"/>
        <d v="2023-05-14T00:00:00"/>
        <d v="2023-08-28T00:00:00"/>
        <d v="2023-02-07T00:00:00"/>
        <d v="2023-06-30T00:00:00"/>
        <d v="2023-06-24T00:00:00"/>
        <d v="2023-04-19T00:00:00"/>
        <d v="2023-03-12T00:00:00"/>
        <d v="2023-03-04T00:00:00"/>
        <d v="2023-11-20T00:00:00"/>
        <d v="2024-11-17T00:00:00"/>
        <d v="2023-04-08T00:00:00"/>
        <d v="2023-04-22T00:00:00"/>
        <d v="2023-02-09T00:00:00"/>
        <d v="2023-09-14T00:00:00"/>
        <d v="2024-12-11T00:00:00"/>
        <d v="2023-10-10T00:00:00"/>
        <d v="2023-05-24T00:00:00"/>
        <d v="2024-11-24T00:00:00"/>
        <d v="2023-01-08T00:00:00"/>
        <d v="2023-01-04T00:00:00"/>
        <d v="2023-03-08T00:00:00"/>
        <d v="2023-11-30T00:00:00"/>
        <d v="2023-06-13T00:00:00"/>
        <d v="2023-12-25T00:00:00"/>
        <d v="2023-05-28T00:00:00"/>
        <d v="2023-01-27T00:00:00"/>
        <d v="2023-08-08T00:00:00"/>
        <d v="2024-12-14T00:00:00"/>
        <d v="2023-07-13T00:00:00"/>
        <d v="2023-01-24T00:00:00"/>
        <d v="2023-12-22T00:00:00"/>
        <d v="2023-12-01T00:00:00"/>
        <d v="2024-11-28T00:00:00"/>
        <d v="2023-03-09T00:00:00"/>
        <d v="2023-10-31T00:00:00"/>
        <d v="2024-12-18T00:00:00"/>
        <d v="2023-02-08T00:00:00"/>
        <d v="2023-10-06T00:00:00"/>
        <d v="2023-06-22T00:00:00"/>
        <d v="2023-06-06T00:00:00"/>
        <d v="2023-04-15T00:00:00"/>
        <d v="2023-08-12T00:00:00"/>
        <d v="2023-05-18T00:00:00"/>
        <d v="2023-04-29T00:00:00"/>
        <d v="2023-12-10T00:00:00"/>
        <d v="2023-02-04T00:00:00"/>
        <d v="2023-05-22T00:00:00"/>
        <d v="2023-06-28T00:00:00"/>
        <d v="2023-07-28T00:00:00"/>
        <d v="2023-08-02T00:00:00"/>
        <d v="2023-01-21T00:00:00"/>
        <d v="2023-05-15T00:00:00"/>
        <d v="2023-01-05T00:00:00"/>
        <d v="2023-07-01T00:00:00"/>
        <d v="2023-11-17T00:00:00"/>
        <d v="2023-09-04T00:00:00"/>
        <d v="2023-03-07T00:00:00"/>
        <d v="2023-03-26T00:00:00"/>
        <d v="2023-02-27T00:00:00"/>
        <d v="2023-04-05T00:00:00"/>
        <d v="2023-11-13T00:00:00"/>
        <d v="2023-07-08T00:00:00"/>
        <d v="2023-03-01T00:00:00"/>
        <d v="2023-02-17T00:00:00"/>
        <d v="2023-06-21T00:00:00"/>
        <d v="2023-05-01T00:00:00"/>
        <d v="2023-01-02T00:00:00"/>
        <d v="2023-11-14T00:00:00"/>
        <d v="2023-04-01T00:00:00"/>
        <d v="2024-12-20T00:00:00"/>
        <d v="2023-07-17T00:00:00"/>
        <d v="2023-09-26T00:00:00"/>
        <d v="2023-08-05T00:00:00"/>
        <d v="2023-10-05T00:00:00"/>
        <d v="2023-10-09T00:00:00"/>
        <d v="2023-09-22T00:00:00"/>
        <d v="2023-12-20T00:00:00"/>
        <d v="2024-12-16T00:00:00"/>
        <d v="2023-08-20T00:00:00"/>
        <d v="2023-09-05T00:00:00"/>
        <d v="2023-12-08T00:00:00"/>
        <d v="2023-11-12T00:00:00"/>
        <d v="2023-07-11T00:00:00"/>
        <d v="2023-03-29T00:00:00"/>
        <d v="2023-03-18T00:00:00"/>
        <d v="2023-08-26T00:00:00"/>
        <d v="2023-02-21T00:00:00"/>
        <d v="2024-12-15T00:00:00"/>
        <d v="2023-01-17T00:00:00"/>
        <d v="2023-09-24T00:00:00"/>
        <d v="2023-11-23T00:00:00"/>
        <d v="2023-11-24T00:00:00"/>
        <d v="2023-02-03T00:00:00"/>
        <d v="2023-05-16T00:00:00"/>
        <d v="2023-10-04T00:00:00"/>
        <d v="2023-07-05T00:00:00"/>
        <d v="2023-05-29T00:00:00"/>
        <d v="2023-03-30T00:00:00"/>
        <d v="2023-11-25T00:00:00"/>
        <d v="2023-05-09T00:00:00"/>
        <d v="2023-02-16T00:00:00"/>
        <d v="2024-11-22T00:00:00"/>
        <d v="2023-08-06T00:00:00"/>
        <d v="2023-05-04T00:00:00"/>
        <d v="2023-07-21T00:00:00"/>
        <d v="2023-04-20T00:00:00"/>
        <d v="2024-11-29T00:00:00"/>
        <d v="2023-03-22T00:00:00"/>
        <d v="2023-01-28T00:00:00"/>
        <d v="2023-05-21T00:00:00"/>
        <d v="2023-01-25T00:00:00"/>
        <d v="2023-12-30T00:00:00"/>
        <d v="2023-07-03T00:00:00"/>
        <d v="2023-09-29T00:00:00"/>
        <d v="2023-04-30T00:00:00"/>
        <d v="2023-05-31T00:00:00"/>
        <d v="2023-10-30T00:00:00"/>
        <d v="2023-06-12T00:00:00"/>
        <d v="2023-08-03T00:00:00"/>
        <d v="2023-05-27T00:00:00"/>
        <d v="2023-05-23T00:00:00"/>
        <d v="2023-10-19T00:00:00"/>
        <d v="2023-01-30T00:00:00"/>
        <d v="2024-12-09T00:00:00"/>
        <d v="2023-10-13T00:00:00"/>
        <d v="2023-12-27T00:00:00"/>
        <d v="2023-12-02T00:00:00"/>
        <d v="2023-12-23T00:00:00"/>
        <d v="2024-11-15T00:00:00"/>
        <d v="2023-12-29T00:00:00"/>
        <d v="2023-11-05T00:00:00"/>
        <d v="2023-01-22T00:00:00"/>
        <d v="2023-08-01T00:00:00"/>
        <d v="2023-07-18T00:00:00"/>
        <d v="2023-07-16T00:00:00"/>
        <d v="2023-04-24T00:00:00"/>
        <d v="2023-06-07T00:00:00"/>
        <d v="2023-11-15T00:00:00"/>
        <d v="2023-07-27T00:00:00"/>
        <d v="2023-02-18T00:00:00"/>
        <d v="2023-05-08T00:00:00"/>
        <d v="2024-12-05T00:00:00"/>
        <d v="2023-11-04T00:00:00"/>
        <d v="2023-02-20T00:00:00"/>
        <d v="2023-07-06T00:00:00"/>
        <d v="2023-07-02T00:00:00"/>
        <d v="2023-07-09T00:00:00"/>
        <d v="2023-11-09T00:00:00"/>
        <d v="2023-05-13T00:00:00"/>
        <d v="2023-03-15T00:00:00"/>
        <d v="2023-07-22T00:00:00"/>
        <d v="2024-12-08T00:00:00"/>
        <d v="2024-11-14T00:00:00"/>
        <d v="2023-03-17T00:00:00"/>
        <d v="2023-07-31T00:00:00"/>
        <d v="2023-04-10T00:00:00"/>
        <d v="2023-11-11T00:00:00"/>
        <d v="2024-11-11T00:00:00"/>
        <d v="2023-02-11T00:00:00"/>
        <d v="2023-03-10T00:00:00"/>
        <d v="2024-11-26T00:00:00"/>
        <d v="2023-03-11T00:00:00"/>
        <d v="2023-04-07T00:00:00"/>
        <d v="2023-04-27T00:00:00"/>
        <d v="2023-09-08T00:00:00"/>
        <d v="2023-01-03T00:00:00"/>
        <d v="2023-10-21T00:00:00"/>
        <d v="2023-10-03T00:00:00"/>
        <d v="2023-08-04T00:00:00"/>
        <d v="2023-03-06T00:00:00"/>
        <d v="2023-02-05T00:00:00"/>
        <d v="2024-11-19T00:00:00"/>
        <d v="2023-03-27T00:00:00"/>
        <d v="2023-12-19T00:00:00"/>
        <d v="2023-08-27T00:00:00"/>
        <d v="2023-11-21T00:00:00"/>
        <d v="2023-09-03T00:00:00"/>
        <d v="2023-04-04T00:00:00"/>
        <d v="2023-04-09T00:00:00"/>
        <d v="2023-03-24T00:00:00"/>
        <d v="2023-09-19T00:00:00"/>
        <d v="2023-12-05T00:00:00"/>
        <d v="2023-01-19T00:00:00"/>
        <d v="2023-10-23T00:00:00"/>
        <d v="2024-12-10T00:00:00"/>
        <d v="2023-02-06T00:00:00"/>
        <d v="2023-09-10T00:00:00"/>
        <d v="2023-02-23T00:00:00"/>
        <d v="2023-10-26T00:00:00"/>
        <d v="2023-12-26T00:00:00"/>
        <d v="2023-01-12T00:00:00"/>
        <d v="2024-11-16T00:00:00"/>
        <d v="2023-02-01T00:00:00"/>
        <d v="2023-06-04T00:00:00"/>
        <d v="2023-07-04T00:00:00"/>
        <d v="2024-12-13T00:00:00"/>
        <d v="2023-09-18T00:00:00"/>
        <d v="2023-07-14T00:00:00"/>
        <d v="2024-12-01T00:00:00"/>
        <d v="2023-05-03T00:00:00"/>
        <d v="2023-02-25T00:00:00"/>
        <d v="2023-09-13T00:00:00"/>
        <d v="2023-07-30T00:00:00"/>
        <d v="2023-06-15T00:00:00"/>
        <d v="2023-09-16T00:00:00"/>
        <d v="2023-02-02T00:00:00"/>
        <d v="2023-01-16T00:00:00"/>
        <d v="2023-04-18T00:00:00"/>
        <d v="2023-07-10T00:00:00"/>
        <d v="2023-03-02T00:00:00"/>
        <d v="2023-12-04T00:00:00"/>
        <d v="2023-08-14T00:00:00"/>
        <d v="2023-01-20T00:00:00"/>
        <d v="2023-12-16T00:00:00"/>
        <d v="2023-04-11T00:00:00"/>
        <d v="2023-07-26T00:00:00"/>
        <d v="2023-12-31T00:00:00"/>
        <d v="2023-01-15T00:00:00"/>
        <d v="2023-08-22T00:00:00"/>
        <d v="2024-12-21T00:00:00"/>
        <d v="2024-12-17T00:00:00"/>
        <d v="2023-01-26T00:00:00"/>
        <d v="2023-12-13T00:00:00"/>
        <d v="2023-11-18T00:00:00"/>
        <d v="2023-08-11T00:00:00"/>
        <d v="2023-03-13T00:00:00"/>
        <d v="2024-11-30T00:00:00"/>
        <d v="2023-12-06T00:00:00"/>
        <d v="2023-11-26T00:00:00"/>
        <d v="2023-07-24T00:00:00"/>
        <d v="2023-05-19T00:00:00"/>
        <d v="2024-11-23T00:00:00"/>
        <d v="2023-02-13T00:00:00"/>
        <d v="2023-03-14T00:00:00"/>
        <d v="2023-09-09T00:00:00"/>
        <d v="2023-01-10T00:00:00"/>
        <d v="2023-08-16T00:00:00"/>
        <d v="2023-08-25T00:00:00"/>
        <d v="2023-04-26T00:00:00"/>
        <d v="2024-12-19T00:00:00"/>
        <d v="2023-10-11T00:00:00"/>
        <d v="2023-11-22T00:00:00"/>
        <d v="2024-12-06T00:00:00"/>
        <d v="2023-11-28T00:00:00"/>
        <d v="2024-11-21T00:00:00"/>
        <d v="2023-01-09T00:00:00"/>
        <d v="2023-05-05T00:00:00"/>
        <d v="2023-09-06T00:00:00"/>
        <d v="2024-12-07T00:00:00"/>
        <d v="2023-12-09T00:00:00"/>
        <d v="2023-02-14T00:00:00"/>
        <d v="2023-08-13T00:00:00"/>
        <d v="2024-11-25T00:00:00"/>
        <d v="2023-05-26T00:00:00"/>
        <d v="2023-11-16T00:00:00"/>
        <d v="2023-09-07T00:00:00"/>
        <d v="2023-05-20T00:00:00"/>
        <d v="2023-08-31T00:00:00"/>
        <d v="2024-12-12T00:00:00"/>
        <d v="2023-05-10T00:00:00"/>
        <d v="2023-06-08T00:00:00"/>
        <d v="2023-06-01T00:00:00"/>
        <d v="2023-03-03T00:00:00"/>
        <d v="2023-07-15T00:00:00"/>
        <d v="2023-05-02T00:00:00"/>
        <d v="2023-02-10T00:00:00"/>
        <d v="2023-05-11T00:00:00"/>
        <d v="2023-01-01T00:00:00"/>
        <d v="2023-10-18T00:00:00"/>
        <d v="2023-06-17T00:00:00"/>
        <d v="2023-01-31T00:00:00"/>
        <d v="2023-01-13T00:00:00"/>
        <d v="2023-12-12T00:00:00"/>
        <d v="2024-11-12T00:00:00"/>
        <d v="2024-11-20T00:00:00"/>
        <d v="2023-06-09T00:00:00"/>
        <d v="2023-08-07T00:00:00"/>
        <d v="2024-11-18T00:00:00"/>
        <d v="2023-02-24T00:00:00"/>
        <d v="2023-09-01T00:00:00"/>
        <d v="2024-12-22T00:00:00"/>
        <d v="2024-12-02T00:00:00"/>
        <d v="2023-06-11T00:00:00"/>
        <d v="2024-12-04T00:00:00"/>
        <d v="2023-04-25T00:00:00"/>
        <d v="2023-01-18T00:00:00"/>
        <d v="2023-06-14T00:00:00"/>
        <d v="2023-03-21T00:00:00"/>
      </sharedItems>
      <fieldGroup par="12"/>
    </cacheField>
    <cacheField name="Region" numFmtId="0">
      <sharedItems/>
    </cacheField>
    <cacheField name="State" numFmtId="0">
      <sharedItems/>
    </cacheField>
    <cacheField name="City" numFmtId="0">
      <sharedItems count="15">
        <s v="Chennai"/>
        <s v="Ahmedabad"/>
        <s v="Hubli"/>
        <s v="Nagpur"/>
        <s v="New Delhi"/>
        <s v="Mumbai"/>
        <s v="Madurai"/>
        <s v="Bengaluru"/>
        <s v="Coimbatore"/>
        <s v="Vadodara"/>
        <s v="Dwarka"/>
        <s v="Pune"/>
        <s v="Mysuru"/>
        <s v="Karol Bagh"/>
        <s v="Surat"/>
      </sharedItems>
    </cacheField>
    <cacheField name="Product" numFmtId="0">
      <sharedItems count="5">
        <s v="Groceries"/>
        <s v="Electronics"/>
        <s v="Clothing"/>
        <s v="Stationery"/>
        <s v="Furniture"/>
      </sharedItems>
    </cacheField>
    <cacheField name="Quantity" numFmtId="0">
      <sharedItems containsSemiMixedTypes="0" containsString="0" containsNumber="1" containsInteger="1" minValue="1" maxValue="20"/>
    </cacheField>
    <cacheField name="Salesman" numFmtId="0">
      <sharedItems count="11">
        <s v="Rajesh"/>
        <s v="vishal"/>
        <s v="Jaykesh"/>
        <s v="Pinkesh"/>
        <s v="Priya"/>
        <s v="Dinesh"/>
        <s v="Raghav"/>
        <s v="Kuldeep"/>
        <s v="Keshav"/>
        <s v="Rajendra"/>
        <s v="Pankaj"/>
      </sharedItems>
    </cacheField>
    <cacheField name="AGE" numFmtId="0">
      <sharedItems containsSemiMixedTypes="0" containsString="0" containsNumber="1" containsInteger="1" minValue="16" maxValue="55" count="40">
        <n v="21"/>
        <n v="23"/>
        <n v="34"/>
        <n v="51"/>
        <n v="41"/>
        <n v="36"/>
        <n v="20"/>
        <n v="26"/>
        <n v="48"/>
        <n v="18"/>
        <n v="31"/>
        <n v="49"/>
        <n v="39"/>
        <n v="40"/>
        <n v="28"/>
        <n v="25"/>
        <n v="53"/>
        <n v="42"/>
        <n v="55"/>
        <n v="50"/>
        <n v="27"/>
        <n v="54"/>
        <n v="32"/>
        <n v="45"/>
        <n v="24"/>
        <n v="46"/>
        <n v="30"/>
        <n v="19"/>
        <n v="43"/>
        <n v="22"/>
        <n v="16"/>
        <n v="52"/>
        <n v="44"/>
        <n v="17"/>
        <n v="37"/>
        <n v="33"/>
        <n v="35"/>
        <n v="38"/>
        <n v="47"/>
        <n v="29"/>
      </sharedItems>
    </cacheField>
    <cacheField name="Price per Unit" numFmtId="0">
      <sharedItems containsSemiMixedTypes="0" containsString="0" containsNumber="1" minValue="116.58" maxValue="4999.8999999999996"/>
    </cacheField>
    <cacheField name="Sales Amount" numFmtId="0">
      <sharedItems containsSemiMixedTypes="0" containsString="0" containsNumber="1" minValue="267.32" maxValue="94255"/>
    </cacheField>
    <cacheField name="Months (Sale Date)" numFmtId="0" databaseField="0">
      <fieldGroup base="0">
        <rangePr groupBy="months" startDate="2023-01-01T00:00:00" endDate="2024-12-24T00:00:00"/>
        <groupItems count="14">
          <s v="&lt;2023-01-01"/>
          <s v="Jan"/>
          <s v="Feb"/>
          <s v="Mar"/>
          <s v="Apr"/>
          <s v="May"/>
          <s v="Jun"/>
          <s v="Jul"/>
          <s v="Aug"/>
          <s v="Sep"/>
          <s v="Oct"/>
          <s v="Nov"/>
          <s v="Dec"/>
          <s v="&gt;2024-12-24"/>
        </groupItems>
      </fieldGroup>
    </cacheField>
    <cacheField name="Quarters (Sale Date)" numFmtId="0" databaseField="0">
      <fieldGroup base="0">
        <rangePr groupBy="quarters" startDate="2023-01-01T00:00:00" endDate="2024-12-24T00:00:00"/>
        <groupItems count="6">
          <s v="&lt;2023-01-01"/>
          <s v="Qtr1"/>
          <s v="Qtr2"/>
          <s v="Qtr3"/>
          <s v="Qtr4"/>
          <s v="&gt;2024-12-24"/>
        </groupItems>
      </fieldGroup>
    </cacheField>
    <cacheField name="Years (Sale Date)" numFmtId="0" databaseField="0">
      <fieldGroup base="0">
        <rangePr groupBy="years" startDate="2023-01-01T00:00:00" endDate="2024-12-24T00:00:00"/>
        <groupItems count="4">
          <s v="&lt;2023-01-01"/>
          <s v="2023"/>
          <s v="2024"/>
          <s v="&gt;2024-12-24"/>
        </groupItems>
      </fieldGroup>
    </cacheField>
  </cacheFields>
  <extLst>
    <ext xmlns:x14="http://schemas.microsoft.com/office/spreadsheetml/2009/9/main" uri="{725AE2AE-9491-48be-B2B4-4EB974FC3084}">
      <x14:pivotCacheDefinition pivotCacheId="1121587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Dhakad" refreshedDate="46057.48598784722" createdVersion="8" refreshedVersion="8" minRefreshableVersion="3" recordCount="1045" xr:uid="{A22527B8-3307-4A55-A4A4-B03733EB079A}">
  <cacheSource type="worksheet">
    <worksheetSource ref="A1:K1046" sheet="VIKAS"/>
  </cacheSource>
  <cacheFields count="11">
    <cacheField name="Order ID" numFmtId="0">
      <sharedItems/>
    </cacheField>
    <cacheField name="Sale Date" numFmtId="14">
      <sharedItems containsSemiMixedTypes="0" containsNonDate="0" containsDate="1" containsString="0" minDate="2023-01-01T00:00:00" maxDate="2024-12-24T00:00:00" count="387">
        <d v="2024-11-13T00:00:00"/>
        <d v="2023-01-23T00:00:00"/>
        <d v="2023-02-19T00:00:00"/>
        <d v="2023-01-29T00:00:00"/>
        <d v="2023-09-11T00:00:00"/>
        <d v="2023-08-21T00:00:00"/>
        <d v="2024-12-03T00:00:00"/>
        <d v="2023-12-07T00:00:00"/>
        <d v="2023-03-23T00:00:00"/>
        <d v="2023-03-16T00:00:00"/>
        <d v="2023-11-06T00:00:00"/>
        <d v="2023-02-22T00:00:00"/>
        <d v="2023-04-13T00:00:00"/>
        <d v="2023-10-14T00:00:00"/>
        <d v="2023-06-03T00:00:00"/>
        <d v="2023-04-12T00:00:00"/>
        <d v="2023-06-19T00:00:00"/>
        <d v="2023-06-20T00:00:00"/>
        <d v="2023-11-10T00:00:00"/>
        <d v="2023-12-28T00:00:00"/>
        <d v="2023-11-27T00:00:00"/>
        <d v="2023-04-16T00:00:00"/>
        <d v="2023-10-20T00:00:00"/>
        <d v="2023-08-18T00:00:00"/>
        <d v="2023-07-19T00:00:00"/>
        <d v="2023-08-24T00:00:00"/>
        <d v="2023-05-06T00:00:00"/>
        <d v="2023-10-29T00:00:00"/>
        <d v="2023-10-07T00:00:00"/>
        <d v="2023-01-14T00:00:00"/>
        <d v="2023-07-07T00:00:00"/>
        <d v="2023-10-02T00:00:00"/>
        <d v="2023-12-14T00:00:00"/>
        <d v="2023-10-24T00:00:00"/>
        <d v="2023-03-19T00:00:00"/>
        <d v="2023-07-23T00:00:00"/>
        <d v="2023-11-01T00:00:00"/>
        <d v="2023-07-20T00:00:00"/>
        <d v="2023-01-06T00:00:00"/>
        <d v="2023-06-05T00:00:00"/>
        <d v="2023-07-25T00:00:00"/>
        <d v="2023-09-28T00:00:00"/>
        <d v="2023-08-29T00:00:00"/>
        <d v="2023-08-30T00:00:00"/>
        <d v="2023-05-25T00:00:00"/>
        <d v="2023-03-25T00:00:00"/>
        <d v="2023-09-17T00:00:00"/>
        <d v="2023-06-29T00:00:00"/>
        <d v="2023-03-31T00:00:00"/>
        <d v="2023-02-12T00:00:00"/>
        <d v="2023-08-17T00:00:00"/>
        <d v="2023-03-28T00:00:00"/>
        <d v="2023-09-23T00:00:00"/>
        <d v="2023-09-15T00:00:00"/>
        <d v="2023-10-27T00:00:00"/>
        <d v="2023-11-02T00:00:00"/>
        <d v="2023-04-21T00:00:00"/>
        <d v="2023-05-17T00:00:00"/>
        <d v="2023-04-28T00:00:00"/>
        <d v="2023-11-19T00:00:00"/>
        <d v="2023-09-20T00:00:00"/>
        <d v="2024-12-23T00:00:00"/>
        <d v="2023-06-27T00:00:00"/>
        <d v="2023-11-08T00:00:00"/>
        <d v="2023-04-02T00:00:00"/>
        <d v="2023-02-15T00:00:00"/>
        <d v="2023-06-18T00:00:00"/>
        <d v="2023-04-14T00:00:00"/>
        <d v="2023-04-03T00:00:00"/>
        <d v="2023-10-01T00:00:00"/>
        <d v="2023-12-24T00:00:00"/>
        <d v="2023-09-30T00:00:00"/>
        <d v="2023-10-12T00:00:00"/>
        <d v="2023-11-03T00:00:00"/>
        <d v="2023-05-30T00:00:00"/>
        <d v="2023-10-28T00:00:00"/>
        <d v="2023-07-12T00:00:00"/>
        <d v="2023-09-25T00:00:00"/>
        <d v="2023-12-18T00:00:00"/>
        <d v="2023-10-25T00:00:00"/>
        <d v="2024-11-27T00:00:00"/>
        <d v="2023-04-23T00:00:00"/>
        <d v="2023-01-07T00:00:00"/>
        <d v="2023-12-21T00:00:00"/>
        <d v="2023-09-12T00:00:00"/>
        <d v="2023-02-28T00:00:00"/>
        <d v="2023-04-17T00:00:00"/>
        <d v="2023-03-05T00:00:00"/>
        <d v="2023-06-23T00:00:00"/>
        <d v="2023-12-15T00:00:00"/>
        <d v="2023-10-15T00:00:00"/>
        <d v="2023-05-12T00:00:00"/>
        <d v="2023-08-23T00:00:00"/>
        <d v="2023-10-16T00:00:00"/>
        <d v="2023-08-10T00:00:00"/>
        <d v="2023-04-06T00:00:00"/>
        <d v="2023-09-02T00:00:00"/>
        <d v="2023-07-29T00:00:00"/>
        <d v="2023-10-08T00:00:00"/>
        <d v="2023-05-14T00:00:00"/>
        <d v="2023-08-28T00:00:00"/>
        <d v="2023-02-07T00:00:00"/>
        <d v="2023-06-30T00:00:00"/>
        <d v="2023-06-24T00:00:00"/>
        <d v="2023-04-19T00:00:00"/>
        <d v="2023-03-12T00:00:00"/>
        <d v="2023-03-04T00:00:00"/>
        <d v="2023-11-20T00:00:00"/>
        <d v="2024-11-17T00:00:00"/>
        <d v="2023-04-08T00:00:00"/>
        <d v="2023-04-22T00:00:00"/>
        <d v="2023-02-09T00:00:00"/>
        <d v="2023-09-14T00:00:00"/>
        <d v="2024-12-11T00:00:00"/>
        <d v="2023-10-10T00:00:00"/>
        <d v="2023-05-24T00:00:00"/>
        <d v="2024-11-24T00:00:00"/>
        <d v="2023-01-08T00:00:00"/>
        <d v="2023-01-04T00:00:00"/>
        <d v="2023-03-08T00:00:00"/>
        <d v="2023-11-30T00:00:00"/>
        <d v="2023-06-13T00:00:00"/>
        <d v="2023-12-25T00:00:00"/>
        <d v="2023-05-28T00:00:00"/>
        <d v="2023-01-27T00:00:00"/>
        <d v="2023-08-08T00:00:00"/>
        <d v="2024-12-14T00:00:00"/>
        <d v="2023-07-13T00:00:00"/>
        <d v="2023-01-24T00:00:00"/>
        <d v="2023-12-22T00:00:00"/>
        <d v="2023-12-01T00:00:00"/>
        <d v="2024-11-28T00:00:00"/>
        <d v="2023-03-09T00:00:00"/>
        <d v="2023-10-31T00:00:00"/>
        <d v="2024-12-18T00:00:00"/>
        <d v="2023-02-08T00:00:00"/>
        <d v="2023-10-06T00:00:00"/>
        <d v="2023-06-22T00:00:00"/>
        <d v="2023-06-06T00:00:00"/>
        <d v="2023-04-15T00:00:00"/>
        <d v="2023-08-12T00:00:00"/>
        <d v="2023-05-18T00:00:00"/>
        <d v="2023-04-29T00:00:00"/>
        <d v="2023-12-10T00:00:00"/>
        <d v="2023-02-04T00:00:00"/>
        <d v="2023-05-22T00:00:00"/>
        <d v="2023-06-28T00:00:00"/>
        <d v="2023-07-28T00:00:00"/>
        <d v="2023-08-02T00:00:00"/>
        <d v="2023-01-21T00:00:00"/>
        <d v="2023-05-15T00:00:00"/>
        <d v="2023-01-05T00:00:00"/>
        <d v="2023-07-01T00:00:00"/>
        <d v="2023-11-17T00:00:00"/>
        <d v="2023-09-04T00:00:00"/>
        <d v="2023-03-07T00:00:00"/>
        <d v="2023-03-26T00:00:00"/>
        <d v="2023-02-27T00:00:00"/>
        <d v="2023-04-05T00:00:00"/>
        <d v="2023-11-13T00:00:00"/>
        <d v="2023-07-08T00:00:00"/>
        <d v="2023-03-01T00:00:00"/>
        <d v="2023-02-17T00:00:00"/>
        <d v="2023-06-21T00:00:00"/>
        <d v="2023-05-01T00:00:00"/>
        <d v="2023-01-02T00:00:00"/>
        <d v="2023-11-14T00:00:00"/>
        <d v="2023-04-01T00:00:00"/>
        <d v="2024-12-20T00:00:00"/>
        <d v="2023-07-17T00:00:00"/>
        <d v="2023-09-26T00:00:00"/>
        <d v="2023-08-05T00:00:00"/>
        <d v="2023-10-05T00:00:00"/>
        <d v="2023-10-09T00:00:00"/>
        <d v="2023-09-22T00:00:00"/>
        <d v="2023-12-20T00:00:00"/>
        <d v="2024-12-16T00:00:00"/>
        <d v="2023-08-20T00:00:00"/>
        <d v="2023-09-05T00:00:00"/>
        <d v="2023-12-08T00:00:00"/>
        <d v="2023-11-12T00:00:00"/>
        <d v="2023-07-11T00:00:00"/>
        <d v="2023-03-29T00:00:00"/>
        <d v="2023-03-18T00:00:00"/>
        <d v="2023-08-26T00:00:00"/>
        <d v="2023-02-21T00:00:00"/>
        <d v="2024-12-15T00:00:00"/>
        <d v="2023-01-17T00:00:00"/>
        <d v="2023-09-24T00:00:00"/>
        <d v="2023-11-23T00:00:00"/>
        <d v="2023-11-24T00:00:00"/>
        <d v="2023-02-03T00:00:00"/>
        <d v="2023-05-16T00:00:00"/>
        <d v="2023-10-04T00:00:00"/>
        <d v="2023-07-05T00:00:00"/>
        <d v="2023-05-29T00:00:00"/>
        <d v="2023-03-30T00:00:00"/>
        <d v="2023-11-25T00:00:00"/>
        <d v="2023-05-09T00:00:00"/>
        <d v="2023-02-16T00:00:00"/>
        <d v="2024-11-22T00:00:00"/>
        <d v="2023-08-06T00:00:00"/>
        <d v="2023-05-04T00:00:00"/>
        <d v="2023-07-21T00:00:00"/>
        <d v="2023-04-20T00:00:00"/>
        <d v="2024-11-29T00:00:00"/>
        <d v="2023-03-22T00:00:00"/>
        <d v="2023-01-28T00:00:00"/>
        <d v="2023-05-21T00:00:00"/>
        <d v="2023-01-25T00:00:00"/>
        <d v="2023-12-30T00:00:00"/>
        <d v="2023-07-03T00:00:00"/>
        <d v="2023-09-29T00:00:00"/>
        <d v="2023-04-30T00:00:00"/>
        <d v="2023-05-31T00:00:00"/>
        <d v="2023-10-30T00:00:00"/>
        <d v="2023-06-12T00:00:00"/>
        <d v="2023-08-03T00:00:00"/>
        <d v="2023-05-27T00:00:00"/>
        <d v="2023-05-23T00:00:00"/>
        <d v="2023-10-19T00:00:00"/>
        <d v="2023-01-30T00:00:00"/>
        <d v="2024-12-09T00:00:00"/>
        <d v="2023-10-13T00:00:00"/>
        <d v="2023-12-27T00:00:00"/>
        <d v="2023-12-02T00:00:00"/>
        <d v="2023-12-23T00:00:00"/>
        <d v="2024-11-15T00:00:00"/>
        <d v="2023-12-29T00:00:00"/>
        <d v="2023-11-05T00:00:00"/>
        <d v="2023-01-22T00:00:00"/>
        <d v="2023-08-01T00:00:00"/>
        <d v="2023-07-18T00:00:00"/>
        <d v="2023-07-16T00:00:00"/>
        <d v="2023-04-24T00:00:00"/>
        <d v="2023-06-07T00:00:00"/>
        <d v="2023-11-15T00:00:00"/>
        <d v="2023-07-27T00:00:00"/>
        <d v="2023-02-18T00:00:00"/>
        <d v="2023-05-08T00:00:00"/>
        <d v="2024-12-05T00:00:00"/>
        <d v="2023-11-04T00:00:00"/>
        <d v="2023-02-20T00:00:00"/>
        <d v="2023-07-06T00:00:00"/>
        <d v="2023-07-02T00:00:00"/>
        <d v="2023-07-09T00:00:00"/>
        <d v="2023-11-09T00:00:00"/>
        <d v="2023-05-13T00:00:00"/>
        <d v="2023-03-15T00:00:00"/>
        <d v="2023-07-22T00:00:00"/>
        <d v="2024-12-08T00:00:00"/>
        <d v="2024-11-14T00:00:00"/>
        <d v="2023-03-17T00:00:00"/>
        <d v="2023-07-31T00:00:00"/>
        <d v="2023-04-10T00:00:00"/>
        <d v="2023-11-11T00:00:00"/>
        <d v="2024-11-11T00:00:00"/>
        <d v="2023-02-11T00:00:00"/>
        <d v="2023-03-10T00:00:00"/>
        <d v="2024-11-26T00:00:00"/>
        <d v="2023-03-11T00:00:00"/>
        <d v="2023-04-07T00:00:00"/>
        <d v="2023-04-27T00:00:00"/>
        <d v="2023-09-08T00:00:00"/>
        <d v="2023-01-03T00:00:00"/>
        <d v="2023-10-21T00:00:00"/>
        <d v="2023-10-03T00:00:00"/>
        <d v="2023-08-04T00:00:00"/>
        <d v="2023-03-06T00:00:00"/>
        <d v="2023-02-05T00:00:00"/>
        <d v="2024-11-19T00:00:00"/>
        <d v="2023-03-27T00:00:00"/>
        <d v="2023-12-19T00:00:00"/>
        <d v="2023-08-27T00:00:00"/>
        <d v="2023-11-21T00:00:00"/>
        <d v="2023-09-03T00:00:00"/>
        <d v="2023-04-04T00:00:00"/>
        <d v="2023-04-09T00:00:00"/>
        <d v="2023-03-24T00:00:00"/>
        <d v="2023-09-19T00:00:00"/>
        <d v="2023-12-05T00:00:00"/>
        <d v="2023-01-19T00:00:00"/>
        <d v="2023-10-23T00:00:00"/>
        <d v="2024-12-10T00:00:00"/>
        <d v="2023-02-06T00:00:00"/>
        <d v="2023-09-10T00:00:00"/>
        <d v="2023-02-23T00:00:00"/>
        <d v="2023-10-26T00:00:00"/>
        <d v="2023-12-26T00:00:00"/>
        <d v="2023-01-12T00:00:00"/>
        <d v="2024-11-16T00:00:00"/>
        <d v="2023-02-01T00:00:00"/>
        <d v="2023-06-04T00:00:00"/>
        <d v="2023-07-04T00:00:00"/>
        <d v="2024-12-13T00:00:00"/>
        <d v="2023-09-18T00:00:00"/>
        <d v="2023-07-14T00:00:00"/>
        <d v="2024-12-01T00:00:00"/>
        <d v="2023-05-03T00:00:00"/>
        <d v="2023-02-25T00:00:00"/>
        <d v="2023-09-13T00:00:00"/>
        <d v="2023-07-30T00:00:00"/>
        <d v="2023-06-15T00:00:00"/>
        <d v="2023-09-16T00:00:00"/>
        <d v="2023-02-02T00:00:00"/>
        <d v="2023-01-16T00:00:00"/>
        <d v="2023-04-18T00:00:00"/>
        <d v="2023-07-10T00:00:00"/>
        <d v="2023-03-02T00:00:00"/>
        <d v="2023-12-04T00:00:00"/>
        <d v="2023-08-14T00:00:00"/>
        <d v="2023-01-20T00:00:00"/>
        <d v="2023-12-16T00:00:00"/>
        <d v="2023-04-11T00:00:00"/>
        <d v="2023-07-26T00:00:00"/>
        <d v="2023-12-31T00:00:00"/>
        <d v="2023-01-15T00:00:00"/>
        <d v="2023-08-22T00:00:00"/>
        <d v="2024-12-21T00:00:00"/>
        <d v="2024-12-17T00:00:00"/>
        <d v="2023-01-26T00:00:00"/>
        <d v="2023-12-13T00:00:00"/>
        <d v="2023-11-18T00:00:00"/>
        <d v="2023-08-11T00:00:00"/>
        <d v="2023-03-13T00:00:00"/>
        <d v="2024-11-30T00:00:00"/>
        <d v="2023-12-06T00:00:00"/>
        <d v="2023-11-26T00:00:00"/>
        <d v="2023-07-24T00:00:00"/>
        <d v="2023-05-19T00:00:00"/>
        <d v="2024-11-23T00:00:00"/>
        <d v="2023-02-13T00:00:00"/>
        <d v="2023-03-14T00:00:00"/>
        <d v="2023-09-09T00:00:00"/>
        <d v="2023-01-10T00:00:00"/>
        <d v="2023-08-16T00:00:00"/>
        <d v="2023-08-25T00:00:00"/>
        <d v="2023-04-26T00:00:00"/>
        <d v="2024-12-19T00:00:00"/>
        <d v="2023-10-11T00:00:00"/>
        <d v="2023-11-22T00:00:00"/>
        <d v="2024-12-06T00:00:00"/>
        <d v="2023-11-28T00:00:00"/>
        <d v="2024-11-21T00:00:00"/>
        <d v="2023-01-09T00:00:00"/>
        <d v="2023-05-05T00:00:00"/>
        <d v="2023-09-06T00:00:00"/>
        <d v="2024-12-07T00:00:00"/>
        <d v="2023-12-09T00:00:00"/>
        <d v="2023-02-14T00:00:00"/>
        <d v="2023-08-13T00:00:00"/>
        <d v="2024-11-25T00:00:00"/>
        <d v="2023-05-26T00:00:00"/>
        <d v="2023-11-16T00:00:00"/>
        <d v="2023-09-07T00:00:00"/>
        <d v="2023-05-20T00:00:00"/>
        <d v="2023-08-31T00:00:00"/>
        <d v="2024-12-12T00:00:00"/>
        <d v="2023-05-10T00:00:00"/>
        <d v="2023-06-08T00:00:00"/>
        <d v="2023-06-01T00:00:00"/>
        <d v="2023-03-03T00:00:00"/>
        <d v="2023-07-15T00:00:00"/>
        <d v="2023-05-02T00:00:00"/>
        <d v="2023-02-10T00:00:00"/>
        <d v="2023-05-11T00:00:00"/>
        <d v="2023-01-01T00:00:00"/>
        <d v="2023-10-18T00:00:00"/>
        <d v="2023-06-17T00:00:00"/>
        <d v="2023-01-31T00:00:00"/>
        <d v="2023-01-13T00:00:00"/>
        <d v="2023-12-12T00:00:00"/>
        <d v="2024-11-12T00:00:00"/>
        <d v="2024-11-20T00:00:00"/>
        <d v="2023-06-09T00:00:00"/>
        <d v="2023-08-07T00:00:00"/>
        <d v="2024-11-18T00:00:00"/>
        <d v="2023-02-24T00:00:00"/>
        <d v="2023-09-01T00:00:00"/>
        <d v="2024-12-22T00:00:00"/>
        <d v="2024-12-02T00:00:00"/>
        <d v="2023-06-11T00:00:00"/>
        <d v="2024-12-04T00:00:00"/>
        <d v="2023-04-25T00:00:00"/>
        <d v="2023-01-18T00:00:00"/>
        <d v="2023-06-14T00:00:00"/>
        <d v="2023-03-21T00:00:00"/>
      </sharedItems>
    </cacheField>
    <cacheField name="Region" numFmtId="0">
      <sharedItems/>
    </cacheField>
    <cacheField name="State" numFmtId="0">
      <sharedItems/>
    </cacheField>
    <cacheField name="City" numFmtId="0">
      <sharedItems count="15">
        <s v="Chennai"/>
        <s v="Ahmedabad"/>
        <s v="Hubli"/>
        <s v="Nagpur"/>
        <s v="New Delhi"/>
        <s v="Mumbai"/>
        <s v="Madurai"/>
        <s v="Bengaluru"/>
        <s v="Coimbatore"/>
        <s v="Vadodara"/>
        <s v="Dwarka"/>
        <s v="Pune"/>
        <s v="Mysuru"/>
        <s v="Karol Bagh"/>
        <s v="Surat"/>
      </sharedItems>
    </cacheField>
    <cacheField name="Product" numFmtId="0">
      <sharedItems count="5">
        <s v="Groceries"/>
        <s v="Electronics"/>
        <s v="Clothing"/>
        <s v="Stationery"/>
        <s v="Furniture"/>
      </sharedItems>
    </cacheField>
    <cacheField name="Quantity" numFmtId="0">
      <sharedItems containsSemiMixedTypes="0" containsString="0" containsNumber="1" containsInteger="1" minValue="1" maxValue="20"/>
    </cacheField>
    <cacheField name="Salesman" numFmtId="0">
      <sharedItems count="11">
        <s v="Rajesh"/>
        <s v="vishal"/>
        <s v="Jaykesh"/>
        <s v="Pinkesh"/>
        <s v="Priya"/>
        <s v="Dinesh"/>
        <s v="Raghav"/>
        <s v="Kuldeep"/>
        <s v="Keshav"/>
        <s v="Rajendra"/>
        <s v="Pankaj"/>
      </sharedItems>
    </cacheField>
    <cacheField name="AGE" numFmtId="0">
      <sharedItems containsSemiMixedTypes="0" containsString="0" containsNumber="1" containsInteger="1" minValue="16" maxValue="55"/>
    </cacheField>
    <cacheField name="Price per Unit" numFmtId="0">
      <sharedItems containsSemiMixedTypes="0" containsString="0" containsNumber="1" minValue="116.58" maxValue="4999.8999999999996"/>
    </cacheField>
    <cacheField name="Sales Amount" numFmtId="0">
      <sharedItems containsSemiMixedTypes="0" containsString="0" containsNumber="1" minValue="267.32" maxValue="94255"/>
    </cacheField>
  </cacheFields>
  <extLst>
    <ext xmlns:x14="http://schemas.microsoft.com/office/spreadsheetml/2009/9/main" uri="{725AE2AE-9491-48be-B2B4-4EB974FC3084}">
      <x14:pivotCacheDefinition pivotCacheId="486284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January"/>
    <s v="Blinkit"/>
    <x v="0"/>
    <x v="0"/>
    <n v="4000"/>
  </r>
  <r>
    <s v="January"/>
    <s v="Flipkart"/>
    <x v="1"/>
    <x v="1"/>
    <n v="1600"/>
  </r>
  <r>
    <s v="January"/>
    <s v="eBay"/>
    <x v="0"/>
    <x v="2"/>
    <n v="6400"/>
  </r>
  <r>
    <s v="January"/>
    <s v="Blinkit"/>
    <x v="1"/>
    <x v="3"/>
    <n v="2400"/>
  </r>
  <r>
    <s v="January"/>
    <s v="Flipkart"/>
    <x v="0"/>
    <x v="0"/>
    <n v="3200"/>
  </r>
  <r>
    <s v="January"/>
    <s v="eBay"/>
    <x v="0"/>
    <x v="1"/>
    <n v="2000"/>
  </r>
  <r>
    <s v="February"/>
    <s v="Blinkit"/>
    <x v="1"/>
    <x v="2"/>
    <n v="4800"/>
  </r>
  <r>
    <s v="February"/>
    <s v="Flipkart"/>
    <x v="0"/>
    <x v="3"/>
    <n v="2800"/>
  </r>
  <r>
    <s v="February"/>
    <s v="eBay"/>
    <x v="0"/>
    <x v="0"/>
    <n v="3600"/>
  </r>
  <r>
    <s v="February"/>
    <s v="Blinkit"/>
    <x v="0"/>
    <x v="1"/>
    <n v="1800"/>
  </r>
  <r>
    <s v="February"/>
    <s v="Flipkart"/>
    <x v="1"/>
    <x v="2"/>
    <n v="4800"/>
  </r>
  <r>
    <s v="February"/>
    <s v="eBay"/>
    <x v="0"/>
    <x v="3"/>
    <n v="2200"/>
  </r>
  <r>
    <s v="March"/>
    <s v="Blinkit"/>
    <x v="0"/>
    <x v="0"/>
    <n v="4400"/>
  </r>
  <r>
    <s v="March"/>
    <s v="Flipkart"/>
    <x v="0"/>
    <x v="1"/>
    <n v="1440"/>
  </r>
  <r>
    <s v="March"/>
    <s v="eBay"/>
    <x v="1"/>
    <x v="2"/>
    <n v="5200"/>
  </r>
  <r>
    <s v="March"/>
    <s v="Blinkit"/>
    <x v="0"/>
    <x v="3"/>
    <n v="2880"/>
  </r>
  <r>
    <s v="March"/>
    <s v="Flipkart"/>
    <x v="0"/>
    <x v="0"/>
    <n v="3840"/>
  </r>
  <r>
    <s v="March"/>
    <s v="eBay"/>
    <x v="0"/>
    <x v="1"/>
    <n v="2560"/>
  </r>
  <r>
    <s v="April"/>
    <s v="Blinkit"/>
    <x v="1"/>
    <x v="2"/>
    <n v="4400"/>
  </r>
  <r>
    <s v="April"/>
    <s v="Flipkart"/>
    <x v="1"/>
    <x v="3"/>
    <n v="3200"/>
  </r>
  <r>
    <s v="April"/>
    <s v="eBay"/>
    <x v="0"/>
    <x v="0"/>
    <n v="4320"/>
  </r>
  <r>
    <s v="April"/>
    <s v="Blinkit"/>
    <x v="0"/>
    <x v="1"/>
    <n v="2160"/>
  </r>
  <r>
    <s v="April"/>
    <s v="Flipkart"/>
    <x v="0"/>
    <x v="2"/>
    <n v="5600"/>
  </r>
  <r>
    <s v="April"/>
    <s v="eBay"/>
    <x v="1"/>
    <x v="3"/>
    <n v="2400"/>
  </r>
  <r>
    <s v="May"/>
    <s v="Blinkit"/>
    <x v="1"/>
    <x v="0"/>
    <n v="4800"/>
  </r>
  <r>
    <s v="May"/>
    <s v="Flipkart"/>
    <x v="0"/>
    <x v="1"/>
    <n v="1200"/>
  </r>
  <r>
    <s v="May"/>
    <s v="eBay"/>
    <x v="0"/>
    <x v="2"/>
    <n v="5100"/>
  </r>
  <r>
    <s v="May"/>
    <s v="Blinkit"/>
    <x v="1"/>
    <x v="3"/>
    <n v="2280"/>
  </r>
  <r>
    <s v="May"/>
    <s v="Flipkart"/>
    <x v="0"/>
    <x v="0"/>
    <n v="3840"/>
  </r>
  <r>
    <s v="May"/>
    <s v="eBay"/>
    <x v="0"/>
    <x v="1"/>
    <n v="1600"/>
  </r>
  <r>
    <s v="June"/>
    <s v="Blinkit"/>
    <x v="0"/>
    <x v="2"/>
    <n v="4800"/>
  </r>
  <r>
    <s v="June"/>
    <s v="Flipkart"/>
    <x v="1"/>
    <x v="3"/>
    <n v="3360"/>
  </r>
  <r>
    <s v="June"/>
    <s v="eBay"/>
    <x v="0"/>
    <x v="0"/>
    <n v="4800"/>
  </r>
  <r>
    <s v="June"/>
    <s v="Blinkit"/>
    <x v="0"/>
    <x v="1"/>
    <n v="2160"/>
  </r>
  <r>
    <s v="June"/>
    <s v="Flipkart"/>
    <x v="0"/>
    <x v="2"/>
    <n v="5440"/>
  </r>
  <r>
    <s v="June"/>
    <s v="eBay"/>
    <x v="0"/>
    <x v="3"/>
    <n v="2080"/>
  </r>
  <r>
    <s v="July"/>
    <s v="Blinkit"/>
    <x v="0"/>
    <x v="0"/>
    <n v="4640"/>
  </r>
  <r>
    <s v="July"/>
    <s v="Flipkart"/>
    <x v="1"/>
    <x v="1"/>
    <n v="1360"/>
  </r>
  <r>
    <s v="July"/>
    <s v="eBay"/>
    <x v="0"/>
    <x v="2"/>
    <n v="6240"/>
  </r>
  <r>
    <s v="July"/>
    <s v="Blinkit"/>
    <x v="1"/>
    <x v="3"/>
    <n v="2720"/>
  </r>
  <r>
    <s v="July"/>
    <s v="Flipkart"/>
    <x v="0"/>
    <x v="0"/>
    <n v="4480"/>
  </r>
  <r>
    <s v="July"/>
    <s v="eBay"/>
    <x v="1"/>
    <x v="1"/>
    <n v="2240"/>
  </r>
  <r>
    <s v="August"/>
    <s v="Blinkit"/>
    <x v="0"/>
    <x v="2"/>
    <n v="5600"/>
  </r>
  <r>
    <s v="August"/>
    <s v="Flipkart"/>
    <x v="1"/>
    <x v="3"/>
    <n v="3600"/>
  </r>
  <r>
    <s v="August"/>
    <s v="eBay"/>
    <x v="0"/>
    <x v="0"/>
    <n v="5600"/>
  </r>
  <r>
    <s v="August"/>
    <s v="Blinkit"/>
    <x v="0"/>
    <x v="1"/>
    <n v="2080"/>
  </r>
  <r>
    <s v="August"/>
    <s v="Flipkart"/>
    <x v="0"/>
    <x v="2"/>
    <n v="5440"/>
  </r>
  <r>
    <s v="August"/>
    <s v="eBay"/>
    <x v="0"/>
    <x v="3"/>
    <n v="2320"/>
  </r>
  <r>
    <s v="September"/>
    <s v="Blinkit"/>
    <x v="1"/>
    <x v="0"/>
    <n v="5760"/>
  </r>
  <r>
    <s v="September"/>
    <s v="Flipkart"/>
    <x v="0"/>
    <x v="1"/>
    <n v="1720"/>
  </r>
  <r>
    <s v="September"/>
    <s v="eBay"/>
    <x v="0"/>
    <x v="2"/>
    <n v="4800"/>
  </r>
  <r>
    <s v="September"/>
    <s v="Blinkit"/>
    <x v="0"/>
    <x v="3"/>
    <n v="2520"/>
  </r>
  <r>
    <s v="September"/>
    <s v="Flipkart"/>
    <x v="1"/>
    <x v="0"/>
    <n v="4160"/>
  </r>
  <r>
    <s v="September"/>
    <s v="eBay"/>
    <x v="0"/>
    <x v="1"/>
    <n v="2280"/>
  </r>
  <r>
    <s v="October"/>
    <s v="Blinkit"/>
    <x v="1"/>
    <x v="2"/>
    <n v="4200"/>
  </r>
  <r>
    <s v="October"/>
    <s v="Flipkart"/>
    <x v="0"/>
    <x v="3"/>
    <n v="3120"/>
  </r>
  <r>
    <s v="October"/>
    <s v="eBay"/>
    <x v="0"/>
    <x v="0"/>
    <n v="4320"/>
  </r>
  <r>
    <s v="October"/>
    <s v="Blinkit"/>
    <x v="0"/>
    <x v="1"/>
    <n v="2880"/>
  </r>
  <r>
    <s v="October"/>
    <s v="Flipkart"/>
    <x v="1"/>
    <x v="2"/>
    <n v="5040"/>
  </r>
  <r>
    <s v="October"/>
    <s v="eBay"/>
    <x v="0"/>
    <x v="3"/>
    <n v="1840"/>
  </r>
  <r>
    <s v="November"/>
    <s v="Blinkit"/>
    <x v="0"/>
    <x v="0"/>
    <n v="5120"/>
  </r>
  <r>
    <s v="November"/>
    <s v="Flipkart"/>
    <x v="1"/>
    <x v="1"/>
    <n v="1520"/>
  </r>
  <r>
    <s v="November"/>
    <s v="eBay"/>
    <x v="0"/>
    <x v="2"/>
    <n v="5600"/>
  </r>
  <r>
    <s v="November"/>
    <s v="Blinkit"/>
    <x v="1"/>
    <x v="3"/>
    <n v="2320"/>
  </r>
  <r>
    <s v="November"/>
    <s v="Flipkart"/>
    <x v="0"/>
    <x v="0"/>
    <n v="4000"/>
  </r>
  <r>
    <s v="November"/>
    <s v="eBay"/>
    <x v="0"/>
    <x v="1"/>
    <n v="2440"/>
  </r>
  <r>
    <s v="December"/>
    <s v="Blinkit"/>
    <x v="1"/>
    <x v="2"/>
    <n v="4500"/>
  </r>
  <r>
    <s v="December"/>
    <s v="Flipkart"/>
    <x v="0"/>
    <x v="3"/>
    <n v="3200"/>
  </r>
  <r>
    <s v="December"/>
    <s v="eBay"/>
    <x v="0"/>
    <x v="0"/>
    <n v="4800"/>
  </r>
  <r>
    <s v="December"/>
    <s v="Blinkit"/>
    <x v="0"/>
    <x v="1"/>
    <n v="1760"/>
  </r>
  <r>
    <s v="December"/>
    <s v="Flipkart"/>
    <x v="1"/>
    <x v="2"/>
    <n v="4800"/>
  </r>
  <r>
    <s v="December"/>
    <s v="eBay"/>
    <x v="1"/>
    <x v="3"/>
    <n v="26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5">
  <r>
    <x v="0"/>
    <s v="South"/>
    <s v="Tamil Nadu"/>
    <s v="Chennai"/>
    <x v="0"/>
    <n v="10"/>
    <s v="Rajesh"/>
    <n v="21"/>
    <n v="267.32"/>
  </r>
  <r>
    <x v="0"/>
    <s v="South"/>
    <s v="Tamil Nadu"/>
    <s v="Chennai"/>
    <x v="0"/>
    <n v="1"/>
    <s v="Rajesh"/>
    <n v="21"/>
    <n v="267.32"/>
  </r>
  <r>
    <x v="1"/>
    <s v="South"/>
    <s v="Tamil Nadu"/>
    <s v="Chennai"/>
    <x v="0"/>
    <n v="1"/>
    <s v="vishal"/>
    <n v="21"/>
    <n v="267.32"/>
  </r>
  <r>
    <x v="2"/>
    <s v="West"/>
    <s v="Gujarat"/>
    <s v="Ahmedabad"/>
    <x v="0"/>
    <n v="1"/>
    <s v="Jaykesh"/>
    <n v="23"/>
    <n v="302.02"/>
  </r>
  <r>
    <x v="2"/>
    <s v="West"/>
    <s v="Gujarat"/>
    <s v="Ahmedabad"/>
    <x v="0"/>
    <n v="1"/>
    <s v="vishal"/>
    <n v="23"/>
    <n v="302.02"/>
  </r>
  <r>
    <x v="3"/>
    <s v="South"/>
    <s v="Karnataka"/>
    <s v="Hubli"/>
    <x v="1"/>
    <n v="2"/>
    <s v="Pinkesh"/>
    <n v="34"/>
    <n v="161.19"/>
  </r>
  <r>
    <x v="4"/>
    <s v="West"/>
    <s v="Maharashtra"/>
    <s v="Nagpur"/>
    <x v="2"/>
    <n v="3"/>
    <s v="Priya"/>
    <n v="51"/>
    <n v="116.58"/>
  </r>
  <r>
    <x v="5"/>
    <s v="South"/>
    <s v="Tamil Nadu"/>
    <s v="Chennai"/>
    <x v="2"/>
    <n v="1"/>
    <s v="Dinesh"/>
    <n v="41"/>
    <n v="421.27"/>
  </r>
  <r>
    <x v="6"/>
    <s v="North"/>
    <s v="Delhi"/>
    <s v="New Delhi"/>
    <x v="2"/>
    <n v="3"/>
    <s v="Dinesh"/>
    <n v="36"/>
    <n v="144.38999999999999"/>
  </r>
  <r>
    <x v="7"/>
    <s v="North"/>
    <s v="Delhi"/>
    <s v="New Delhi"/>
    <x v="2"/>
    <n v="3"/>
    <s v="Pinkesh"/>
    <n v="36"/>
    <n v="144.38999999999999"/>
  </r>
  <r>
    <x v="8"/>
    <s v="North"/>
    <s v="Delhi"/>
    <s v="New Delhi"/>
    <x v="2"/>
    <n v="2"/>
    <s v="Jaykesh"/>
    <n v="20"/>
    <n v="233.75"/>
  </r>
  <r>
    <x v="8"/>
    <s v="North"/>
    <s v="Delhi"/>
    <s v="New Delhi"/>
    <x v="2"/>
    <n v="2"/>
    <s v="vishal"/>
    <n v="20"/>
    <n v="233.75"/>
  </r>
  <r>
    <x v="9"/>
    <s v="West"/>
    <s v="Maharashtra"/>
    <s v="Mumbai"/>
    <x v="1"/>
    <n v="1"/>
    <s v="Raghav"/>
    <n v="26"/>
    <n v="568.54999999999995"/>
  </r>
  <r>
    <x v="10"/>
    <s v="South"/>
    <s v="Tamil Nadu"/>
    <s v="Madurai"/>
    <x v="1"/>
    <n v="1"/>
    <s v="Rajesh"/>
    <n v="48"/>
    <n v="585.58000000000004"/>
  </r>
  <r>
    <x v="11"/>
    <s v="South"/>
    <s v="Karnataka"/>
    <s v="Bengaluru"/>
    <x v="3"/>
    <n v="2"/>
    <s v="Rajesh"/>
    <n v="18"/>
    <n v="296.52999999999997"/>
  </r>
  <r>
    <x v="12"/>
    <s v="South"/>
    <s v="Tamil Nadu"/>
    <s v="Coimbatore"/>
    <x v="4"/>
    <n v="1"/>
    <s v="Kuldeep"/>
    <n v="31"/>
    <n v="632.39"/>
  </r>
  <r>
    <x v="12"/>
    <s v="South"/>
    <s v="Tamil Nadu"/>
    <s v="Coimbatore"/>
    <x v="4"/>
    <n v="1"/>
    <s v="vishal"/>
    <n v="31"/>
    <n v="632.39"/>
  </r>
  <r>
    <x v="13"/>
    <s v="South"/>
    <s v="Tamil Nadu"/>
    <s v="Madurai"/>
    <x v="3"/>
    <n v="1"/>
    <s v="Keshav"/>
    <n v="49"/>
    <n v="648.88"/>
  </r>
  <r>
    <x v="14"/>
    <s v="South"/>
    <s v="Tamil Nadu"/>
    <s v="Chennai"/>
    <x v="2"/>
    <n v="1"/>
    <s v="Priya"/>
    <n v="39"/>
    <n v="696.38"/>
  </r>
  <r>
    <x v="15"/>
    <s v="North"/>
    <s v="Delhi"/>
    <s v="New Delhi"/>
    <x v="0"/>
    <n v="5"/>
    <s v="Pinkesh"/>
    <n v="31"/>
    <n v="143.78"/>
  </r>
  <r>
    <x v="16"/>
    <s v="West"/>
    <s v="Maharashtra"/>
    <s v="Nagpur"/>
    <x v="3"/>
    <n v="3"/>
    <s v="Jaykesh"/>
    <n v="40"/>
    <n v="264.98"/>
  </r>
  <r>
    <x v="17"/>
    <s v="North"/>
    <s v="Delhi"/>
    <s v="New Delhi"/>
    <x v="0"/>
    <n v="1"/>
    <s v="Raghav"/>
    <n v="26"/>
    <n v="840.65"/>
  </r>
  <r>
    <x v="18"/>
    <s v="West"/>
    <s v="Gujarat"/>
    <s v="Ahmedabad"/>
    <x v="4"/>
    <n v="5"/>
    <s v="Jaykesh"/>
    <n v="28"/>
    <n v="172.99"/>
  </r>
  <r>
    <x v="19"/>
    <s v="South"/>
    <s v="Karnataka"/>
    <s v="Hubli"/>
    <x v="1"/>
    <n v="1"/>
    <s v="Raghav"/>
    <n v="25"/>
    <n v="979.17"/>
  </r>
  <r>
    <x v="20"/>
    <s v="West"/>
    <s v="Gujarat"/>
    <s v="Vadodara"/>
    <x v="1"/>
    <n v="1"/>
    <s v="Dinesh"/>
    <n v="51"/>
    <n v="983.24"/>
  </r>
  <r>
    <x v="21"/>
    <s v="North"/>
    <s v="Delhi"/>
    <s v="Dwarka"/>
    <x v="2"/>
    <n v="2"/>
    <s v="Kuldeep"/>
    <n v="31"/>
    <n v="528.62"/>
  </r>
  <r>
    <x v="20"/>
    <s v="West"/>
    <s v="Maharashtra"/>
    <s v="Pune"/>
    <x v="3"/>
    <n v="6"/>
    <s v="Jaykesh"/>
    <n v="53"/>
    <n v="177.34"/>
  </r>
  <r>
    <x v="22"/>
    <s v="North"/>
    <s v="Delhi"/>
    <s v="Dwarka"/>
    <x v="3"/>
    <n v="5"/>
    <s v="Rajesh"/>
    <n v="42"/>
    <n v="214.25"/>
  </r>
  <r>
    <x v="23"/>
    <s v="South"/>
    <s v="Tamil Nadu"/>
    <s v="Chennai"/>
    <x v="0"/>
    <n v="1"/>
    <s v="Dinesh"/>
    <n v="53"/>
    <n v="1094.8800000000001"/>
  </r>
  <r>
    <x v="24"/>
    <s v="South"/>
    <s v="Karnataka"/>
    <s v="Hubli"/>
    <x v="2"/>
    <n v="4"/>
    <s v="Keshav"/>
    <n v="55"/>
    <n v="277.45"/>
  </r>
  <r>
    <x v="25"/>
    <s v="West"/>
    <s v="Gujarat"/>
    <s v="Vadodara"/>
    <x v="1"/>
    <n v="3"/>
    <s v="Pinkesh"/>
    <n v="53"/>
    <n v="403.5"/>
  </r>
  <r>
    <x v="26"/>
    <s v="South"/>
    <s v="Karnataka"/>
    <s v="Bengaluru"/>
    <x v="2"/>
    <n v="1"/>
    <s v="Rajendra"/>
    <n v="39"/>
    <n v="1219.0999999999999"/>
  </r>
  <r>
    <x v="27"/>
    <s v="South"/>
    <s v="Tamil Nadu"/>
    <s v="Madurai"/>
    <x v="0"/>
    <n v="1"/>
    <s v="vishal"/>
    <n v="50"/>
    <n v="1239.25"/>
  </r>
  <r>
    <x v="28"/>
    <s v="West"/>
    <s v="Gujarat"/>
    <s v="Ahmedabad"/>
    <x v="0"/>
    <n v="1"/>
    <s v="Keshav"/>
    <n v="27"/>
    <n v="1286.1099999999999"/>
  </r>
  <r>
    <x v="29"/>
    <s v="South"/>
    <s v="Karnataka"/>
    <s v="Mysuru"/>
    <x v="1"/>
    <n v="2"/>
    <s v="Pinkesh"/>
    <n v="54"/>
    <n v="659.83"/>
  </r>
  <r>
    <x v="30"/>
    <s v="South"/>
    <s v="Tamil Nadu"/>
    <s v="Coimbatore"/>
    <x v="1"/>
    <n v="1"/>
    <s v="Rajesh"/>
    <n v="34"/>
    <n v="1355.14"/>
  </r>
  <r>
    <x v="31"/>
    <s v="North"/>
    <s v="Delhi"/>
    <s v="Dwarka"/>
    <x v="3"/>
    <n v="11"/>
    <s v="Pankaj"/>
    <n v="32"/>
    <n v="124.03"/>
  </r>
  <r>
    <x v="32"/>
    <s v="South"/>
    <s v="Tamil Nadu"/>
    <s v="Chennai"/>
    <x v="4"/>
    <n v="5"/>
    <s v="vishal"/>
    <n v="45"/>
    <n v="278.31"/>
  </r>
  <r>
    <x v="33"/>
    <s v="South"/>
    <s v="Karnataka"/>
    <s v="Bengaluru"/>
    <x v="2"/>
    <n v="3"/>
    <s v="Priya"/>
    <n v="24"/>
    <n v="468.7"/>
  </r>
  <r>
    <x v="15"/>
    <s v="North"/>
    <s v="Delhi"/>
    <s v="New Delhi"/>
    <x v="4"/>
    <n v="1"/>
    <s v="vishal"/>
    <n v="34"/>
    <n v="1410.8"/>
  </r>
  <r>
    <x v="34"/>
    <s v="South"/>
    <s v="Tamil Nadu"/>
    <s v="Chennai"/>
    <x v="4"/>
    <n v="4"/>
    <s v="Keshav"/>
    <n v="25"/>
    <n v="366.33"/>
  </r>
  <r>
    <x v="35"/>
    <s v="West"/>
    <s v="Maharashtra"/>
    <s v="Nagpur"/>
    <x v="3"/>
    <n v="2"/>
    <s v="Rajendra"/>
    <n v="46"/>
    <n v="741.33"/>
  </r>
  <r>
    <x v="19"/>
    <s v="West"/>
    <s v="Maharashtra"/>
    <s v="Pune"/>
    <x v="3"/>
    <n v="1"/>
    <s v="Pinkesh"/>
    <n v="30"/>
    <n v="1520.22"/>
  </r>
  <r>
    <x v="36"/>
    <s v="South"/>
    <s v="Tamil Nadu"/>
    <s v="Chennai"/>
    <x v="2"/>
    <n v="1"/>
    <s v="Pinkesh"/>
    <n v="19"/>
    <n v="1520.97"/>
  </r>
  <r>
    <x v="37"/>
    <s v="South"/>
    <s v="Tamil Nadu"/>
    <s v="Coimbatore"/>
    <x v="1"/>
    <n v="7"/>
    <s v="Pinkesh"/>
    <n v="45"/>
    <n v="222.61"/>
  </r>
  <r>
    <x v="38"/>
    <s v="South"/>
    <s v="Tamil Nadu"/>
    <s v="Chennai"/>
    <x v="0"/>
    <n v="2"/>
    <s v="Pankaj"/>
    <n v="48"/>
    <n v="779.35"/>
  </r>
  <r>
    <x v="39"/>
    <s v="North"/>
    <s v="Delhi"/>
    <s v="Karol Bagh"/>
    <x v="1"/>
    <n v="1"/>
    <s v="Rajesh"/>
    <n v="43"/>
    <n v="1591.88"/>
  </r>
  <r>
    <x v="40"/>
    <s v="South"/>
    <s v="Karnataka"/>
    <s v="Hubli"/>
    <x v="2"/>
    <n v="10"/>
    <s v="Kuldeep"/>
    <n v="31"/>
    <n v="159.27000000000001"/>
  </r>
  <r>
    <x v="41"/>
    <s v="South"/>
    <s v="Tamil Nadu"/>
    <s v="Madurai"/>
    <x v="2"/>
    <n v="11"/>
    <s v="Pankaj"/>
    <n v="24"/>
    <n v="146.47"/>
  </r>
  <r>
    <x v="42"/>
    <s v="West"/>
    <s v="Maharashtra"/>
    <s v="Mumbai"/>
    <x v="3"/>
    <n v="2"/>
    <s v="Pinkesh"/>
    <n v="22"/>
    <n v="816.12"/>
  </r>
  <r>
    <x v="43"/>
    <s v="North"/>
    <s v="Delhi"/>
    <s v="New Delhi"/>
    <x v="0"/>
    <n v="5"/>
    <s v="Priya"/>
    <n v="30"/>
    <n v="334.29"/>
  </r>
  <r>
    <x v="44"/>
    <s v="South"/>
    <s v="Tamil Nadu"/>
    <s v="Madurai"/>
    <x v="0"/>
    <n v="4"/>
    <s v="Jaykesh"/>
    <n v="46"/>
    <n v="430.91"/>
  </r>
  <r>
    <x v="45"/>
    <s v="North"/>
    <s v="Delhi"/>
    <s v="New Delhi"/>
    <x v="0"/>
    <n v="4"/>
    <s v="Keshav"/>
    <n v="31"/>
    <n v="431.75"/>
  </r>
  <r>
    <x v="46"/>
    <s v="North"/>
    <s v="Delhi"/>
    <s v="New Delhi"/>
    <x v="2"/>
    <n v="7"/>
    <s v="Rajendra"/>
    <n v="48"/>
    <n v="252.75"/>
  </r>
  <r>
    <x v="47"/>
    <s v="North"/>
    <s v="Delhi"/>
    <s v="Dwarka"/>
    <x v="2"/>
    <n v="1"/>
    <s v="Rajendra"/>
    <n v="18"/>
    <n v="1793.18"/>
  </r>
  <r>
    <x v="14"/>
    <s v="South"/>
    <s v="Karnataka"/>
    <s v="Bengaluru"/>
    <x v="2"/>
    <n v="9"/>
    <s v="Rajendra"/>
    <n v="31"/>
    <n v="203.38"/>
  </r>
  <r>
    <x v="48"/>
    <s v="West"/>
    <s v="Maharashtra"/>
    <s v="Pune"/>
    <x v="0"/>
    <n v="1"/>
    <s v="Rajendra"/>
    <n v="41"/>
    <n v="1889.5"/>
  </r>
  <r>
    <x v="49"/>
    <s v="West"/>
    <s v="Gujarat"/>
    <s v="Ahmedabad"/>
    <x v="4"/>
    <n v="1"/>
    <s v="Priya"/>
    <n v="46"/>
    <n v="1898.15"/>
  </r>
  <r>
    <x v="50"/>
    <s v="South"/>
    <s v="Karnataka"/>
    <s v="Bengaluru"/>
    <x v="2"/>
    <n v="8"/>
    <s v="Rajendra"/>
    <n v="16"/>
    <n v="244.6"/>
  </r>
  <r>
    <x v="51"/>
    <s v="North"/>
    <s v="Delhi"/>
    <s v="New Delhi"/>
    <x v="1"/>
    <n v="1"/>
    <s v="Pinkesh"/>
    <n v="23"/>
    <n v="1967.8"/>
  </r>
  <r>
    <x v="52"/>
    <s v="West"/>
    <s v="Gujarat"/>
    <s v="Vadodara"/>
    <x v="4"/>
    <n v="7"/>
    <s v="Rajesh"/>
    <n v="34"/>
    <n v="281.29000000000002"/>
  </r>
  <r>
    <x v="53"/>
    <s v="North"/>
    <s v="Delhi"/>
    <s v="Karol Bagh"/>
    <x v="0"/>
    <n v="1"/>
    <s v="vishal"/>
    <n v="52"/>
    <n v="1981.82"/>
  </r>
  <r>
    <x v="54"/>
    <s v="West"/>
    <s v="Maharashtra"/>
    <s v="Pune"/>
    <x v="0"/>
    <n v="1"/>
    <s v="Kuldeep"/>
    <n v="45"/>
    <n v="1999.98"/>
  </r>
  <r>
    <x v="55"/>
    <s v="South"/>
    <s v="Karnataka"/>
    <s v="Mysuru"/>
    <x v="2"/>
    <n v="9"/>
    <s v="Keshav"/>
    <n v="52"/>
    <n v="228.49"/>
  </r>
  <r>
    <x v="56"/>
    <s v="South"/>
    <s v="Tamil Nadu"/>
    <s v="Coimbatore"/>
    <x v="3"/>
    <n v="7"/>
    <s v="Priya"/>
    <n v="34"/>
    <n v="299.68"/>
  </r>
  <r>
    <x v="57"/>
    <s v="South"/>
    <s v="Karnataka"/>
    <s v="Bengaluru"/>
    <x v="3"/>
    <n v="2"/>
    <s v="Priya"/>
    <n v="34"/>
    <n v="1063.3499999999999"/>
  </r>
  <r>
    <x v="58"/>
    <s v="North"/>
    <s v="Delhi"/>
    <s v="Dwarka"/>
    <x v="0"/>
    <n v="5"/>
    <s v="Kuldeep"/>
    <n v="24"/>
    <n v="438.69"/>
  </r>
  <r>
    <x v="32"/>
    <s v="South"/>
    <s v="Karnataka"/>
    <s v="Bengaluru"/>
    <x v="4"/>
    <n v="10"/>
    <s v="Jaykesh"/>
    <n v="20"/>
    <n v="222.55"/>
  </r>
  <r>
    <x v="59"/>
    <s v="West"/>
    <s v="Gujarat"/>
    <s v="Vadodara"/>
    <x v="3"/>
    <n v="12"/>
    <s v="Priya"/>
    <n v="44"/>
    <n v="186.62"/>
  </r>
  <r>
    <x v="60"/>
    <s v="West"/>
    <s v="Gujarat"/>
    <s v="Surat"/>
    <x v="4"/>
    <n v="8"/>
    <s v="Keshav"/>
    <n v="17"/>
    <n v="285.94"/>
  </r>
  <r>
    <x v="61"/>
    <s v="West"/>
    <s v="Gujarat"/>
    <s v="Surat"/>
    <x v="4"/>
    <n v="8"/>
    <s v="Rajendra"/>
    <n v="17"/>
    <n v="285.94"/>
  </r>
  <r>
    <x v="62"/>
    <s v="South"/>
    <s v="Karnataka"/>
    <s v="Bengaluru"/>
    <x v="1"/>
    <n v="3"/>
    <s v="Rajendra"/>
    <n v="53"/>
    <n v="772.21"/>
  </r>
  <r>
    <x v="63"/>
    <s v="West"/>
    <s v="Maharashtra"/>
    <s v="Pune"/>
    <x v="4"/>
    <n v="11"/>
    <s v="Dinesh"/>
    <n v="23"/>
    <n v="212.86"/>
  </r>
  <r>
    <x v="64"/>
    <s v="South"/>
    <s v="Karnataka"/>
    <s v="Mysuru"/>
    <x v="3"/>
    <n v="5"/>
    <s v="Kuldeep"/>
    <n v="54"/>
    <n v="491.78"/>
  </r>
  <r>
    <x v="65"/>
    <s v="North"/>
    <s v="Delhi"/>
    <s v="Karol Bagh"/>
    <x v="2"/>
    <n v="1"/>
    <s v="Jaykesh"/>
    <n v="49"/>
    <n v="2466.0100000000002"/>
  </r>
  <r>
    <x v="66"/>
    <s v="South"/>
    <s v="Tamil Nadu"/>
    <s v="Madurai"/>
    <x v="1"/>
    <n v="8"/>
    <s v="Rajendra"/>
    <n v="25"/>
    <n v="308.68"/>
  </r>
  <r>
    <x v="49"/>
    <s v="North"/>
    <s v="Delhi"/>
    <s v="Dwarka"/>
    <x v="4"/>
    <n v="1"/>
    <s v="Raghav"/>
    <n v="25"/>
    <n v="2489.17"/>
  </r>
  <r>
    <x v="67"/>
    <s v="West"/>
    <s v="Maharashtra"/>
    <s v="Pune"/>
    <x v="2"/>
    <n v="1"/>
    <s v="Kuldeep"/>
    <n v="27"/>
    <n v="2517.3200000000002"/>
  </r>
  <r>
    <x v="68"/>
    <s v="North"/>
    <s v="Delhi"/>
    <s v="Dwarka"/>
    <x v="0"/>
    <n v="8"/>
    <s v="Raghav"/>
    <n v="50"/>
    <n v="315"/>
  </r>
  <r>
    <x v="69"/>
    <s v="South"/>
    <s v="Tamil Nadu"/>
    <s v="Chennai"/>
    <x v="3"/>
    <n v="4"/>
    <s v="Pinkesh"/>
    <n v="54"/>
    <n v="637.89"/>
  </r>
  <r>
    <x v="70"/>
    <s v="South"/>
    <s v="Tamil Nadu"/>
    <s v="Chennai"/>
    <x v="1"/>
    <n v="15"/>
    <s v="Priya"/>
    <n v="42"/>
    <n v="170.6"/>
  </r>
  <r>
    <x v="71"/>
    <s v="West"/>
    <s v="Gujarat"/>
    <s v="Vadodara"/>
    <x v="1"/>
    <n v="1"/>
    <s v="Priya"/>
    <n v="18"/>
    <n v="2571.59"/>
  </r>
  <r>
    <x v="37"/>
    <s v="West"/>
    <s v="Gujarat"/>
    <s v="Vadodara"/>
    <x v="4"/>
    <n v="2"/>
    <s v="Priya"/>
    <n v="54"/>
    <n v="1316.79"/>
  </r>
  <r>
    <x v="72"/>
    <s v="North"/>
    <s v="Delhi"/>
    <s v="Dwarka"/>
    <x v="4"/>
    <n v="14"/>
    <s v="Priya"/>
    <n v="43"/>
    <n v="188.94"/>
  </r>
  <r>
    <x v="73"/>
    <s v="West"/>
    <s v="Gujarat"/>
    <s v="Ahmedabad"/>
    <x v="1"/>
    <n v="3"/>
    <s v="Kuldeep"/>
    <n v="41"/>
    <n v="884.5"/>
  </r>
  <r>
    <x v="74"/>
    <s v="South"/>
    <s v="Tamil Nadu"/>
    <s v="Coimbatore"/>
    <x v="3"/>
    <n v="1"/>
    <s v="Pankaj"/>
    <n v="37"/>
    <n v="2664.84"/>
  </r>
  <r>
    <x v="25"/>
    <s v="South"/>
    <s v="Karnataka"/>
    <s v="Mysuru"/>
    <x v="1"/>
    <n v="1"/>
    <s v="Raghav"/>
    <n v="36"/>
    <n v="2710.27"/>
  </r>
  <r>
    <x v="75"/>
    <s v="North"/>
    <s v="Delhi"/>
    <s v="Karol Bagh"/>
    <x v="2"/>
    <n v="12"/>
    <s v="Raghav"/>
    <n v="41"/>
    <n v="225.88"/>
  </r>
  <r>
    <x v="76"/>
    <s v="West"/>
    <s v="Gujarat"/>
    <s v="Surat"/>
    <x v="2"/>
    <n v="1"/>
    <s v="Raghav"/>
    <n v="23"/>
    <n v="2716.98"/>
  </r>
  <r>
    <x v="77"/>
    <s v="West"/>
    <s v="Maharashtra"/>
    <s v="Nagpur"/>
    <x v="2"/>
    <n v="7"/>
    <s v="Pinkesh"/>
    <n v="27"/>
    <n v="392.9"/>
  </r>
  <r>
    <x v="78"/>
    <s v="West"/>
    <s v="Maharashtra"/>
    <s v="Mumbai"/>
    <x v="4"/>
    <n v="2"/>
    <s v="Raghav"/>
    <n v="45"/>
    <n v="1377.64"/>
  </r>
  <r>
    <x v="79"/>
    <s v="North"/>
    <s v="Delhi"/>
    <s v="Dwarka"/>
    <x v="4"/>
    <n v="4"/>
    <s v="Pankaj"/>
    <n v="45"/>
    <n v="700.07"/>
  </r>
  <r>
    <x v="80"/>
    <s v="West"/>
    <s v="Gujarat"/>
    <s v="Ahmedabad"/>
    <x v="0"/>
    <n v="11"/>
    <s v="Dinesh"/>
    <n v="50"/>
    <n v="255.3"/>
  </r>
  <r>
    <x v="54"/>
    <s v="West"/>
    <s v="Gujarat"/>
    <s v="Ahmedabad"/>
    <x v="3"/>
    <n v="11"/>
    <s v="Pankaj"/>
    <n v="50"/>
    <n v="255.3"/>
  </r>
  <r>
    <x v="81"/>
    <s v="South"/>
    <s v="Tamil Nadu"/>
    <s v="Madurai"/>
    <x v="1"/>
    <n v="3"/>
    <s v="Pankaj"/>
    <n v="52"/>
    <n v="938.33"/>
  </r>
  <r>
    <x v="82"/>
    <s v="South"/>
    <s v="Karnataka"/>
    <s v="Mysuru"/>
    <x v="3"/>
    <n v="7"/>
    <s v="vishal"/>
    <n v="24"/>
    <n v="410.28"/>
  </r>
  <r>
    <x v="83"/>
    <s v="South"/>
    <s v="Karnataka"/>
    <s v="Bengaluru"/>
    <x v="4"/>
    <n v="4"/>
    <s v="Priya"/>
    <n v="45"/>
    <n v="722.05"/>
  </r>
  <r>
    <x v="34"/>
    <s v="South"/>
    <s v="Tamil Nadu"/>
    <s v="Coimbatore"/>
    <x v="0"/>
    <n v="6"/>
    <s v="Kuldeep"/>
    <n v="55"/>
    <n v="484.95"/>
  </r>
  <r>
    <x v="84"/>
    <s v="South"/>
    <s v="Karnataka"/>
    <s v="Hubli"/>
    <x v="3"/>
    <n v="11"/>
    <s v="Keshav"/>
    <n v="37"/>
    <n v="268.13"/>
  </r>
  <r>
    <x v="85"/>
    <s v="South"/>
    <s v="Karnataka"/>
    <s v="Bengaluru"/>
    <x v="1"/>
    <n v="8"/>
    <s v="Rajendra"/>
    <n v="16"/>
    <n v="372.22"/>
  </r>
  <r>
    <x v="86"/>
    <s v="South"/>
    <s v="Karnataka"/>
    <s v="Hubli"/>
    <x v="2"/>
    <n v="1"/>
    <s v="Rajesh"/>
    <n v="33"/>
    <n v="3042.8"/>
  </r>
  <r>
    <x v="87"/>
    <s v="West"/>
    <s v="Maharashtra"/>
    <s v="Mumbai"/>
    <x v="4"/>
    <n v="1"/>
    <s v="Raghav"/>
    <n v="35"/>
    <n v="3059.01"/>
  </r>
  <r>
    <x v="88"/>
    <s v="West"/>
    <s v="Gujarat"/>
    <s v="Ahmedabad"/>
    <x v="1"/>
    <n v="12"/>
    <s v="Priya"/>
    <n v="22"/>
    <n v="255.59"/>
  </r>
  <r>
    <x v="89"/>
    <s v="South"/>
    <s v="Karnataka"/>
    <s v="Mysuru"/>
    <x v="0"/>
    <n v="3"/>
    <s v="Rajendra"/>
    <n v="48"/>
    <n v="1043.3900000000001"/>
  </r>
  <r>
    <x v="90"/>
    <s v="South"/>
    <s v="Tamil Nadu"/>
    <s v="Coimbatore"/>
    <x v="4"/>
    <n v="3"/>
    <s v="Kuldeep"/>
    <n v="20"/>
    <n v="1046.06"/>
  </r>
  <r>
    <x v="38"/>
    <s v="South"/>
    <s v="Tamil Nadu"/>
    <s v="Chennai"/>
    <x v="3"/>
    <n v="2"/>
    <s v="Kuldeep"/>
    <n v="42"/>
    <n v="1582.65"/>
  </r>
  <r>
    <x v="91"/>
    <s v="North"/>
    <s v="Delhi"/>
    <s v="Karol Bagh"/>
    <x v="2"/>
    <n v="16"/>
    <s v="Rajendra"/>
    <n v="35"/>
    <n v="199.87"/>
  </r>
  <r>
    <x v="92"/>
    <s v="South"/>
    <s v="Tamil Nadu"/>
    <s v="Madurai"/>
    <x v="0"/>
    <n v="3"/>
    <s v="Rajesh"/>
    <n v="35"/>
    <n v="1076.57"/>
  </r>
  <r>
    <x v="93"/>
    <s v="West"/>
    <s v="Gujarat"/>
    <s v="Vadodara"/>
    <x v="2"/>
    <n v="2"/>
    <s v="Raghav"/>
    <n v="28"/>
    <n v="1673.1"/>
  </r>
  <r>
    <x v="94"/>
    <s v="South"/>
    <s v="Karnataka"/>
    <s v="Mysuru"/>
    <x v="4"/>
    <n v="1"/>
    <s v="Dinesh"/>
    <n v="51"/>
    <n v="3374.31"/>
  </r>
  <r>
    <x v="95"/>
    <s v="West"/>
    <s v="Gujarat"/>
    <s v="Surat"/>
    <x v="0"/>
    <n v="3"/>
    <s v="Pankaj"/>
    <n v="48"/>
    <n v="1129.83"/>
  </r>
  <r>
    <x v="96"/>
    <s v="West"/>
    <s v="Maharashtra"/>
    <s v="Nagpur"/>
    <x v="4"/>
    <n v="2"/>
    <s v="Pankaj"/>
    <n v="27"/>
    <n v="1695.6"/>
  </r>
  <r>
    <x v="97"/>
    <s v="West"/>
    <s v="Maharashtra"/>
    <s v="Nagpur"/>
    <x v="2"/>
    <n v="12"/>
    <s v="Priya"/>
    <n v="49"/>
    <n v="283.86"/>
  </r>
  <r>
    <x v="78"/>
    <s v="South"/>
    <s v="Karnataka"/>
    <s v="Mysuru"/>
    <x v="4"/>
    <n v="3"/>
    <s v="Pinkesh"/>
    <n v="28"/>
    <n v="1139.5899999999999"/>
  </r>
  <r>
    <x v="98"/>
    <s v="West"/>
    <s v="Maharashtra"/>
    <s v="Pune"/>
    <x v="2"/>
    <n v="19"/>
    <s v="Rajendra"/>
    <n v="41"/>
    <n v="182.01"/>
  </r>
  <r>
    <x v="20"/>
    <s v="West"/>
    <s v="Maharashtra"/>
    <s v="Pune"/>
    <x v="0"/>
    <n v="1"/>
    <s v="Kuldeep"/>
    <n v="50"/>
    <n v="3459.33"/>
  </r>
  <r>
    <x v="45"/>
    <s v="South"/>
    <s v="Tamil Nadu"/>
    <s v="Madurai"/>
    <x v="0"/>
    <n v="5"/>
    <s v="Priya"/>
    <n v="24"/>
    <n v="695.3"/>
  </r>
  <r>
    <x v="3"/>
    <s v="West"/>
    <s v="Gujarat"/>
    <s v="Surat"/>
    <x v="1"/>
    <n v="5"/>
    <s v="Raghav"/>
    <n v="33"/>
    <n v="714.68"/>
  </r>
  <r>
    <x v="99"/>
    <s v="South"/>
    <s v="Tamil Nadu"/>
    <s v="Chennai"/>
    <x v="2"/>
    <n v="3"/>
    <s v="Rajendra"/>
    <n v="49"/>
    <n v="1205.6199999999999"/>
  </r>
  <r>
    <x v="100"/>
    <s v="South"/>
    <s v="Karnataka"/>
    <s v="Bengaluru"/>
    <x v="2"/>
    <n v="2"/>
    <s v="Kuldeep"/>
    <n v="54"/>
    <n v="1827.28"/>
  </r>
  <r>
    <x v="90"/>
    <s v="West"/>
    <s v="Gujarat"/>
    <s v="Surat"/>
    <x v="2"/>
    <n v="1"/>
    <s v="Rajendra"/>
    <n v="50"/>
    <n v="3658.84"/>
  </r>
  <r>
    <x v="101"/>
    <s v="West"/>
    <s v="Maharashtra"/>
    <s v="Nagpur"/>
    <x v="2"/>
    <n v="11"/>
    <s v="Rajendra"/>
    <n v="28"/>
    <n v="335.31"/>
  </r>
  <r>
    <x v="102"/>
    <s v="West"/>
    <s v="Maharashtra"/>
    <s v="Pune"/>
    <x v="0"/>
    <n v="1"/>
    <s v="Dinesh"/>
    <n v="45"/>
    <n v="3698.2"/>
  </r>
  <r>
    <x v="103"/>
    <s v="South"/>
    <s v="Tamil Nadu"/>
    <s v="Coimbatore"/>
    <x v="4"/>
    <n v="14"/>
    <s v="Pinkesh"/>
    <n v="41"/>
    <n v="264.60000000000002"/>
  </r>
  <r>
    <x v="42"/>
    <s v="South"/>
    <s v="Tamil Nadu"/>
    <s v="Coimbatore"/>
    <x v="4"/>
    <n v="1"/>
    <s v="Raghav"/>
    <n v="38"/>
    <n v="3734.74"/>
  </r>
  <r>
    <x v="104"/>
    <s v="North"/>
    <s v="Delhi"/>
    <s v="Dwarka"/>
    <x v="4"/>
    <n v="10"/>
    <s v="Rajendra"/>
    <n v="30"/>
    <n v="373.54"/>
  </r>
  <r>
    <x v="71"/>
    <s v="South"/>
    <s v="Karnataka"/>
    <s v="Hubli"/>
    <x v="3"/>
    <n v="1"/>
    <s v="Jaykesh"/>
    <n v="49"/>
    <n v="3754.28"/>
  </r>
  <r>
    <x v="105"/>
    <s v="South"/>
    <s v="Karnataka"/>
    <s v="Hubli"/>
    <x v="0"/>
    <n v="2"/>
    <s v="Dinesh"/>
    <n v="35"/>
    <n v="1888.47"/>
  </r>
  <r>
    <x v="106"/>
    <s v="North"/>
    <s v="Delhi"/>
    <s v="Karol Bagh"/>
    <x v="3"/>
    <n v="1"/>
    <s v="Pinkesh"/>
    <n v="35"/>
    <n v="3781.47"/>
  </r>
  <r>
    <x v="107"/>
    <s v="North"/>
    <s v="Delhi"/>
    <s v="New Delhi"/>
    <x v="4"/>
    <n v="4"/>
    <s v="Keshav"/>
    <n v="28"/>
    <n v="961.38"/>
  </r>
  <r>
    <x v="108"/>
    <s v="North"/>
    <s v="Delhi"/>
    <s v="New Delhi"/>
    <x v="4"/>
    <n v="4"/>
    <s v="Rajendra"/>
    <n v="28"/>
    <n v="961.38"/>
  </r>
  <r>
    <x v="109"/>
    <s v="West"/>
    <s v="Maharashtra"/>
    <s v="Mumbai"/>
    <x v="2"/>
    <n v="1"/>
    <s v="Rajesh"/>
    <n v="34"/>
    <n v="3847.65"/>
  </r>
  <r>
    <x v="9"/>
    <s v="West"/>
    <s v="Gujarat"/>
    <s v="Surat"/>
    <x v="1"/>
    <n v="2"/>
    <s v="vishal"/>
    <n v="49"/>
    <n v="1971"/>
  </r>
  <r>
    <x v="110"/>
    <s v="South"/>
    <s v="Karnataka"/>
    <s v="Bengaluru"/>
    <x v="2"/>
    <n v="1"/>
    <s v="Dinesh"/>
    <n v="20"/>
    <n v="3964.08"/>
  </r>
  <r>
    <x v="111"/>
    <s v="South"/>
    <s v="Tamil Nadu"/>
    <s v="Madurai"/>
    <x v="0"/>
    <n v="1"/>
    <s v="Pankaj"/>
    <n v="43"/>
    <n v="3964.37"/>
  </r>
  <r>
    <x v="112"/>
    <s v="South"/>
    <s v="Tamil Nadu"/>
    <s v="Coimbatore"/>
    <x v="1"/>
    <n v="2"/>
    <s v="Keshav"/>
    <n v="16"/>
    <n v="1983.93"/>
  </r>
  <r>
    <x v="113"/>
    <s v="South"/>
    <s v="Tamil Nadu"/>
    <s v="Coimbatore"/>
    <x v="1"/>
    <n v="2"/>
    <s v="Rajendra"/>
    <n v="16"/>
    <n v="1983.93"/>
  </r>
  <r>
    <x v="47"/>
    <s v="West"/>
    <s v="Gujarat"/>
    <s v="Ahmedabad"/>
    <x v="0"/>
    <n v="14"/>
    <s v="Rajendra"/>
    <n v="31"/>
    <n v="283.7"/>
  </r>
  <r>
    <x v="114"/>
    <s v="West"/>
    <s v="Maharashtra"/>
    <s v="Mumbai"/>
    <x v="0"/>
    <n v="5"/>
    <s v="Rajendra"/>
    <n v="32"/>
    <n v="800.88"/>
  </r>
  <r>
    <x v="115"/>
    <s v="North"/>
    <s v="Delhi"/>
    <s v="New Delhi"/>
    <x v="1"/>
    <n v="4"/>
    <s v="Kuldeep"/>
    <n v="42"/>
    <n v="1020.23"/>
  </r>
  <r>
    <x v="116"/>
    <s v="North"/>
    <s v="Delhi"/>
    <s v="New Delhi"/>
    <x v="1"/>
    <n v="4"/>
    <s v="Priya"/>
    <n v="42"/>
    <n v="1020.23"/>
  </r>
  <r>
    <x v="117"/>
    <s v="North"/>
    <s v="Delhi"/>
    <s v="New Delhi"/>
    <x v="3"/>
    <n v="9"/>
    <s v="Priya"/>
    <n v="19"/>
    <n v="455.98"/>
  </r>
  <r>
    <x v="118"/>
    <s v="West"/>
    <s v="Gujarat"/>
    <s v="Surat"/>
    <x v="1"/>
    <n v="4"/>
    <s v="Rajesh"/>
    <n v="46"/>
    <n v="1027.32"/>
  </r>
  <r>
    <x v="103"/>
    <s v="West"/>
    <s v="Gujarat"/>
    <s v="Surat"/>
    <x v="4"/>
    <n v="1"/>
    <s v="Jaykesh"/>
    <n v="51"/>
    <n v="4117.97"/>
  </r>
  <r>
    <x v="52"/>
    <s v="West"/>
    <s v="Maharashtra"/>
    <s v="Mumbai"/>
    <x v="1"/>
    <n v="6"/>
    <s v="Rajendra"/>
    <n v="44"/>
    <n v="686.38"/>
  </r>
  <r>
    <x v="119"/>
    <s v="North"/>
    <s v="Delhi"/>
    <s v="Karol Bagh"/>
    <x v="1"/>
    <n v="11"/>
    <s v="vishal"/>
    <n v="49"/>
    <n v="377.1"/>
  </r>
  <r>
    <x v="120"/>
    <s v="South"/>
    <s v="Karnataka"/>
    <s v="Bengaluru"/>
    <x v="2"/>
    <n v="2"/>
    <s v="Rajesh"/>
    <n v="21"/>
    <n v="2087.14"/>
  </r>
  <r>
    <x v="121"/>
    <s v="West"/>
    <s v="Gujarat"/>
    <s v="Ahmedabad"/>
    <x v="0"/>
    <n v="14"/>
    <s v="Rajesh"/>
    <n v="51"/>
    <n v="298.99"/>
  </r>
  <r>
    <x v="74"/>
    <s v="North"/>
    <s v="Delhi"/>
    <s v="Karol Bagh"/>
    <x v="1"/>
    <n v="2"/>
    <s v="Keshav"/>
    <n v="50"/>
    <n v="2119.5100000000002"/>
  </r>
  <r>
    <x v="85"/>
    <s v="South"/>
    <s v="Karnataka"/>
    <s v="Mysuru"/>
    <x v="3"/>
    <n v="10"/>
    <s v="Priya"/>
    <n v="45"/>
    <n v="429.69"/>
  </r>
  <r>
    <x v="85"/>
    <s v="West"/>
    <s v="Maharashtra"/>
    <s v="Mumbai"/>
    <x v="0"/>
    <n v="4"/>
    <s v="Raghav"/>
    <n v="40"/>
    <n v="1080.1600000000001"/>
  </r>
  <r>
    <x v="122"/>
    <s v="West"/>
    <s v="Gujarat"/>
    <s v="Vadodara"/>
    <x v="3"/>
    <n v="2"/>
    <s v="Priya"/>
    <n v="46"/>
    <n v="2171.79"/>
  </r>
  <r>
    <x v="123"/>
    <s v="West"/>
    <s v="Gujarat"/>
    <s v="Ahmedabad"/>
    <x v="0"/>
    <n v="5"/>
    <s v="Priya"/>
    <n v="36"/>
    <n v="877.62"/>
  </r>
  <r>
    <x v="124"/>
    <s v="West"/>
    <s v="Gujarat"/>
    <s v="Surat"/>
    <x v="0"/>
    <n v="5"/>
    <s v="Rajesh"/>
    <n v="52"/>
    <n v="879.82"/>
  </r>
  <r>
    <x v="125"/>
    <s v="West"/>
    <s v="Maharashtra"/>
    <s v="Mumbai"/>
    <x v="4"/>
    <n v="9"/>
    <s v="Rajesh"/>
    <n v="21"/>
    <n v="489.27"/>
  </r>
  <r>
    <x v="126"/>
    <s v="West"/>
    <s v="Maharashtra"/>
    <s v="Mumbai"/>
    <x v="4"/>
    <n v="9"/>
    <s v="Rajesh"/>
    <n v="21"/>
    <n v="489.27"/>
  </r>
  <r>
    <x v="127"/>
    <s v="South"/>
    <s v="Tamil Nadu"/>
    <s v="Coimbatore"/>
    <x v="1"/>
    <n v="9"/>
    <s v="vishal"/>
    <n v="20"/>
    <n v="491.64"/>
  </r>
  <r>
    <x v="20"/>
    <s v="South"/>
    <s v="Karnataka"/>
    <s v="Mysuru"/>
    <x v="3"/>
    <n v="7"/>
    <s v="Kuldeep"/>
    <n v="55"/>
    <n v="633.15"/>
  </r>
  <r>
    <x v="54"/>
    <s v="South"/>
    <s v="Tamil Nadu"/>
    <s v="Coimbatore"/>
    <x v="2"/>
    <n v="1"/>
    <s v="vishal"/>
    <n v="22"/>
    <n v="4443.22"/>
  </r>
  <r>
    <x v="128"/>
    <s v="West"/>
    <s v="Gujarat"/>
    <s v="Ahmedabad"/>
    <x v="0"/>
    <n v="6"/>
    <s v="Keshav"/>
    <n v="42"/>
    <n v="744.85"/>
  </r>
  <r>
    <x v="44"/>
    <s v="West"/>
    <s v="Gujarat"/>
    <s v="Ahmedabad"/>
    <x v="3"/>
    <n v="2"/>
    <s v="Priya"/>
    <n v="33"/>
    <n v="2238.46"/>
  </r>
  <r>
    <x v="101"/>
    <s v="South"/>
    <s v="Tamil Nadu"/>
    <s v="Chennai"/>
    <x v="4"/>
    <n v="8"/>
    <s v="Keshav"/>
    <n v="54"/>
    <n v="562.98"/>
  </r>
  <r>
    <x v="11"/>
    <s v="North"/>
    <s v="Delhi"/>
    <s v="Karol Bagh"/>
    <x v="3"/>
    <n v="1"/>
    <s v="Raghav"/>
    <n v="55"/>
    <n v="4511.88"/>
  </r>
  <r>
    <x v="129"/>
    <s v="North"/>
    <s v="Delhi"/>
    <s v="Karol Bagh"/>
    <x v="1"/>
    <n v="4"/>
    <s v="Rajendra"/>
    <n v="50"/>
    <n v="1128.8900000000001"/>
  </r>
  <r>
    <x v="130"/>
    <s v="West"/>
    <s v="Gujarat"/>
    <s v="Vadodara"/>
    <x v="2"/>
    <n v="1"/>
    <s v="Priya"/>
    <n v="39"/>
    <n v="4557.0600000000004"/>
  </r>
  <r>
    <x v="131"/>
    <s v="West"/>
    <s v="Gujarat"/>
    <s v="Vadodara"/>
    <x v="2"/>
    <n v="1"/>
    <s v="Priya"/>
    <n v="39"/>
    <n v="4557.0600000000004"/>
  </r>
  <r>
    <x v="132"/>
    <s v="North"/>
    <s v="Delhi"/>
    <s v="Dwarka"/>
    <x v="1"/>
    <n v="5"/>
    <s v="Rajesh"/>
    <n v="33"/>
    <n v="912.33"/>
  </r>
  <r>
    <x v="133"/>
    <s v="South"/>
    <s v="Karnataka"/>
    <s v="Bengaluru"/>
    <x v="1"/>
    <n v="2"/>
    <s v="Kuldeep"/>
    <n v="33"/>
    <n v="2287.09"/>
  </r>
  <r>
    <x v="134"/>
    <s v="South"/>
    <s v="Karnataka"/>
    <s v="Bengaluru"/>
    <x v="1"/>
    <n v="2"/>
    <s v="Priya"/>
    <n v="33"/>
    <n v="2287.09"/>
  </r>
  <r>
    <x v="135"/>
    <s v="South"/>
    <s v="Karnataka"/>
    <s v="Mysuru"/>
    <x v="0"/>
    <n v="17"/>
    <s v="Rajendra"/>
    <n v="22"/>
    <n v="269.7"/>
  </r>
  <r>
    <x v="136"/>
    <s v="North"/>
    <s v="Delhi"/>
    <s v="New Delhi"/>
    <x v="1"/>
    <n v="4"/>
    <s v="Raghav"/>
    <n v="22"/>
    <n v="1147.06"/>
  </r>
  <r>
    <x v="137"/>
    <s v="West"/>
    <s v="Maharashtra"/>
    <s v="Nagpur"/>
    <x v="3"/>
    <n v="1"/>
    <s v="Dinesh"/>
    <n v="52"/>
    <n v="4640.17"/>
  </r>
  <r>
    <x v="5"/>
    <s v="South"/>
    <s v="Karnataka"/>
    <s v="Bengaluru"/>
    <x v="1"/>
    <n v="9"/>
    <s v="Pinkesh"/>
    <n v="23"/>
    <n v="515.97"/>
  </r>
  <r>
    <x v="138"/>
    <s v="West"/>
    <s v="Maharashtra"/>
    <s v="Nagpur"/>
    <x v="2"/>
    <n v="1"/>
    <s v="Pankaj"/>
    <n v="47"/>
    <n v="4681.07"/>
  </r>
  <r>
    <x v="36"/>
    <s v="South"/>
    <s v="Tamil Nadu"/>
    <s v="Coimbatore"/>
    <x v="1"/>
    <n v="18"/>
    <s v="Dinesh"/>
    <n v="46"/>
    <n v="262.12"/>
  </r>
  <r>
    <x v="132"/>
    <s v="North"/>
    <s v="Delhi"/>
    <s v="Dwarka"/>
    <x v="1"/>
    <n v="4"/>
    <s v="Keshav"/>
    <n v="42"/>
    <n v="1181.3900000000001"/>
  </r>
  <r>
    <x v="23"/>
    <s v="South"/>
    <s v="Tamil Nadu"/>
    <s v="Madurai"/>
    <x v="3"/>
    <n v="3"/>
    <s v="Rajendra"/>
    <n v="48"/>
    <n v="1577.9"/>
  </r>
  <r>
    <x v="139"/>
    <s v="South"/>
    <s v="Tamil Nadu"/>
    <s v="Coimbatore"/>
    <x v="4"/>
    <n v="8"/>
    <s v="Dinesh"/>
    <n v="55"/>
    <n v="592.82000000000005"/>
  </r>
  <r>
    <x v="140"/>
    <s v="North"/>
    <s v="Delhi"/>
    <s v="Karol Bagh"/>
    <x v="2"/>
    <n v="15"/>
    <s v="Pinkesh"/>
    <n v="37"/>
    <n v="318.32"/>
  </r>
  <r>
    <x v="13"/>
    <s v="West"/>
    <s v="Gujarat"/>
    <s v="Ahmedabad"/>
    <x v="4"/>
    <n v="2"/>
    <s v="Pinkesh"/>
    <n v="44"/>
    <n v="2400.5500000000002"/>
  </r>
  <r>
    <x v="141"/>
    <s v="West"/>
    <s v="Maharashtra"/>
    <s v="Pune"/>
    <x v="0"/>
    <n v="2"/>
    <s v="Jaykesh"/>
    <n v="44"/>
    <n v="2402.5700000000002"/>
  </r>
  <r>
    <x v="142"/>
    <s v="North"/>
    <s v="Delhi"/>
    <s v="Karol Bagh"/>
    <x v="3"/>
    <n v="1"/>
    <s v="Rajesh"/>
    <n v="33"/>
    <n v="4815.0600000000004"/>
  </r>
  <r>
    <x v="143"/>
    <s v="West"/>
    <s v="Gujarat"/>
    <s v="Surat"/>
    <x v="1"/>
    <n v="4"/>
    <s v="Raghav"/>
    <n v="48"/>
    <n v="1208.21"/>
  </r>
  <r>
    <x v="144"/>
    <s v="North"/>
    <s v="Delhi"/>
    <s v="Dwarka"/>
    <x v="1"/>
    <n v="5"/>
    <s v="Rajendra"/>
    <n v="44"/>
    <n v="968.86"/>
  </r>
  <r>
    <x v="145"/>
    <s v="North"/>
    <s v="Delhi"/>
    <s v="Karol Bagh"/>
    <x v="4"/>
    <n v="1"/>
    <s v="Keshav"/>
    <n v="35"/>
    <n v="4859.6499999999996"/>
  </r>
  <r>
    <x v="138"/>
    <s v="South"/>
    <s v="Karnataka"/>
    <s v="Mysuru"/>
    <x v="4"/>
    <n v="5"/>
    <s v="Pankaj"/>
    <n v="24"/>
    <n v="975.39"/>
  </r>
  <r>
    <x v="114"/>
    <s v="South"/>
    <s v="Karnataka"/>
    <s v="Mysuru"/>
    <x v="1"/>
    <n v="7"/>
    <s v="Kuldeep"/>
    <n v="36"/>
    <n v="702.24"/>
  </r>
  <r>
    <x v="146"/>
    <s v="South"/>
    <s v="Tamil Nadu"/>
    <s v="Coimbatore"/>
    <x v="0"/>
    <n v="7"/>
    <s v="Dinesh"/>
    <n v="32"/>
    <n v="705.03"/>
  </r>
  <r>
    <x v="105"/>
    <s v="South"/>
    <s v="Karnataka"/>
    <s v="Hubli"/>
    <x v="3"/>
    <n v="6"/>
    <s v="Keshav"/>
    <n v="25"/>
    <n v="827.78"/>
  </r>
  <r>
    <x v="147"/>
    <s v="North"/>
    <s v="Delhi"/>
    <s v="Dwarka"/>
    <x v="2"/>
    <n v="18"/>
    <s v="Priya"/>
    <n v="49"/>
    <n v="276.35000000000002"/>
  </r>
  <r>
    <x v="5"/>
    <s v="South"/>
    <s v="Tamil Nadu"/>
    <s v="Chennai"/>
    <x v="0"/>
    <n v="7"/>
    <s v="Kuldeep"/>
    <n v="26"/>
    <n v="711.35"/>
  </r>
  <r>
    <x v="15"/>
    <s v="South"/>
    <s v="Karnataka"/>
    <s v="Hubli"/>
    <x v="0"/>
    <n v="2"/>
    <s v="Raghav"/>
    <n v="41"/>
    <n v="2493.06"/>
  </r>
  <r>
    <x v="9"/>
    <s v="West"/>
    <s v="Maharashtra"/>
    <s v="Nagpur"/>
    <x v="2"/>
    <n v="4"/>
    <s v="vishal"/>
    <n v="52"/>
    <n v="1256.3399999999999"/>
  </r>
  <r>
    <x v="148"/>
    <s v="South"/>
    <s v="Karnataka"/>
    <s v="Bengaluru"/>
    <x v="0"/>
    <n v="16"/>
    <s v="Rajendra"/>
    <n v="47"/>
    <n v="317.82"/>
  </r>
  <r>
    <x v="149"/>
    <s v="North"/>
    <s v="Delhi"/>
    <s v="New Delhi"/>
    <x v="4"/>
    <n v="6"/>
    <s v="Jaykesh"/>
    <n v="26"/>
    <n v="863.69"/>
  </r>
  <r>
    <x v="90"/>
    <s v="South"/>
    <s v="Tamil Nadu"/>
    <s v="Madurai"/>
    <x v="1"/>
    <n v="15"/>
    <s v="Pankaj"/>
    <n v="46"/>
    <n v="346.45"/>
  </r>
  <r>
    <x v="150"/>
    <s v="South"/>
    <s v="Tamil Nadu"/>
    <s v="Madurai"/>
    <x v="1"/>
    <n v="16"/>
    <s v="Jaykesh"/>
    <n v="42"/>
    <n v="325.52"/>
  </r>
  <r>
    <x v="20"/>
    <s v="West"/>
    <s v="Gujarat"/>
    <s v="Surat"/>
    <x v="2"/>
    <n v="4"/>
    <s v="Jaykesh"/>
    <n v="35"/>
    <n v="1303.8800000000001"/>
  </r>
  <r>
    <x v="45"/>
    <s v="West"/>
    <s v="Maharashtra"/>
    <s v="Pune"/>
    <x v="3"/>
    <n v="16"/>
    <s v="vishal"/>
    <n v="20"/>
    <n v="328.65"/>
  </r>
  <r>
    <x v="74"/>
    <s v="South"/>
    <s v="Karnataka"/>
    <s v="Mysuru"/>
    <x v="4"/>
    <n v="8"/>
    <s v="Jaykesh"/>
    <n v="25"/>
    <n v="659.36"/>
  </r>
  <r>
    <x v="49"/>
    <s v="North"/>
    <s v="Delhi"/>
    <s v="Karol Bagh"/>
    <x v="0"/>
    <n v="9"/>
    <s v="Rajendra"/>
    <n v="21"/>
    <n v="593.01"/>
  </r>
  <r>
    <x v="151"/>
    <s v="West"/>
    <s v="Gujarat"/>
    <s v="Vadodara"/>
    <x v="0"/>
    <n v="2"/>
    <s v="Kuldeep"/>
    <n v="52"/>
    <n v="2704.98"/>
  </r>
  <r>
    <x v="152"/>
    <s v="North"/>
    <s v="Delhi"/>
    <s v="Karol Bagh"/>
    <x v="4"/>
    <n v="16"/>
    <s v="Rajendra"/>
    <n v="48"/>
    <n v="338.38"/>
  </r>
  <r>
    <x v="153"/>
    <s v="West"/>
    <s v="Gujarat"/>
    <s v="Surat"/>
    <x v="2"/>
    <n v="3"/>
    <s v="Kuldeep"/>
    <n v="50"/>
    <n v="1818.3"/>
  </r>
  <r>
    <x v="154"/>
    <s v="South"/>
    <s v="Karnataka"/>
    <s v="Mysuru"/>
    <x v="0"/>
    <n v="4"/>
    <s v="Jaykesh"/>
    <n v="16"/>
    <n v="1381.71"/>
  </r>
  <r>
    <x v="155"/>
    <s v="South"/>
    <s v="Tamil Nadu"/>
    <s v="Madurai"/>
    <x v="2"/>
    <n v="4"/>
    <s v="Dinesh"/>
    <n v="27"/>
    <n v="1385.95"/>
  </r>
  <r>
    <x v="19"/>
    <s v="South"/>
    <s v="Tamil Nadu"/>
    <s v="Coimbatore"/>
    <x v="3"/>
    <n v="10"/>
    <s v="Jaykesh"/>
    <n v="46"/>
    <n v="568.6"/>
  </r>
  <r>
    <x v="119"/>
    <s v="West"/>
    <s v="Gujarat"/>
    <s v="Ahmedabad"/>
    <x v="3"/>
    <n v="16"/>
    <s v="Keshav"/>
    <n v="33"/>
    <n v="355.63"/>
  </r>
  <r>
    <x v="13"/>
    <s v="West"/>
    <s v="Maharashtra"/>
    <s v="Nagpur"/>
    <x v="0"/>
    <n v="5"/>
    <s v="Rajendra"/>
    <n v="42"/>
    <n v="1141.32"/>
  </r>
  <r>
    <x v="156"/>
    <s v="South"/>
    <s v="Karnataka"/>
    <s v="Hubli"/>
    <x v="2"/>
    <n v="4"/>
    <s v="Rajesh"/>
    <n v="28"/>
    <n v="1434.97"/>
  </r>
  <r>
    <x v="157"/>
    <s v="West"/>
    <s v="Maharashtra"/>
    <s v="Nagpur"/>
    <x v="3"/>
    <n v="2"/>
    <s v="Pinkesh"/>
    <n v="20"/>
    <n v="2875.84"/>
  </r>
  <r>
    <x v="62"/>
    <s v="South"/>
    <s v="Karnataka"/>
    <s v="Hubli"/>
    <x v="1"/>
    <n v="8"/>
    <s v="Priya"/>
    <n v="25"/>
    <n v="720.07"/>
  </r>
  <r>
    <x v="158"/>
    <s v="South"/>
    <s v="Karnataka"/>
    <s v="Mysuru"/>
    <x v="3"/>
    <n v="4"/>
    <s v="Raghav"/>
    <n v="51"/>
    <n v="1456.19"/>
  </r>
  <r>
    <x v="159"/>
    <s v="South"/>
    <s v="Karnataka"/>
    <s v="Mysuru"/>
    <x v="3"/>
    <n v="2"/>
    <s v="Rajendra"/>
    <n v="20"/>
    <n v="2914.14"/>
  </r>
  <r>
    <x v="160"/>
    <s v="South"/>
    <s v="Karnataka"/>
    <s v="Hubli"/>
    <x v="4"/>
    <n v="5"/>
    <s v="vishal"/>
    <n v="41"/>
    <n v="1185.45"/>
  </r>
  <r>
    <x v="161"/>
    <s v="South"/>
    <s v="Tamil Nadu"/>
    <s v="Coimbatore"/>
    <x v="3"/>
    <n v="5"/>
    <s v="Keshav"/>
    <n v="17"/>
    <n v="1192.82"/>
  </r>
  <r>
    <x v="162"/>
    <s v="South"/>
    <s v="Karnataka"/>
    <s v="Bengaluru"/>
    <x v="0"/>
    <n v="4"/>
    <s v="Jaykesh"/>
    <n v="45"/>
    <n v="1493.04"/>
  </r>
  <r>
    <x v="163"/>
    <s v="West"/>
    <s v="Maharashtra"/>
    <s v="Pune"/>
    <x v="1"/>
    <n v="7"/>
    <s v="Keshav"/>
    <n v="25"/>
    <n v="859.87"/>
  </r>
  <r>
    <x v="164"/>
    <s v="West"/>
    <s v="Maharashtra"/>
    <s v="Mumbai"/>
    <x v="0"/>
    <n v="5"/>
    <s v="vishal"/>
    <n v="49"/>
    <n v="1204.6400000000001"/>
  </r>
  <r>
    <x v="165"/>
    <s v="West"/>
    <s v="Gujarat"/>
    <s v="Ahmedabad"/>
    <x v="0"/>
    <n v="11"/>
    <s v="Keshav"/>
    <n v="44"/>
    <n v="548.91999999999996"/>
  </r>
  <r>
    <x v="166"/>
    <s v="West"/>
    <s v="Gujarat"/>
    <s v="Vadodara"/>
    <x v="2"/>
    <n v="8"/>
    <s v="vishal"/>
    <n v="42"/>
    <n v="758.58"/>
  </r>
  <r>
    <x v="167"/>
    <s v="West"/>
    <s v="Gujarat"/>
    <s v="Vadodara"/>
    <x v="3"/>
    <n v="2"/>
    <s v="Rajendra"/>
    <n v="55"/>
    <n v="3037.55"/>
  </r>
  <r>
    <x v="168"/>
    <s v="West"/>
    <s v="Gujarat"/>
    <s v="Vadodara"/>
    <x v="3"/>
    <n v="2"/>
    <s v="Rajesh"/>
    <n v="55"/>
    <n v="3037.55"/>
  </r>
  <r>
    <x v="110"/>
    <s v="West"/>
    <s v="Gujarat"/>
    <s v="Ahmedabad"/>
    <x v="2"/>
    <n v="6"/>
    <s v="Pinkesh"/>
    <n v="51"/>
    <n v="1016.27"/>
  </r>
  <r>
    <x v="169"/>
    <s v="North"/>
    <s v="Delhi"/>
    <s v="Karol Bagh"/>
    <x v="3"/>
    <n v="3"/>
    <s v="Dinesh"/>
    <n v="32"/>
    <n v="2040.38"/>
  </r>
  <r>
    <x v="29"/>
    <s v="South"/>
    <s v="Tamil Nadu"/>
    <s v="Madurai"/>
    <x v="4"/>
    <n v="2"/>
    <s v="Priya"/>
    <n v="47"/>
    <n v="3072.48"/>
  </r>
  <r>
    <x v="170"/>
    <s v="South"/>
    <s v="Karnataka"/>
    <s v="Hubli"/>
    <x v="4"/>
    <n v="15"/>
    <s v="Dinesh"/>
    <n v="34"/>
    <n v="413.63"/>
  </r>
  <r>
    <x v="115"/>
    <s v="West"/>
    <s v="Maharashtra"/>
    <s v="Nagpur"/>
    <x v="4"/>
    <n v="3"/>
    <s v="Raghav"/>
    <n v="43"/>
    <n v="2082"/>
  </r>
  <r>
    <x v="158"/>
    <s v="South"/>
    <s v="Tamil Nadu"/>
    <s v="Coimbatore"/>
    <x v="4"/>
    <n v="9"/>
    <s v="Dinesh"/>
    <n v="37"/>
    <n v="704.39"/>
  </r>
  <r>
    <x v="143"/>
    <s v="South"/>
    <s v="Karnataka"/>
    <s v="Hubli"/>
    <x v="0"/>
    <n v="10"/>
    <s v="Rajendra"/>
    <n v="39"/>
    <n v="642.49"/>
  </r>
  <r>
    <x v="171"/>
    <s v="West"/>
    <s v="Maharashtra"/>
    <s v="Pune"/>
    <x v="3"/>
    <n v="11"/>
    <s v="Pinkesh"/>
    <n v="23"/>
    <n v="587.46"/>
  </r>
  <r>
    <x v="129"/>
    <s v="North"/>
    <s v="Delhi"/>
    <s v="New Delhi"/>
    <x v="2"/>
    <n v="12"/>
    <s v="vishal"/>
    <n v="43"/>
    <n v="538.91"/>
  </r>
  <r>
    <x v="16"/>
    <s v="West"/>
    <s v="Maharashtra"/>
    <s v="Mumbai"/>
    <x v="1"/>
    <n v="2"/>
    <s v="Kuldeep"/>
    <n v="19"/>
    <n v="3239.94"/>
  </r>
  <r>
    <x v="117"/>
    <s v="West"/>
    <s v="Maharashtra"/>
    <s v="Pune"/>
    <x v="3"/>
    <n v="2"/>
    <s v="Rajendra"/>
    <n v="47"/>
    <n v="3240.32"/>
  </r>
  <r>
    <x v="172"/>
    <s v="West"/>
    <s v="Gujarat"/>
    <s v="Ahmedabad"/>
    <x v="0"/>
    <n v="9"/>
    <s v="Rajendra"/>
    <n v="47"/>
    <n v="722.4"/>
  </r>
  <r>
    <x v="173"/>
    <s v="West"/>
    <s v="Maharashtra"/>
    <s v="Mumbai"/>
    <x v="3"/>
    <n v="4"/>
    <s v="Pinkesh"/>
    <n v="46"/>
    <n v="1640.54"/>
  </r>
  <r>
    <x v="3"/>
    <s v="West"/>
    <s v="Maharashtra"/>
    <s v="Nagpur"/>
    <x v="4"/>
    <n v="2"/>
    <s v="Pankaj"/>
    <n v="49"/>
    <n v="3297.48"/>
  </r>
  <r>
    <x v="85"/>
    <s v="South"/>
    <s v="Tamil Nadu"/>
    <s v="Coimbatore"/>
    <x v="4"/>
    <n v="5"/>
    <s v="Rajesh"/>
    <n v="33"/>
    <n v="1319.46"/>
  </r>
  <r>
    <x v="174"/>
    <s v="South"/>
    <s v="Karnataka"/>
    <s v="Bengaluru"/>
    <x v="0"/>
    <n v="12"/>
    <s v="Keshav"/>
    <n v="16"/>
    <n v="549.84"/>
  </r>
  <r>
    <x v="159"/>
    <s v="West"/>
    <s v="Maharashtra"/>
    <s v="Pune"/>
    <x v="0"/>
    <n v="3"/>
    <s v="Rajendra"/>
    <n v="23"/>
    <n v="2214.86"/>
  </r>
  <r>
    <x v="175"/>
    <s v="South"/>
    <s v="Karnataka"/>
    <s v="Mysuru"/>
    <x v="0"/>
    <n v="13"/>
    <s v="vishal"/>
    <n v="30"/>
    <n v="512.69000000000005"/>
  </r>
  <r>
    <x v="40"/>
    <s v="South"/>
    <s v="Tamil Nadu"/>
    <s v="Chennai"/>
    <x v="3"/>
    <n v="5"/>
    <s v="Jaykesh"/>
    <n v="55"/>
    <n v="1346.45"/>
  </r>
  <r>
    <x v="176"/>
    <s v="South"/>
    <s v="Tamil Nadu"/>
    <s v="Chennai"/>
    <x v="3"/>
    <n v="5"/>
    <s v="Priya"/>
    <n v="55"/>
    <n v="1346.45"/>
  </r>
  <r>
    <x v="177"/>
    <s v="West"/>
    <s v="Maharashtra"/>
    <s v="Nagpur"/>
    <x v="3"/>
    <n v="2"/>
    <s v="Rajendra"/>
    <n v="54"/>
    <n v="3385.43"/>
  </r>
  <r>
    <x v="178"/>
    <s v="West"/>
    <s v="Gujarat"/>
    <s v="Vadodara"/>
    <x v="4"/>
    <n v="7"/>
    <s v="Raghav"/>
    <n v="19"/>
    <n v="978.46"/>
  </r>
  <r>
    <x v="179"/>
    <s v="South"/>
    <s v="Karnataka"/>
    <s v="Bengaluru"/>
    <x v="1"/>
    <n v="5"/>
    <s v="Dinesh"/>
    <n v="41"/>
    <n v="1372.78"/>
  </r>
  <r>
    <x v="180"/>
    <s v="West"/>
    <s v="Maharashtra"/>
    <s v="Mumbai"/>
    <x v="3"/>
    <n v="14"/>
    <s v="Raghav"/>
    <n v="24"/>
    <n v="492.06"/>
  </r>
  <r>
    <x v="181"/>
    <s v="South"/>
    <s v="Karnataka"/>
    <s v="Mysuru"/>
    <x v="1"/>
    <n v="9"/>
    <s v="Raghav"/>
    <n v="21"/>
    <n v="773.71"/>
  </r>
  <r>
    <x v="121"/>
    <s v="North"/>
    <s v="Delhi"/>
    <s v="Karol Bagh"/>
    <x v="0"/>
    <n v="5"/>
    <s v="Raghav"/>
    <n v="35"/>
    <n v="1412.08"/>
  </r>
  <r>
    <x v="182"/>
    <s v="West"/>
    <s v="Maharashtra"/>
    <s v="Pune"/>
    <x v="2"/>
    <n v="12"/>
    <s v="Dinesh"/>
    <n v="34"/>
    <n v="593.52"/>
  </r>
  <r>
    <x v="183"/>
    <s v="South"/>
    <s v="Karnataka"/>
    <s v="Bengaluru"/>
    <x v="2"/>
    <n v="12"/>
    <s v="Jaykesh"/>
    <n v="19"/>
    <n v="596.13"/>
  </r>
  <r>
    <x v="184"/>
    <s v="West"/>
    <s v="Maharashtra"/>
    <s v="Mumbai"/>
    <x v="1"/>
    <n v="4"/>
    <s v="Rajendra"/>
    <n v="51"/>
    <n v="1788.95"/>
  </r>
  <r>
    <x v="13"/>
    <s v="South"/>
    <s v="Tamil Nadu"/>
    <s v="Chennai"/>
    <x v="0"/>
    <n v="5"/>
    <s v="Jaykesh"/>
    <n v="38"/>
    <n v="1445.72"/>
  </r>
  <r>
    <x v="138"/>
    <s v="West"/>
    <s v="Maharashtra"/>
    <s v="Mumbai"/>
    <x v="4"/>
    <n v="6"/>
    <s v="Pankaj"/>
    <n v="55"/>
    <n v="1205.3599999999999"/>
  </r>
  <r>
    <x v="1"/>
    <s v="West"/>
    <s v="Maharashtra"/>
    <s v="Mumbai"/>
    <x v="2"/>
    <n v="9"/>
    <s v="Pinkesh"/>
    <n v="21"/>
    <n v="808.93"/>
  </r>
  <r>
    <x v="155"/>
    <s v="South"/>
    <s v="Tamil Nadu"/>
    <s v="Madurai"/>
    <x v="2"/>
    <n v="5"/>
    <s v="Rajesh"/>
    <n v="48"/>
    <n v="1460.84"/>
  </r>
  <r>
    <x v="185"/>
    <s v="West"/>
    <s v="Maharashtra"/>
    <s v="Mumbai"/>
    <x v="4"/>
    <n v="4"/>
    <s v="vishal"/>
    <n v="44"/>
    <n v="1831.79"/>
  </r>
  <r>
    <x v="186"/>
    <s v="South"/>
    <s v="Tamil Nadu"/>
    <s v="Coimbatore"/>
    <x v="4"/>
    <n v="3"/>
    <s v="Dinesh"/>
    <n v="17"/>
    <n v="2444.6"/>
  </r>
  <r>
    <x v="22"/>
    <s v="South"/>
    <s v="Tamil Nadu"/>
    <s v="Coimbatore"/>
    <x v="4"/>
    <n v="3"/>
    <s v="Pinkesh"/>
    <n v="17"/>
    <n v="2444.6"/>
  </r>
  <r>
    <x v="187"/>
    <s v="South"/>
    <s v="Karnataka"/>
    <s v="Mysuru"/>
    <x v="1"/>
    <n v="8"/>
    <s v="Raghav"/>
    <n v="34"/>
    <n v="918.76"/>
  </r>
  <r>
    <x v="188"/>
    <s v="West"/>
    <s v="Gujarat"/>
    <s v="Surat"/>
    <x v="3"/>
    <n v="10"/>
    <s v="Pinkesh"/>
    <n v="24"/>
    <n v="743.68"/>
  </r>
  <r>
    <x v="33"/>
    <s v="West"/>
    <s v="Maharashtra"/>
    <s v="Pune"/>
    <x v="3"/>
    <n v="2"/>
    <s v="Pankaj"/>
    <n v="35"/>
    <n v="3753.37"/>
  </r>
  <r>
    <x v="119"/>
    <s v="West"/>
    <s v="Gujarat"/>
    <s v="Ahmedabad"/>
    <x v="2"/>
    <n v="2"/>
    <s v="Kuldeep"/>
    <n v="39"/>
    <n v="3825.5"/>
  </r>
  <r>
    <x v="189"/>
    <s v="West"/>
    <s v="Gujarat"/>
    <s v="Vadodara"/>
    <x v="0"/>
    <n v="9"/>
    <s v="Pankaj"/>
    <n v="31"/>
    <n v="851.87"/>
  </r>
  <r>
    <x v="190"/>
    <s v="North"/>
    <s v="Delhi"/>
    <s v="Dwarka"/>
    <x v="2"/>
    <n v="7"/>
    <s v="Raghav"/>
    <n v="34"/>
    <n v="1102.48"/>
  </r>
  <r>
    <x v="151"/>
    <s v="South"/>
    <s v="Tamil Nadu"/>
    <s v="Madurai"/>
    <x v="2"/>
    <n v="10"/>
    <s v="Rajendra"/>
    <n v="44"/>
    <n v="772.21"/>
  </r>
  <r>
    <x v="191"/>
    <s v="North"/>
    <s v="Delhi"/>
    <s v="Karol Bagh"/>
    <x v="2"/>
    <n v="4"/>
    <s v="Kuldeep"/>
    <n v="51"/>
    <n v="1938.6"/>
  </r>
  <r>
    <x v="110"/>
    <s v="South"/>
    <s v="Karnataka"/>
    <s v="Mysuru"/>
    <x v="1"/>
    <n v="5"/>
    <s v="Priya"/>
    <n v="44"/>
    <n v="1566.04"/>
  </r>
  <r>
    <x v="192"/>
    <s v="West"/>
    <s v="Maharashtra"/>
    <s v="Nagpur"/>
    <x v="3"/>
    <n v="3"/>
    <s v="Priya"/>
    <n v="16"/>
    <n v="2618.2199999999998"/>
  </r>
  <r>
    <x v="193"/>
    <s v="South"/>
    <s v="Tamil Nadu"/>
    <s v="Coimbatore"/>
    <x v="2"/>
    <n v="17"/>
    <s v="Raghav"/>
    <n v="25"/>
    <n v="463.54"/>
  </r>
  <r>
    <x v="102"/>
    <s v="West"/>
    <s v="Maharashtra"/>
    <s v="Nagpur"/>
    <x v="3"/>
    <n v="16"/>
    <s v="Rajendra"/>
    <n v="51"/>
    <n v="494.05"/>
  </r>
  <r>
    <x v="194"/>
    <s v="North"/>
    <s v="Delhi"/>
    <s v="New Delhi"/>
    <x v="3"/>
    <n v="14"/>
    <s v="Dinesh"/>
    <n v="23"/>
    <n v="564.63"/>
  </r>
  <r>
    <x v="195"/>
    <s v="South"/>
    <s v="Karnataka"/>
    <s v="Bengaluru"/>
    <x v="4"/>
    <n v="4"/>
    <s v="vishal"/>
    <n v="16"/>
    <n v="1993.97"/>
  </r>
  <r>
    <x v="196"/>
    <s v="West"/>
    <s v="Gujarat"/>
    <s v="Vadodara"/>
    <x v="0"/>
    <n v="9"/>
    <s v="Dinesh"/>
    <n v="29"/>
    <n v="888.33"/>
  </r>
  <r>
    <x v="197"/>
    <s v="South"/>
    <s v="Karnataka"/>
    <s v="Mysuru"/>
    <x v="0"/>
    <n v="15"/>
    <s v="Rajendra"/>
    <n v="28"/>
    <n v="534.41999999999996"/>
  </r>
  <r>
    <x v="123"/>
    <s v="South"/>
    <s v="Karnataka"/>
    <s v="Hubli"/>
    <x v="4"/>
    <n v="2"/>
    <s v="Rajesh"/>
    <n v="45"/>
    <n v="4019.4"/>
  </r>
  <r>
    <x v="198"/>
    <s v="South"/>
    <s v="Karnataka"/>
    <s v="Bengaluru"/>
    <x v="2"/>
    <n v="16"/>
    <s v="Priya"/>
    <n v="31"/>
    <n v="502.59"/>
  </r>
  <r>
    <x v="66"/>
    <s v="South"/>
    <s v="Karnataka"/>
    <s v="Bengaluru"/>
    <x v="0"/>
    <n v="2"/>
    <s v="Pinkesh"/>
    <n v="36"/>
    <n v="4032.05"/>
  </r>
  <r>
    <x v="43"/>
    <s v="North"/>
    <s v="Delhi"/>
    <s v="New Delhi"/>
    <x v="0"/>
    <n v="18"/>
    <s v="Pankaj"/>
    <n v="37"/>
    <n v="448.42"/>
  </r>
  <r>
    <x v="199"/>
    <s v="North"/>
    <s v="Delhi"/>
    <s v="New Delhi"/>
    <x v="0"/>
    <n v="2"/>
    <s v="Jaykesh"/>
    <n v="44"/>
    <n v="4059.61"/>
  </r>
  <r>
    <x v="200"/>
    <s v="North"/>
    <s v="Delhi"/>
    <s v="New Delhi"/>
    <x v="0"/>
    <n v="2"/>
    <s v="Priya"/>
    <n v="44"/>
    <n v="4059.61"/>
  </r>
  <r>
    <x v="201"/>
    <s v="South"/>
    <s v="Karnataka"/>
    <s v="Hubli"/>
    <x v="2"/>
    <n v="10"/>
    <s v="Pinkesh"/>
    <n v="40"/>
    <n v="812.98"/>
  </r>
  <r>
    <x v="191"/>
    <s v="South"/>
    <s v="Karnataka"/>
    <s v="Bengaluru"/>
    <x v="1"/>
    <n v="7"/>
    <s v="Rajesh"/>
    <n v="53"/>
    <n v="1164.5999999999999"/>
  </r>
  <r>
    <x v="202"/>
    <s v="West"/>
    <s v="Maharashtra"/>
    <s v="Nagpur"/>
    <x v="0"/>
    <n v="19"/>
    <s v="Dinesh"/>
    <n v="30"/>
    <n v="430.16"/>
  </r>
  <r>
    <x v="203"/>
    <s v="North"/>
    <s v="Delhi"/>
    <s v="Dwarka"/>
    <x v="0"/>
    <n v="6"/>
    <s v="Dinesh"/>
    <n v="29"/>
    <n v="1366.98"/>
  </r>
  <r>
    <x v="75"/>
    <s v="South"/>
    <s v="Tamil Nadu"/>
    <s v="Chennai"/>
    <x v="4"/>
    <n v="3"/>
    <s v="vishal"/>
    <n v="38"/>
    <n v="2756.83"/>
  </r>
  <r>
    <x v="77"/>
    <s v="West"/>
    <s v="Gujarat"/>
    <s v="Surat"/>
    <x v="0"/>
    <n v="2"/>
    <s v="Pankaj"/>
    <n v="24"/>
    <n v="4176.99"/>
  </r>
  <r>
    <x v="204"/>
    <s v="West"/>
    <s v="Gujarat"/>
    <s v="Vadodara"/>
    <x v="1"/>
    <n v="16"/>
    <s v="Rajendra"/>
    <n v="48"/>
    <n v="523.29999999999995"/>
  </r>
  <r>
    <x v="65"/>
    <s v="West"/>
    <s v="Gujarat"/>
    <s v="Ahmedabad"/>
    <x v="1"/>
    <n v="10"/>
    <s v="Keshav"/>
    <n v="31"/>
    <n v="843.5"/>
  </r>
  <r>
    <x v="205"/>
    <s v="West"/>
    <s v="Gujarat"/>
    <s v="Ahmedabad"/>
    <x v="1"/>
    <n v="10"/>
    <s v="Rajendra"/>
    <n v="31"/>
    <n v="843.5"/>
  </r>
  <r>
    <x v="95"/>
    <s v="West"/>
    <s v="Gujarat"/>
    <s v="Vadodara"/>
    <x v="1"/>
    <n v="7"/>
    <s v="Raghav"/>
    <n v="53"/>
    <n v="1205.8900000000001"/>
  </r>
  <r>
    <x v="206"/>
    <s v="West"/>
    <s v="Gujarat"/>
    <s v="Ahmedabad"/>
    <x v="3"/>
    <n v="3"/>
    <s v="Raghav"/>
    <n v="48"/>
    <n v="2880.4"/>
  </r>
  <r>
    <x v="207"/>
    <s v="North"/>
    <s v="Delhi"/>
    <s v="Karol Bagh"/>
    <x v="2"/>
    <n v="4"/>
    <s v="Pinkesh"/>
    <n v="23"/>
    <n v="2169.61"/>
  </r>
  <r>
    <x v="71"/>
    <s v="West"/>
    <s v="Gujarat"/>
    <s v="Surat"/>
    <x v="2"/>
    <n v="11"/>
    <s v="Keshav"/>
    <n v="25"/>
    <n v="793.45"/>
  </r>
  <r>
    <x v="208"/>
    <s v="South"/>
    <s v="Karnataka"/>
    <s v="Hubli"/>
    <x v="2"/>
    <n v="5"/>
    <s v="Pinkesh"/>
    <n v="16"/>
    <n v="1757.01"/>
  </r>
  <r>
    <x v="209"/>
    <s v="West"/>
    <s v="Maharashtra"/>
    <s v="Pune"/>
    <x v="4"/>
    <n v="2"/>
    <s v="Rajendra"/>
    <n v="51"/>
    <n v="4439.5"/>
  </r>
  <r>
    <x v="210"/>
    <s v="South"/>
    <s v="Tamil Nadu"/>
    <s v="Coimbatore"/>
    <x v="3"/>
    <n v="3"/>
    <s v="Keshav"/>
    <n v="18"/>
    <n v="2961.96"/>
  </r>
  <r>
    <x v="211"/>
    <s v="South"/>
    <s v="Tamil Nadu"/>
    <s v="Madurai"/>
    <x v="0"/>
    <n v="3"/>
    <s v="Rajendra"/>
    <n v="31"/>
    <n v="2966.4"/>
  </r>
  <r>
    <x v="111"/>
    <s v="North"/>
    <s v="Delhi"/>
    <s v="Dwarka"/>
    <x v="0"/>
    <n v="18"/>
    <s v="Pinkesh"/>
    <n v="26"/>
    <n v="497.68"/>
  </r>
  <r>
    <x v="20"/>
    <s v="West"/>
    <s v="Gujarat"/>
    <s v="Vadodara"/>
    <x v="2"/>
    <n v="12"/>
    <s v="Pinkesh"/>
    <n v="19"/>
    <n v="749.68"/>
  </r>
  <r>
    <x v="212"/>
    <s v="West"/>
    <s v="Maharashtra"/>
    <s v="Pune"/>
    <x v="3"/>
    <n v="9"/>
    <s v="Priya"/>
    <n v="17"/>
    <n v="1001.37"/>
  </r>
  <r>
    <x v="144"/>
    <s v="South"/>
    <s v="Tamil Nadu"/>
    <s v="Coimbatore"/>
    <x v="4"/>
    <n v="3"/>
    <s v="Dinesh"/>
    <n v="29"/>
    <n v="3007.45"/>
  </r>
  <r>
    <x v="213"/>
    <s v="North"/>
    <s v="Delhi"/>
    <s v="Karol Bagh"/>
    <x v="4"/>
    <n v="6"/>
    <s v="vishal"/>
    <n v="46"/>
    <n v="1508.35"/>
  </r>
  <r>
    <x v="22"/>
    <s v="North"/>
    <s v="Delhi"/>
    <s v="New Delhi"/>
    <x v="3"/>
    <n v="2"/>
    <s v="vishal"/>
    <n v="23"/>
    <n v="4527.13"/>
  </r>
  <r>
    <x v="214"/>
    <s v="West"/>
    <s v="Maharashtra"/>
    <s v="Nagpur"/>
    <x v="0"/>
    <n v="4"/>
    <s v="Dinesh"/>
    <n v="30"/>
    <n v="2298.98"/>
  </r>
  <r>
    <x v="215"/>
    <s v="South"/>
    <s v="Tamil Nadu"/>
    <s v="Coimbatore"/>
    <x v="1"/>
    <n v="7"/>
    <s v="Priya"/>
    <n v="49"/>
    <n v="1316.13"/>
  </r>
  <r>
    <x v="145"/>
    <s v="North"/>
    <s v="Delhi"/>
    <s v="New Delhi"/>
    <x v="3"/>
    <n v="6"/>
    <s v="Rajendra"/>
    <n v="34"/>
    <n v="1537.45"/>
  </r>
  <r>
    <x v="33"/>
    <s v="South"/>
    <s v="Karnataka"/>
    <s v="Bengaluru"/>
    <x v="0"/>
    <n v="11"/>
    <s v="Pinkesh"/>
    <n v="20"/>
    <n v="841.99"/>
  </r>
  <r>
    <x v="199"/>
    <s v="West"/>
    <s v="Gujarat"/>
    <s v="Vadodara"/>
    <x v="3"/>
    <n v="4"/>
    <s v="Jaykesh"/>
    <n v="54"/>
    <n v="2331.1"/>
  </r>
  <r>
    <x v="216"/>
    <s v="South"/>
    <s v="Tamil Nadu"/>
    <s v="Coimbatore"/>
    <x v="3"/>
    <n v="3"/>
    <s v="Rajesh"/>
    <n v="44"/>
    <n v="3109.18"/>
  </r>
  <r>
    <x v="28"/>
    <s v="West"/>
    <s v="Gujarat"/>
    <s v="Ahmedabad"/>
    <x v="2"/>
    <n v="2"/>
    <s v="Rajesh"/>
    <n v="50"/>
    <n v="4664.91"/>
  </r>
  <r>
    <x v="217"/>
    <s v="South"/>
    <s v="Karnataka"/>
    <s v="Hubli"/>
    <x v="1"/>
    <n v="15"/>
    <s v="Rajendra"/>
    <n v="29"/>
    <n v="624.87"/>
  </r>
  <r>
    <x v="218"/>
    <s v="West"/>
    <s v="Maharashtra"/>
    <s v="Pune"/>
    <x v="3"/>
    <n v="10"/>
    <s v="Kuldeep"/>
    <n v="29"/>
    <n v="938.57"/>
  </r>
  <r>
    <x v="158"/>
    <s v="West"/>
    <s v="Gujarat"/>
    <s v="Vadodara"/>
    <x v="0"/>
    <n v="8"/>
    <s v="Rajesh"/>
    <n v="30"/>
    <n v="1185.17"/>
  </r>
  <r>
    <x v="219"/>
    <s v="South"/>
    <s v="Karnataka"/>
    <s v="Hubli"/>
    <x v="3"/>
    <n v="2"/>
    <s v="Keshav"/>
    <n v="19"/>
    <n v="4762.71"/>
  </r>
  <r>
    <x v="220"/>
    <s v="South"/>
    <s v="Tamil Nadu"/>
    <s v="Madurai"/>
    <x v="3"/>
    <n v="18"/>
    <s v="Priya"/>
    <n v="49"/>
    <n v="532.4"/>
  </r>
  <r>
    <x v="26"/>
    <s v="South"/>
    <s v="Tamil Nadu"/>
    <s v="Coimbatore"/>
    <x v="2"/>
    <n v="4"/>
    <s v="Kuldeep"/>
    <n v="51"/>
    <n v="2425.52"/>
  </r>
  <r>
    <x v="221"/>
    <s v="West"/>
    <s v="Maharashtra"/>
    <s v="Pune"/>
    <x v="1"/>
    <n v="20"/>
    <s v="Rajesh"/>
    <n v="26"/>
    <n v="486.25"/>
  </r>
  <r>
    <x v="161"/>
    <s v="South"/>
    <s v="Karnataka"/>
    <s v="Bengaluru"/>
    <x v="2"/>
    <n v="20"/>
    <s v="Rajendra"/>
    <n v="18"/>
    <n v="490.36"/>
  </r>
  <r>
    <x v="45"/>
    <s v="South"/>
    <s v="Tamil Nadu"/>
    <s v="Coimbatore"/>
    <x v="0"/>
    <n v="17"/>
    <s v="Rajesh"/>
    <n v="47"/>
    <n v="578.88"/>
  </r>
  <r>
    <x v="155"/>
    <s v="South"/>
    <s v="Karnataka"/>
    <s v="Mysuru"/>
    <x v="0"/>
    <n v="5"/>
    <s v="Keshav"/>
    <n v="28"/>
    <n v="1991.64"/>
  </r>
  <r>
    <x v="148"/>
    <s v="West"/>
    <s v="Gujarat"/>
    <s v="Vadodara"/>
    <x v="2"/>
    <n v="5"/>
    <s v="Keshav"/>
    <n v="55"/>
    <n v="1997.76"/>
  </r>
  <r>
    <x v="152"/>
    <s v="South"/>
    <s v="Tamil Nadu"/>
    <s v="Coimbatore"/>
    <x v="4"/>
    <n v="2"/>
    <s v="Priya"/>
    <n v="34"/>
    <n v="4997.2299999999996"/>
  </r>
  <r>
    <x v="222"/>
    <s v="South"/>
    <s v="Karnataka"/>
    <s v="Mysuru"/>
    <x v="2"/>
    <n v="12"/>
    <s v="Dinesh"/>
    <n v="54"/>
    <n v="835.83"/>
  </r>
  <r>
    <x v="223"/>
    <s v="South"/>
    <s v="Karnataka"/>
    <s v="Mysuru"/>
    <x v="2"/>
    <n v="12"/>
    <s v="Pankaj"/>
    <n v="54"/>
    <n v="835.83"/>
  </r>
  <r>
    <x v="191"/>
    <s v="West"/>
    <s v="Gujarat"/>
    <s v="Ahmedabad"/>
    <x v="4"/>
    <n v="4"/>
    <s v="Rajendra"/>
    <n v="25"/>
    <n v="2514.88"/>
  </r>
  <r>
    <x v="171"/>
    <s v="North"/>
    <s v="Delhi"/>
    <s v="New Delhi"/>
    <x v="2"/>
    <n v="3"/>
    <s v="Pinkesh"/>
    <n v="23"/>
    <n v="3366.66"/>
  </r>
  <r>
    <x v="43"/>
    <s v="South"/>
    <s v="Tamil Nadu"/>
    <s v="Coimbatore"/>
    <x v="0"/>
    <n v="11"/>
    <s v="Rajesh"/>
    <n v="29"/>
    <n v="920.95"/>
  </r>
  <r>
    <x v="224"/>
    <s v="West"/>
    <s v="Maharashtra"/>
    <s v="Pune"/>
    <x v="3"/>
    <n v="11"/>
    <s v="Kuldeep"/>
    <n v="16"/>
    <n v="923.59"/>
  </r>
  <r>
    <x v="180"/>
    <s v="West"/>
    <s v="Maharashtra"/>
    <s v="Mumbai"/>
    <x v="1"/>
    <n v="7"/>
    <s v="Jaykesh"/>
    <n v="37"/>
    <n v="1458"/>
  </r>
  <r>
    <x v="125"/>
    <s v="West"/>
    <s v="Maharashtra"/>
    <s v="Mumbai"/>
    <x v="1"/>
    <n v="6"/>
    <s v="Rajesh"/>
    <n v="25"/>
    <n v="1701.04"/>
  </r>
  <r>
    <x v="225"/>
    <s v="South"/>
    <s v="Karnataka"/>
    <s v="Hubli"/>
    <x v="2"/>
    <n v="3"/>
    <s v="Priya"/>
    <n v="38"/>
    <n v="3445.08"/>
  </r>
  <r>
    <x v="26"/>
    <s v="South"/>
    <s v="Tamil Nadu"/>
    <s v="Coimbatore"/>
    <x v="0"/>
    <n v="19"/>
    <s v="Kuldeep"/>
    <n v="27"/>
    <n v="548.70000000000005"/>
  </r>
  <r>
    <x v="226"/>
    <s v="North"/>
    <s v="Delhi"/>
    <s v="Karol Bagh"/>
    <x v="4"/>
    <n v="13"/>
    <s v="Pinkesh"/>
    <n v="22"/>
    <n v="802.18"/>
  </r>
  <r>
    <x v="227"/>
    <s v="North"/>
    <s v="Delhi"/>
    <s v="New Delhi"/>
    <x v="3"/>
    <n v="9"/>
    <s v="Dinesh"/>
    <n v="31"/>
    <n v="1161.02"/>
  </r>
  <r>
    <x v="228"/>
    <s v="North"/>
    <s v="Delhi"/>
    <s v="New Delhi"/>
    <x v="3"/>
    <n v="9"/>
    <s v="Pankaj"/>
    <n v="31"/>
    <n v="1161.02"/>
  </r>
  <r>
    <x v="209"/>
    <s v="South"/>
    <s v="Karnataka"/>
    <s v="Hubli"/>
    <x v="1"/>
    <n v="4"/>
    <s v="Rajendra"/>
    <n v="55"/>
    <n v="2625.31"/>
  </r>
  <r>
    <x v="132"/>
    <s v="West"/>
    <s v="Gujarat"/>
    <s v="Ahmedabad"/>
    <x v="0"/>
    <n v="7"/>
    <s v="Raghav"/>
    <n v="40"/>
    <n v="1500.87"/>
  </r>
  <r>
    <x v="229"/>
    <s v="North"/>
    <s v="Delhi"/>
    <s v="Karol Bagh"/>
    <x v="3"/>
    <n v="7"/>
    <s v="Dinesh"/>
    <n v="22"/>
    <n v="1501.06"/>
  </r>
  <r>
    <x v="124"/>
    <s v="North"/>
    <s v="Delhi"/>
    <s v="Karol Bagh"/>
    <x v="4"/>
    <n v="8"/>
    <s v="Rajendra"/>
    <n v="22"/>
    <n v="1314.71"/>
  </r>
  <r>
    <x v="173"/>
    <s v="South"/>
    <s v="Tamil Nadu"/>
    <s v="Chennai"/>
    <x v="4"/>
    <n v="3"/>
    <s v="Pinkesh"/>
    <n v="23"/>
    <n v="3533.3"/>
  </r>
  <r>
    <x v="230"/>
    <s v="South"/>
    <s v="Tamil Nadu"/>
    <s v="Coimbatore"/>
    <x v="2"/>
    <n v="13"/>
    <s v="Rajendra"/>
    <n v="50"/>
    <n v="818.58"/>
  </r>
  <r>
    <x v="231"/>
    <s v="South"/>
    <s v="Tamil Nadu"/>
    <s v="Madurai"/>
    <x v="4"/>
    <n v="11"/>
    <s v="Jaykesh"/>
    <n v="55"/>
    <n v="968.17"/>
  </r>
  <r>
    <x v="219"/>
    <s v="South"/>
    <s v="Karnataka"/>
    <s v="Mysuru"/>
    <x v="4"/>
    <n v="4"/>
    <s v="Jaykesh"/>
    <n v="33"/>
    <n v="2689.7"/>
  </r>
  <r>
    <x v="62"/>
    <s v="South"/>
    <s v="Tamil Nadu"/>
    <s v="Chennai"/>
    <x v="3"/>
    <n v="14"/>
    <s v="Keshav"/>
    <n v="19"/>
    <n v="771.61"/>
  </r>
  <r>
    <x v="48"/>
    <s v="South"/>
    <s v="Tamil Nadu"/>
    <s v="Madurai"/>
    <x v="4"/>
    <n v="4"/>
    <s v="Rajendra"/>
    <n v="17"/>
    <n v="2701.93"/>
  </r>
  <r>
    <x v="78"/>
    <s v="West"/>
    <s v="Gujarat"/>
    <s v="Surat"/>
    <x v="3"/>
    <n v="5"/>
    <s v="Keshav"/>
    <n v="53"/>
    <n v="2162.08"/>
  </r>
  <r>
    <x v="232"/>
    <s v="South"/>
    <s v="Karnataka"/>
    <s v="Hubli"/>
    <x v="4"/>
    <n v="8"/>
    <s v="Rajendra"/>
    <n v="33"/>
    <n v="1366.18"/>
  </r>
  <r>
    <x v="94"/>
    <s v="South"/>
    <s v="Tamil Nadu"/>
    <s v="Madurai"/>
    <x v="0"/>
    <n v="4"/>
    <s v="Kuldeep"/>
    <n v="18"/>
    <n v="2740.14"/>
  </r>
  <r>
    <x v="233"/>
    <s v="West"/>
    <s v="Maharashtra"/>
    <s v="Pune"/>
    <x v="3"/>
    <n v="8"/>
    <s v="Rajendra"/>
    <n v="44"/>
    <n v="1371.28"/>
  </r>
  <r>
    <x v="15"/>
    <s v="West"/>
    <s v="Maharashtra"/>
    <s v="Nagpur"/>
    <x v="1"/>
    <n v="7"/>
    <s v="Rajesh"/>
    <n v="31"/>
    <n v="1576.4"/>
  </r>
  <r>
    <x v="234"/>
    <s v="South"/>
    <s v="Karnataka"/>
    <s v="Mysuru"/>
    <x v="2"/>
    <n v="7"/>
    <s v="Jaykesh"/>
    <n v="52"/>
    <n v="1590.73"/>
  </r>
  <r>
    <x v="235"/>
    <s v="South"/>
    <s v="Tamil Nadu"/>
    <s v="Chennai"/>
    <x v="2"/>
    <n v="13"/>
    <s v="Rajendra"/>
    <n v="36"/>
    <n v="857.86"/>
  </r>
  <r>
    <x v="115"/>
    <s v="West"/>
    <s v="Maharashtra"/>
    <s v="Nagpur"/>
    <x v="4"/>
    <n v="4"/>
    <s v="Priya"/>
    <n v="43"/>
    <n v="2792.23"/>
  </r>
  <r>
    <x v="147"/>
    <s v="South"/>
    <s v="Karnataka"/>
    <s v="Bengaluru"/>
    <x v="4"/>
    <n v="6"/>
    <s v="Raghav"/>
    <n v="44"/>
    <n v="1872.18"/>
  </r>
  <r>
    <x v="236"/>
    <s v="North"/>
    <s v="Delhi"/>
    <s v="Karol Bagh"/>
    <x v="0"/>
    <n v="13"/>
    <s v="Jaykesh"/>
    <n v="37"/>
    <n v="864.09"/>
  </r>
  <r>
    <x v="219"/>
    <s v="West"/>
    <s v="Gujarat"/>
    <s v="Vadodara"/>
    <x v="0"/>
    <n v="16"/>
    <s v="Rajendra"/>
    <n v="44"/>
    <n v="704.88"/>
  </r>
  <r>
    <x v="154"/>
    <s v="South"/>
    <s v="Tamil Nadu"/>
    <s v="Coimbatore"/>
    <x v="4"/>
    <n v="8"/>
    <s v="Rajesh"/>
    <n v="22"/>
    <n v="1410.46"/>
  </r>
  <r>
    <x v="1"/>
    <s v="West"/>
    <s v="Maharashtra"/>
    <s v="Mumbai"/>
    <x v="4"/>
    <n v="8"/>
    <s v="Keshav"/>
    <n v="32"/>
    <n v="1412.48"/>
  </r>
  <r>
    <x v="74"/>
    <s v="South"/>
    <s v="Tamil Nadu"/>
    <s v="Madurai"/>
    <x v="3"/>
    <n v="4"/>
    <s v="Rajesh"/>
    <n v="23"/>
    <n v="2830.6"/>
  </r>
  <r>
    <x v="237"/>
    <s v="West"/>
    <s v="Maharashtra"/>
    <s v="Nagpur"/>
    <x v="1"/>
    <n v="9"/>
    <s v="Rajendra"/>
    <n v="50"/>
    <n v="1280.74"/>
  </r>
  <r>
    <x v="238"/>
    <s v="North"/>
    <s v="Delhi"/>
    <s v="New Delhi"/>
    <x v="2"/>
    <n v="19"/>
    <s v="Raghav"/>
    <n v="53"/>
    <n v="609.63"/>
  </r>
  <r>
    <x v="239"/>
    <s v="West"/>
    <s v="Gujarat"/>
    <s v="Ahmedabad"/>
    <x v="1"/>
    <n v="3"/>
    <s v="Jaykesh"/>
    <n v="35"/>
    <n v="3861.09"/>
  </r>
  <r>
    <x v="125"/>
    <s v="West"/>
    <s v="Maharashtra"/>
    <s v="Pune"/>
    <x v="2"/>
    <n v="8"/>
    <s v="Rajendra"/>
    <n v="42"/>
    <n v="1461.31"/>
  </r>
  <r>
    <x v="240"/>
    <s v="West"/>
    <s v="Maharashtra"/>
    <s v="Pune"/>
    <x v="2"/>
    <n v="8"/>
    <s v="Rajendra"/>
    <n v="42"/>
    <n v="1461.31"/>
  </r>
  <r>
    <x v="241"/>
    <s v="West"/>
    <s v="Gujarat"/>
    <s v="Surat"/>
    <x v="3"/>
    <n v="18"/>
    <s v="Raghav"/>
    <n v="21"/>
    <n v="651.22"/>
  </r>
  <r>
    <x v="174"/>
    <s v="North"/>
    <s v="Delhi"/>
    <s v="Karol Bagh"/>
    <x v="1"/>
    <n v="11"/>
    <s v="Rajendra"/>
    <n v="53"/>
    <n v="1065.6400000000001"/>
  </r>
  <r>
    <x v="70"/>
    <s v="South"/>
    <s v="Tamil Nadu"/>
    <s v="Coimbatore"/>
    <x v="4"/>
    <n v="9"/>
    <s v="Rajesh"/>
    <n v="47"/>
    <n v="1302.45"/>
  </r>
  <r>
    <x v="51"/>
    <s v="North"/>
    <s v="Delhi"/>
    <s v="Dwarka"/>
    <x v="1"/>
    <n v="11"/>
    <s v="Jaykesh"/>
    <n v="47"/>
    <n v="1069.3900000000001"/>
  </r>
  <r>
    <x v="242"/>
    <s v="South"/>
    <s v="Tamil Nadu"/>
    <s v="Madurai"/>
    <x v="2"/>
    <n v="8"/>
    <s v="Jaykesh"/>
    <n v="17"/>
    <n v="1481.04"/>
  </r>
  <r>
    <x v="140"/>
    <s v="West"/>
    <s v="Maharashtra"/>
    <s v="Mumbai"/>
    <x v="4"/>
    <n v="3"/>
    <s v="Pankaj"/>
    <n v="25"/>
    <n v="3957.38"/>
  </r>
  <r>
    <x v="196"/>
    <s v="South"/>
    <s v="Tamil Nadu"/>
    <s v="Chennai"/>
    <x v="3"/>
    <n v="6"/>
    <s v="Keshav"/>
    <n v="22"/>
    <n v="1979"/>
  </r>
  <r>
    <x v="243"/>
    <s v="West"/>
    <s v="Gujarat"/>
    <s v="Ahmedabad"/>
    <x v="0"/>
    <n v="8"/>
    <s v="Raghav"/>
    <n v="33"/>
    <n v="1484.56"/>
  </r>
  <r>
    <x v="151"/>
    <s v="South"/>
    <s v="Karnataka"/>
    <s v="Bengaluru"/>
    <x v="4"/>
    <n v="13"/>
    <s v="Pinkesh"/>
    <n v="54"/>
    <n v="914.82"/>
  </r>
  <r>
    <x v="58"/>
    <s v="West"/>
    <s v="Maharashtra"/>
    <s v="Nagpur"/>
    <x v="0"/>
    <n v="12"/>
    <s v="Priya"/>
    <n v="26"/>
    <n v="992.16"/>
  </r>
  <r>
    <x v="169"/>
    <s v="North"/>
    <s v="Delhi"/>
    <s v="Dwarka"/>
    <x v="3"/>
    <n v="4"/>
    <s v="Pinkesh"/>
    <n v="37"/>
    <n v="2978.87"/>
  </r>
  <r>
    <x v="62"/>
    <s v="West"/>
    <s v="Gujarat"/>
    <s v="Vadodara"/>
    <x v="0"/>
    <n v="6"/>
    <s v="Dinesh"/>
    <n v="32"/>
    <n v="1985.97"/>
  </r>
  <r>
    <x v="244"/>
    <s v="North"/>
    <s v="Delhi"/>
    <s v="Karol Bagh"/>
    <x v="2"/>
    <n v="4"/>
    <s v="Keshav"/>
    <n v="47"/>
    <n v="2984.27"/>
  </r>
  <r>
    <x v="175"/>
    <s v="West"/>
    <s v="Maharashtra"/>
    <s v="Pune"/>
    <x v="3"/>
    <n v="7"/>
    <s v="Raghav"/>
    <n v="31"/>
    <n v="1711.81"/>
  </r>
  <r>
    <x v="11"/>
    <s v="North"/>
    <s v="Delhi"/>
    <s v="Dwarka"/>
    <x v="1"/>
    <n v="3"/>
    <s v="Rajesh"/>
    <n v="22"/>
    <n v="4020.68"/>
  </r>
  <r>
    <x v="102"/>
    <s v="South"/>
    <s v="Karnataka"/>
    <s v="Bengaluru"/>
    <x v="4"/>
    <n v="20"/>
    <s v="Kuldeep"/>
    <n v="50"/>
    <n v="603.49"/>
  </r>
  <r>
    <x v="106"/>
    <s v="South"/>
    <s v="Karnataka"/>
    <s v="Bengaluru"/>
    <x v="2"/>
    <n v="19"/>
    <s v="vishal"/>
    <n v="44"/>
    <n v="636.20000000000005"/>
  </r>
  <r>
    <x v="245"/>
    <s v="South"/>
    <s v="Tamil Nadu"/>
    <s v="Chennai"/>
    <x v="1"/>
    <n v="4"/>
    <s v="Pankaj"/>
    <n v="49"/>
    <n v="3022.72"/>
  </r>
  <r>
    <x v="246"/>
    <s v="West"/>
    <s v="Gujarat"/>
    <s v="Vadodara"/>
    <x v="1"/>
    <n v="7"/>
    <s v="Jaykesh"/>
    <n v="35"/>
    <n v="1729.24"/>
  </r>
  <r>
    <x v="64"/>
    <s v="North"/>
    <s v="Delhi"/>
    <s v="Dwarka"/>
    <x v="0"/>
    <n v="20"/>
    <s v="Dinesh"/>
    <n v="43"/>
    <n v="605.86"/>
  </r>
  <r>
    <x v="166"/>
    <s v="North"/>
    <s v="Delhi"/>
    <s v="New Delhi"/>
    <x v="4"/>
    <n v="5"/>
    <s v="Rajendra"/>
    <n v="32"/>
    <n v="2423.83"/>
  </r>
  <r>
    <x v="247"/>
    <s v="West"/>
    <s v="Gujarat"/>
    <s v="Vadodara"/>
    <x v="2"/>
    <n v="3"/>
    <s v="Keshav"/>
    <n v="20"/>
    <n v="4059.76"/>
  </r>
  <r>
    <x v="71"/>
    <s v="South"/>
    <s v="Karnataka"/>
    <s v="Hubli"/>
    <x v="1"/>
    <n v="18"/>
    <s v="Rajendra"/>
    <n v="23"/>
    <n v="678.76"/>
  </r>
  <r>
    <x v="248"/>
    <s v="West"/>
    <s v="Gujarat"/>
    <s v="Ahmedabad"/>
    <x v="1"/>
    <n v="3"/>
    <s v="Rajendra"/>
    <n v="54"/>
    <n v="4083.59"/>
  </r>
  <r>
    <x v="249"/>
    <s v="North"/>
    <s v="Delhi"/>
    <s v="New Delhi"/>
    <x v="2"/>
    <n v="5"/>
    <s v="Kuldeep"/>
    <n v="31"/>
    <n v="2463.9499999999998"/>
  </r>
  <r>
    <x v="161"/>
    <s v="South"/>
    <s v="Tamil Nadu"/>
    <s v="Chennai"/>
    <x v="1"/>
    <n v="3"/>
    <s v="Rajendra"/>
    <n v="45"/>
    <n v="4132.17"/>
  </r>
  <r>
    <x v="250"/>
    <s v="South"/>
    <s v="Tamil Nadu"/>
    <s v="Chennai"/>
    <x v="1"/>
    <n v="3"/>
    <s v="Rajesh"/>
    <n v="45"/>
    <n v="4132.17"/>
  </r>
  <r>
    <x v="190"/>
    <s v="South"/>
    <s v="Tamil Nadu"/>
    <s v="Coimbatore"/>
    <x v="4"/>
    <n v="5"/>
    <s v="Rajendra"/>
    <n v="29"/>
    <n v="2481.2199999999998"/>
  </r>
  <r>
    <x v="120"/>
    <s v="South"/>
    <s v="Tamil Nadu"/>
    <s v="Madurai"/>
    <x v="3"/>
    <n v="9"/>
    <s v="Rajendra"/>
    <n v="41"/>
    <n v="1378.65"/>
  </r>
  <r>
    <x v="251"/>
    <s v="South"/>
    <s v="Tamil Nadu"/>
    <s v="Madurai"/>
    <x v="3"/>
    <n v="9"/>
    <s v="Rajesh"/>
    <n v="41"/>
    <n v="1378.65"/>
  </r>
  <r>
    <x v="252"/>
    <s v="South"/>
    <s v="Karnataka"/>
    <s v="Bengaluru"/>
    <x v="3"/>
    <n v="7"/>
    <s v="Rajendra"/>
    <n v="36"/>
    <n v="1774.74"/>
  </r>
  <r>
    <x v="216"/>
    <s v="North"/>
    <s v="Delhi"/>
    <s v="Dwarka"/>
    <x v="0"/>
    <n v="3"/>
    <s v="Keshav"/>
    <n v="26"/>
    <n v="4171.91"/>
  </r>
  <r>
    <x v="198"/>
    <s v="South"/>
    <s v="Karnataka"/>
    <s v="Hubli"/>
    <x v="1"/>
    <n v="18"/>
    <s v="Rajesh"/>
    <n v="27"/>
    <n v="696.83"/>
  </r>
  <r>
    <x v="253"/>
    <s v="South"/>
    <s v="Karnataka"/>
    <s v="Bengaluru"/>
    <x v="2"/>
    <n v="13"/>
    <s v="Kuldeep"/>
    <n v="20"/>
    <n v="968.18"/>
  </r>
  <r>
    <x v="112"/>
    <s v="West"/>
    <s v="Gujarat"/>
    <s v="Surat"/>
    <x v="3"/>
    <n v="3"/>
    <s v="Kuldeep"/>
    <n v="20"/>
    <n v="4195.66"/>
  </r>
  <r>
    <x v="254"/>
    <s v="North"/>
    <s v="Delhi"/>
    <s v="New Delhi"/>
    <x v="1"/>
    <n v="3"/>
    <s v="Keshav"/>
    <n v="51"/>
    <n v="4201.09"/>
  </r>
  <r>
    <x v="52"/>
    <s v="West"/>
    <s v="Maharashtra"/>
    <s v="Nagpur"/>
    <x v="2"/>
    <n v="7"/>
    <s v="Rajendra"/>
    <n v="18"/>
    <n v="1801.74"/>
  </r>
  <r>
    <x v="255"/>
    <s v="West"/>
    <s v="Maharashtra"/>
    <s v="Mumbai"/>
    <x v="3"/>
    <n v="3"/>
    <s v="Rajendra"/>
    <n v="43"/>
    <n v="4210.7700000000004"/>
  </r>
  <r>
    <x v="256"/>
    <s v="West"/>
    <s v="Maharashtra"/>
    <s v="Mumbai"/>
    <x v="3"/>
    <n v="3"/>
    <s v="Rajendra"/>
    <n v="43"/>
    <n v="4210.7700000000004"/>
  </r>
  <r>
    <x v="257"/>
    <s v="West"/>
    <s v="Gujarat"/>
    <s v="Vadodara"/>
    <x v="3"/>
    <n v="20"/>
    <s v="Keshav"/>
    <n v="41"/>
    <n v="633.87"/>
  </r>
  <r>
    <x v="258"/>
    <s v="North"/>
    <s v="Delhi"/>
    <s v="New Delhi"/>
    <x v="1"/>
    <n v="3"/>
    <s v="Rajendra"/>
    <n v="22"/>
    <n v="4229.84"/>
  </r>
  <r>
    <x v="259"/>
    <s v="North"/>
    <s v="Delhi"/>
    <s v="New Delhi"/>
    <x v="1"/>
    <n v="3"/>
    <s v="Rajesh"/>
    <n v="22"/>
    <n v="4229.84"/>
  </r>
  <r>
    <x v="20"/>
    <s v="South"/>
    <s v="Karnataka"/>
    <s v="Bengaluru"/>
    <x v="0"/>
    <n v="16"/>
    <s v="Priya"/>
    <n v="25"/>
    <n v="795.17"/>
  </r>
  <r>
    <x v="243"/>
    <s v="West"/>
    <s v="Maharashtra"/>
    <s v="Nagpur"/>
    <x v="3"/>
    <n v="5"/>
    <s v="Jaykesh"/>
    <n v="52"/>
    <n v="2545.9299999999998"/>
  </r>
  <r>
    <x v="38"/>
    <s v="South"/>
    <s v="Karnataka"/>
    <s v="Hubli"/>
    <x v="1"/>
    <n v="12"/>
    <s v="Pankaj"/>
    <n v="17"/>
    <n v="1061.49"/>
  </r>
  <r>
    <x v="25"/>
    <s v="West"/>
    <s v="Gujarat"/>
    <s v="Ahmedabad"/>
    <x v="1"/>
    <n v="16"/>
    <s v="Dinesh"/>
    <n v="26"/>
    <n v="796.69"/>
  </r>
  <r>
    <x v="143"/>
    <s v="South"/>
    <s v="Tamil Nadu"/>
    <s v="Madurai"/>
    <x v="2"/>
    <n v="8"/>
    <s v="vishal"/>
    <n v="54"/>
    <n v="1595.76"/>
  </r>
  <r>
    <x v="154"/>
    <s v="South"/>
    <s v="Karnataka"/>
    <s v="Mysuru"/>
    <x v="1"/>
    <n v="11"/>
    <s v="Keshav"/>
    <n v="29"/>
    <n v="1169.3"/>
  </r>
  <r>
    <x v="37"/>
    <s v="North"/>
    <s v="Delhi"/>
    <s v="New Delhi"/>
    <x v="4"/>
    <n v="17"/>
    <s v="Dinesh"/>
    <n v="42"/>
    <n v="758.19"/>
  </r>
  <r>
    <x v="86"/>
    <s v="North"/>
    <s v="Delhi"/>
    <s v="Karol Bagh"/>
    <x v="2"/>
    <n v="13"/>
    <s v="Jaykesh"/>
    <n v="44"/>
    <n v="993.43"/>
  </r>
  <r>
    <x v="260"/>
    <s v="West"/>
    <s v="Maharashtra"/>
    <s v="Pune"/>
    <x v="0"/>
    <n v="5"/>
    <s v="Rajendra"/>
    <n v="40"/>
    <n v="2583.81"/>
  </r>
  <r>
    <x v="261"/>
    <s v="South"/>
    <s v="Karnataka"/>
    <s v="Mysuru"/>
    <x v="2"/>
    <n v="7"/>
    <s v="Priya"/>
    <n v="55"/>
    <n v="1849.17"/>
  </r>
  <r>
    <x v="262"/>
    <s v="West"/>
    <s v="Gujarat"/>
    <s v="Surat"/>
    <x v="3"/>
    <n v="15"/>
    <s v="vishal"/>
    <n v="49"/>
    <n v="866.62"/>
  </r>
  <r>
    <x v="43"/>
    <s v="South"/>
    <s v="Tamil Nadu"/>
    <s v="Madurai"/>
    <x v="4"/>
    <n v="3"/>
    <s v="Dinesh"/>
    <n v="50"/>
    <n v="4363.3"/>
  </r>
  <r>
    <x v="84"/>
    <s v="South"/>
    <s v="Karnataka"/>
    <s v="Bengaluru"/>
    <x v="0"/>
    <n v="6"/>
    <s v="Kuldeep"/>
    <n v="51"/>
    <n v="2207.64"/>
  </r>
  <r>
    <x v="58"/>
    <s v="South"/>
    <s v="Karnataka"/>
    <s v="Hubli"/>
    <x v="1"/>
    <n v="12"/>
    <s v="Pinkesh"/>
    <n v="47"/>
    <n v="1104.74"/>
  </r>
  <r>
    <x v="242"/>
    <s v="West"/>
    <s v="Maharashtra"/>
    <s v="Nagpur"/>
    <x v="3"/>
    <n v="9"/>
    <s v="Pankaj"/>
    <n v="35"/>
    <n v="1474.56"/>
  </r>
  <r>
    <x v="253"/>
    <s v="West"/>
    <s v="Gujarat"/>
    <s v="Vadodara"/>
    <x v="4"/>
    <n v="14"/>
    <s v="Jaykesh"/>
    <n v="20"/>
    <n v="948.05"/>
  </r>
  <r>
    <x v="234"/>
    <s v="West"/>
    <s v="Maharashtra"/>
    <s v="Nagpur"/>
    <x v="4"/>
    <n v="7"/>
    <s v="Raghav"/>
    <n v="40"/>
    <n v="1905.14"/>
  </r>
  <r>
    <x v="70"/>
    <s v="South"/>
    <s v="Tamil Nadu"/>
    <s v="Madurai"/>
    <x v="2"/>
    <n v="8"/>
    <s v="Kuldeep"/>
    <n v="42"/>
    <n v="1670.31"/>
  </r>
  <r>
    <x v="135"/>
    <s v="South"/>
    <s v="Karnataka"/>
    <s v="Hubli"/>
    <x v="0"/>
    <n v="13"/>
    <s v="Dinesh"/>
    <n v="19"/>
    <n v="1030.9000000000001"/>
  </r>
  <r>
    <x v="183"/>
    <s v="North"/>
    <s v="Delhi"/>
    <s v="Dwarka"/>
    <x v="2"/>
    <n v="5"/>
    <s v="vishal"/>
    <n v="19"/>
    <n v="2681.34"/>
  </r>
  <r>
    <x v="112"/>
    <s v="West"/>
    <s v="Gujarat"/>
    <s v="Ahmedabad"/>
    <x v="0"/>
    <n v="4"/>
    <s v="Raghav"/>
    <n v="39"/>
    <n v="3377.27"/>
  </r>
  <r>
    <x v="15"/>
    <s v="West"/>
    <s v="Gujarat"/>
    <s v="Surat"/>
    <x v="4"/>
    <n v="19"/>
    <s v="Rajesh"/>
    <n v="46"/>
    <n v="713.8"/>
  </r>
  <r>
    <x v="263"/>
    <s v="West"/>
    <s v="Gujarat"/>
    <s v="Surat"/>
    <x v="3"/>
    <n v="15"/>
    <s v="Kuldeep"/>
    <n v="38"/>
    <n v="916.75"/>
  </r>
  <r>
    <x v="196"/>
    <s v="North"/>
    <s v="Delhi"/>
    <s v="New Delhi"/>
    <x v="1"/>
    <n v="3"/>
    <s v="Kuldeep"/>
    <n v="16"/>
    <n v="4608.8900000000003"/>
  </r>
  <r>
    <x v="183"/>
    <s v="South"/>
    <s v="Tamil Nadu"/>
    <s v="Madurai"/>
    <x v="2"/>
    <n v="16"/>
    <s v="Rajendra"/>
    <n v="41"/>
    <n v="874.99"/>
  </r>
  <r>
    <x v="221"/>
    <s v="West"/>
    <s v="Gujarat"/>
    <s v="Surat"/>
    <x v="2"/>
    <n v="3"/>
    <s v="Jaykesh"/>
    <n v="39"/>
    <n v="4678.38"/>
  </r>
  <r>
    <x v="264"/>
    <s v="West"/>
    <s v="Gujarat"/>
    <s v="Surat"/>
    <x v="2"/>
    <n v="12"/>
    <s v="vishal"/>
    <n v="55"/>
    <n v="1169.8399999999999"/>
  </r>
  <r>
    <x v="117"/>
    <s v="West"/>
    <s v="Gujarat"/>
    <s v="Surat"/>
    <x v="3"/>
    <n v="11"/>
    <s v="Priya"/>
    <n v="44"/>
    <n v="1278.32"/>
  </r>
  <r>
    <x v="30"/>
    <s v="South"/>
    <s v="Karnataka"/>
    <s v="Mysuru"/>
    <x v="3"/>
    <n v="7"/>
    <s v="Jaykesh"/>
    <n v="44"/>
    <n v="2016.03"/>
  </r>
  <r>
    <x v="48"/>
    <s v="North"/>
    <s v="Delhi"/>
    <s v="New Delhi"/>
    <x v="2"/>
    <n v="5"/>
    <s v="vishal"/>
    <n v="19"/>
    <n v="2846.34"/>
  </r>
  <r>
    <x v="17"/>
    <s v="West"/>
    <s v="Gujarat"/>
    <s v="Ahmedabad"/>
    <x v="1"/>
    <n v="4"/>
    <s v="Kuldeep"/>
    <n v="50"/>
    <n v="3561.12"/>
  </r>
  <r>
    <x v="265"/>
    <s v="South"/>
    <s v="Karnataka"/>
    <s v="Bengaluru"/>
    <x v="0"/>
    <n v="7"/>
    <s v="Pinkesh"/>
    <n v="40"/>
    <n v="2048.48"/>
  </r>
  <r>
    <x v="32"/>
    <s v="South"/>
    <s v="Karnataka"/>
    <s v="Hubli"/>
    <x v="2"/>
    <n v="8"/>
    <s v="Jaykesh"/>
    <n v="19"/>
    <n v="1794.45"/>
  </r>
  <r>
    <x v="132"/>
    <s v="West"/>
    <s v="Gujarat"/>
    <s v="Surat"/>
    <x v="4"/>
    <n v="15"/>
    <s v="Pankaj"/>
    <n v="35"/>
    <n v="961.23"/>
  </r>
  <r>
    <x v="244"/>
    <s v="South"/>
    <s v="Karnataka"/>
    <s v="Hubli"/>
    <x v="4"/>
    <n v="20"/>
    <s v="Rajendra"/>
    <n v="39"/>
    <n v="722.13"/>
  </r>
  <r>
    <x v="266"/>
    <s v="West"/>
    <s v="Maharashtra"/>
    <s v="Mumbai"/>
    <x v="3"/>
    <n v="11"/>
    <s v="Jaykesh"/>
    <n v="48"/>
    <n v="1316.18"/>
  </r>
  <r>
    <x v="267"/>
    <s v="South"/>
    <s v="Karnataka"/>
    <s v="Bengaluru"/>
    <x v="4"/>
    <n v="3"/>
    <s v="Jaykesh"/>
    <n v="38"/>
    <n v="4876.51"/>
  </r>
  <r>
    <x v="48"/>
    <s v="West"/>
    <s v="Gujarat"/>
    <s v="Surat"/>
    <x v="3"/>
    <n v="3"/>
    <s v="Pankaj"/>
    <n v="18"/>
    <n v="4888.03"/>
  </r>
  <r>
    <x v="268"/>
    <s v="West"/>
    <s v="Gujarat"/>
    <s v="Ahmedabad"/>
    <x v="4"/>
    <n v="18"/>
    <s v="Pankaj"/>
    <n v="38"/>
    <n v="814.69"/>
  </r>
  <r>
    <x v="269"/>
    <s v="South"/>
    <s v="Tamil Nadu"/>
    <s v="Coimbatore"/>
    <x v="2"/>
    <n v="6"/>
    <s v="Raghav"/>
    <n v="25"/>
    <n v="2463.6799999999998"/>
  </r>
  <r>
    <x v="270"/>
    <s v="South"/>
    <s v="Tamil Nadu"/>
    <s v="Coimbatore"/>
    <x v="2"/>
    <n v="6"/>
    <s v="Rajesh"/>
    <n v="25"/>
    <n v="2463.6799999999998"/>
  </r>
  <r>
    <x v="32"/>
    <s v="North"/>
    <s v="Delhi"/>
    <s v="New Delhi"/>
    <x v="4"/>
    <n v="5"/>
    <s v="Raghav"/>
    <n v="36"/>
    <n v="2957.2"/>
  </r>
  <r>
    <x v="263"/>
    <s v="West"/>
    <s v="Maharashtra"/>
    <s v="Mumbai"/>
    <x v="1"/>
    <n v="4"/>
    <s v="Rajesh"/>
    <n v="44"/>
    <n v="3725.78"/>
  </r>
  <r>
    <x v="211"/>
    <s v="South"/>
    <s v="Tamil Nadu"/>
    <s v="Madurai"/>
    <x v="2"/>
    <n v="3"/>
    <s v="Rajendra"/>
    <n v="32"/>
    <n v="4999.6899999999996"/>
  </r>
  <r>
    <x v="271"/>
    <s v="North"/>
    <s v="Delhi"/>
    <s v="New Delhi"/>
    <x v="3"/>
    <n v="9"/>
    <s v="Keshav"/>
    <n v="41"/>
    <n v="1667.06"/>
  </r>
  <r>
    <x v="272"/>
    <s v="South"/>
    <s v="Tamil Nadu"/>
    <s v="Madurai"/>
    <x v="0"/>
    <n v="11"/>
    <s v="Raghav"/>
    <n v="28"/>
    <n v="1389.59"/>
  </r>
  <r>
    <x v="273"/>
    <s v="North"/>
    <s v="Delhi"/>
    <s v="Karol Bagh"/>
    <x v="4"/>
    <n v="14"/>
    <s v="Kuldeep"/>
    <n v="24"/>
    <n v="1094.1400000000001"/>
  </r>
  <r>
    <x v="102"/>
    <s v="West"/>
    <s v="Gujarat"/>
    <s v="Ahmedabad"/>
    <x v="1"/>
    <n v="8"/>
    <s v="Pankaj"/>
    <n v="20"/>
    <n v="1916.14"/>
  </r>
  <r>
    <x v="125"/>
    <s v="West"/>
    <s v="Gujarat"/>
    <s v="Vadodara"/>
    <x v="0"/>
    <n v="8"/>
    <s v="Jaykesh"/>
    <n v="46"/>
    <n v="1927.88"/>
  </r>
  <r>
    <x v="178"/>
    <s v="South"/>
    <s v="Tamil Nadu"/>
    <s v="Coimbatore"/>
    <x v="1"/>
    <n v="20"/>
    <s v="Rajendra"/>
    <n v="44"/>
    <n v="774.07"/>
  </r>
  <r>
    <x v="215"/>
    <s v="South"/>
    <s v="Karnataka"/>
    <s v="Hubli"/>
    <x v="4"/>
    <n v="5"/>
    <s v="Rajendra"/>
    <n v="32"/>
    <n v="3103.12"/>
  </r>
  <r>
    <x v="169"/>
    <s v="South"/>
    <s v="Karnataka"/>
    <s v="Bengaluru"/>
    <x v="4"/>
    <n v="16"/>
    <s v="Rajendra"/>
    <n v="25"/>
    <n v="971.39"/>
  </r>
  <r>
    <x v="274"/>
    <s v="West"/>
    <s v="Maharashtra"/>
    <s v="Nagpur"/>
    <x v="2"/>
    <n v="13"/>
    <s v="Rajendra"/>
    <n v="30"/>
    <n v="1198.5"/>
  </r>
  <r>
    <x v="193"/>
    <s v="North"/>
    <s v="Delhi"/>
    <s v="Dwarka"/>
    <x v="0"/>
    <n v="7"/>
    <s v="Raghav"/>
    <n v="33"/>
    <n v="2227.0700000000002"/>
  </r>
  <r>
    <x v="275"/>
    <s v="North"/>
    <s v="Delhi"/>
    <s v="Dwarka"/>
    <x v="3"/>
    <n v="11"/>
    <s v="Pankaj"/>
    <n v="28"/>
    <n v="1418.67"/>
  </r>
  <r>
    <x v="276"/>
    <s v="North"/>
    <s v="Delhi"/>
    <s v="New Delhi"/>
    <x v="2"/>
    <n v="14"/>
    <s v="vishal"/>
    <n v="55"/>
    <n v="1116.79"/>
  </r>
  <r>
    <x v="201"/>
    <s v="North"/>
    <s v="Delhi"/>
    <s v="Karol Bagh"/>
    <x v="1"/>
    <n v="12"/>
    <s v="Jaykesh"/>
    <n v="16"/>
    <n v="1304.81"/>
  </r>
  <r>
    <x v="161"/>
    <s v="West"/>
    <s v="Gujarat"/>
    <s v="Vadodara"/>
    <x v="1"/>
    <n v="6"/>
    <s v="Rajendra"/>
    <n v="44"/>
    <n v="2609.65"/>
  </r>
  <r>
    <x v="277"/>
    <s v="South"/>
    <s v="Karnataka"/>
    <s v="Bengaluru"/>
    <x v="3"/>
    <n v="8"/>
    <s v="Dinesh"/>
    <n v="41"/>
    <n v="1968.58"/>
  </r>
  <r>
    <x v="203"/>
    <s v="West"/>
    <s v="Maharashtra"/>
    <s v="Mumbai"/>
    <x v="2"/>
    <n v="5"/>
    <s v="Kuldeep"/>
    <n v="38"/>
    <n v="3156.9"/>
  </r>
  <r>
    <x v="278"/>
    <s v="West"/>
    <s v="Gujarat"/>
    <s v="Surat"/>
    <x v="0"/>
    <n v="11"/>
    <s v="Pankaj"/>
    <n v="25"/>
    <n v="1435.18"/>
  </r>
  <r>
    <x v="148"/>
    <s v="South"/>
    <s v="Tamil Nadu"/>
    <s v="Madurai"/>
    <x v="1"/>
    <n v="13"/>
    <s v="Keshav"/>
    <n v="55"/>
    <n v="1220.76"/>
  </r>
  <r>
    <x v="279"/>
    <s v="South"/>
    <s v="Karnataka"/>
    <s v="Hubli"/>
    <x v="4"/>
    <n v="18"/>
    <s v="Dinesh"/>
    <n v="35"/>
    <n v="883.32"/>
  </r>
  <r>
    <x v="56"/>
    <s v="North"/>
    <s v="Delhi"/>
    <s v="Dwarka"/>
    <x v="2"/>
    <n v="5"/>
    <s v="Pinkesh"/>
    <n v="21"/>
    <n v="3181.48"/>
  </r>
  <r>
    <x v="237"/>
    <s v="West"/>
    <s v="Maharashtra"/>
    <s v="Nagpur"/>
    <x v="1"/>
    <n v="12"/>
    <s v="Rajendra"/>
    <n v="23"/>
    <n v="1333.81"/>
  </r>
  <r>
    <x v="280"/>
    <s v="West"/>
    <s v="Maharashtra"/>
    <s v="Nagpur"/>
    <x v="2"/>
    <n v="4"/>
    <s v="Pinkesh"/>
    <n v="51"/>
    <n v="4020.65"/>
  </r>
  <r>
    <x v="145"/>
    <s v="South"/>
    <s v="Tamil Nadu"/>
    <s v="Madurai"/>
    <x v="4"/>
    <n v="17"/>
    <s v="Rajendra"/>
    <n v="47"/>
    <n v="947.7"/>
  </r>
  <r>
    <x v="281"/>
    <s v="North"/>
    <s v="Delhi"/>
    <s v="New Delhi"/>
    <x v="1"/>
    <n v="8"/>
    <s v="Jaykesh"/>
    <n v="41"/>
    <n v="2019.04"/>
  </r>
  <r>
    <x v="63"/>
    <s v="South"/>
    <s v="Tamil Nadu"/>
    <s v="Chennai"/>
    <x v="4"/>
    <n v="4"/>
    <s v="Raghav"/>
    <n v="45"/>
    <n v="4058.48"/>
  </r>
  <r>
    <x v="71"/>
    <s v="West"/>
    <s v="Maharashtra"/>
    <s v="Mumbai"/>
    <x v="3"/>
    <n v="12"/>
    <s v="Rajesh"/>
    <n v="33"/>
    <n v="1352.89"/>
  </r>
  <r>
    <x v="9"/>
    <s v="South"/>
    <s v="Tamil Nadu"/>
    <s v="Chennai"/>
    <x v="4"/>
    <n v="9"/>
    <s v="Priya"/>
    <n v="32"/>
    <n v="1805.32"/>
  </r>
  <r>
    <x v="73"/>
    <s v="West"/>
    <s v="Maharashtra"/>
    <s v="Nagpur"/>
    <x v="3"/>
    <n v="5"/>
    <s v="vishal"/>
    <n v="25"/>
    <n v="3259.3"/>
  </r>
  <r>
    <x v="255"/>
    <s v="West"/>
    <s v="Gujarat"/>
    <s v="Surat"/>
    <x v="4"/>
    <n v="16"/>
    <s v="Raghav"/>
    <n v="28"/>
    <n v="1023.78"/>
  </r>
  <r>
    <x v="155"/>
    <s v="West"/>
    <s v="Gujarat"/>
    <s v="Vadodara"/>
    <x v="2"/>
    <n v="16"/>
    <s v="Rajendra"/>
    <n v="50"/>
    <n v="1025.8"/>
  </r>
  <r>
    <x v="282"/>
    <s v="South"/>
    <s v="Tamil Nadu"/>
    <s v="Madurai"/>
    <x v="2"/>
    <n v="18"/>
    <s v="Rajesh"/>
    <n v="23"/>
    <n v="913.13"/>
  </r>
  <r>
    <x v="215"/>
    <s v="West"/>
    <s v="Maharashtra"/>
    <s v="Mumbai"/>
    <x v="2"/>
    <n v="5"/>
    <s v="Pankaj"/>
    <n v="19"/>
    <n v="3288.58"/>
  </r>
  <r>
    <x v="271"/>
    <s v="West"/>
    <s v="Gujarat"/>
    <s v="Surat"/>
    <x v="3"/>
    <n v="15"/>
    <s v="Pinkesh"/>
    <n v="55"/>
    <n v="1098.31"/>
  </r>
  <r>
    <x v="216"/>
    <s v="North"/>
    <s v="Delhi"/>
    <s v="New Delhi"/>
    <x v="4"/>
    <n v="12"/>
    <s v="Priya"/>
    <n v="16"/>
    <n v="1377.41"/>
  </r>
  <r>
    <x v="283"/>
    <s v="North"/>
    <s v="Delhi"/>
    <s v="New Delhi"/>
    <x v="4"/>
    <n v="12"/>
    <s v="Priya"/>
    <n v="16"/>
    <n v="1377.41"/>
  </r>
  <r>
    <x v="284"/>
    <s v="North"/>
    <s v="Delhi"/>
    <s v="Karol Bagh"/>
    <x v="2"/>
    <n v="6"/>
    <s v="Kuldeep"/>
    <n v="26"/>
    <n v="2772.51"/>
  </r>
  <r>
    <x v="285"/>
    <s v="West"/>
    <s v="Maharashtra"/>
    <s v="Nagpur"/>
    <x v="2"/>
    <n v="7"/>
    <s v="Priya"/>
    <n v="39"/>
    <n v="2384.5100000000002"/>
  </r>
  <r>
    <x v="215"/>
    <s v="West"/>
    <s v="Maharashtra"/>
    <s v="Mumbai"/>
    <x v="1"/>
    <n v="15"/>
    <s v="Rajendra"/>
    <n v="49"/>
    <n v="1113.76"/>
  </r>
  <r>
    <x v="42"/>
    <s v="West"/>
    <s v="Maharashtra"/>
    <s v="Nagpur"/>
    <x v="0"/>
    <n v="5"/>
    <s v="Rajendra"/>
    <n v="37"/>
    <n v="3342.48"/>
  </r>
  <r>
    <x v="284"/>
    <s v="South"/>
    <s v="Karnataka"/>
    <s v="Bengaluru"/>
    <x v="3"/>
    <n v="8"/>
    <s v="Rajesh"/>
    <n v="46"/>
    <n v="2112.66"/>
  </r>
  <r>
    <x v="286"/>
    <s v="West"/>
    <s v="Maharashtra"/>
    <s v="Nagpur"/>
    <x v="4"/>
    <n v="4"/>
    <s v="vishal"/>
    <n v="28"/>
    <n v="4245.67"/>
  </r>
  <r>
    <x v="226"/>
    <s v="West"/>
    <s v="Gujarat"/>
    <s v="Ahmedabad"/>
    <x v="1"/>
    <n v="14"/>
    <s v="Jaykesh"/>
    <n v="18"/>
    <n v="1215.6199999999999"/>
  </r>
  <r>
    <x v="286"/>
    <s v="North"/>
    <s v="Delhi"/>
    <s v="New Delhi"/>
    <x v="4"/>
    <n v="5"/>
    <s v="Raghav"/>
    <n v="47"/>
    <n v="3404.87"/>
  </r>
  <r>
    <x v="136"/>
    <s v="West"/>
    <s v="Gujarat"/>
    <s v="Vadodara"/>
    <x v="0"/>
    <n v="4"/>
    <s v="Keshav"/>
    <n v="50"/>
    <n v="4317.2"/>
  </r>
  <r>
    <x v="101"/>
    <s v="South"/>
    <s v="Karnataka"/>
    <s v="Bengaluru"/>
    <x v="3"/>
    <n v="4"/>
    <s v="Priya"/>
    <n v="51"/>
    <n v="4337.09"/>
  </r>
  <r>
    <x v="74"/>
    <s v="West"/>
    <s v="Maharashtra"/>
    <s v="Pune"/>
    <x v="4"/>
    <n v="4"/>
    <s v="Dinesh"/>
    <n v="32"/>
    <n v="4368.46"/>
  </r>
  <r>
    <x v="287"/>
    <s v="West"/>
    <s v="Maharashtra"/>
    <s v="Mumbai"/>
    <x v="3"/>
    <n v="4"/>
    <s v="Rajendra"/>
    <n v="18"/>
    <n v="4386.54"/>
  </r>
  <r>
    <x v="269"/>
    <s v="South"/>
    <s v="Tamil Nadu"/>
    <s v="Coimbatore"/>
    <x v="3"/>
    <n v="14"/>
    <s v="Rajendra"/>
    <n v="50"/>
    <n v="1273.8399999999999"/>
  </r>
  <r>
    <x v="288"/>
    <s v="South"/>
    <s v="Tamil Nadu"/>
    <s v="Coimbatore"/>
    <x v="4"/>
    <n v="7"/>
    <s v="Jaykesh"/>
    <n v="37"/>
    <n v="2557.77"/>
  </r>
  <r>
    <x v="177"/>
    <s v="South"/>
    <s v="Karnataka"/>
    <s v="Mysuru"/>
    <x v="0"/>
    <n v="7"/>
    <s v="vishal"/>
    <n v="44"/>
    <n v="2560.5"/>
  </r>
  <r>
    <x v="236"/>
    <s v="West"/>
    <s v="Gujarat"/>
    <s v="Surat"/>
    <x v="1"/>
    <n v="5"/>
    <s v="Dinesh"/>
    <n v="55"/>
    <n v="3619.58"/>
  </r>
  <r>
    <x v="29"/>
    <s v="South"/>
    <s v="Tamil Nadu"/>
    <s v="Chennai"/>
    <x v="1"/>
    <n v="14"/>
    <s v="Raghav"/>
    <n v="16"/>
    <n v="1293.27"/>
  </r>
  <r>
    <x v="289"/>
    <s v="West"/>
    <s v="Gujarat"/>
    <s v="Vadodara"/>
    <x v="3"/>
    <n v="5"/>
    <s v="vishal"/>
    <n v="25"/>
    <n v="3631.01"/>
  </r>
  <r>
    <x v="56"/>
    <s v="South"/>
    <s v="Karnataka"/>
    <s v="Hubli"/>
    <x v="3"/>
    <n v="17"/>
    <s v="Rajesh"/>
    <n v="49"/>
    <n v="1071.3"/>
  </r>
  <r>
    <x v="138"/>
    <s v="West"/>
    <s v="Gujarat"/>
    <s v="Vadodara"/>
    <x v="4"/>
    <n v="6"/>
    <s v="Jaykesh"/>
    <n v="55"/>
    <n v="3051.1"/>
  </r>
  <r>
    <x v="121"/>
    <s v="South"/>
    <s v="Karnataka"/>
    <s v="Mysuru"/>
    <x v="3"/>
    <n v="5"/>
    <s v="Raghav"/>
    <n v="16"/>
    <n v="3701.17"/>
  </r>
  <r>
    <x v="260"/>
    <s v="West"/>
    <s v="Maharashtra"/>
    <s v="Nagpur"/>
    <x v="2"/>
    <n v="5"/>
    <s v="Priya"/>
    <n v="40"/>
    <n v="3732.82"/>
  </r>
  <r>
    <x v="290"/>
    <s v="West"/>
    <s v="Maharashtra"/>
    <s v="Nagpur"/>
    <x v="2"/>
    <n v="5"/>
    <s v="Priya"/>
    <n v="40"/>
    <n v="3732.82"/>
  </r>
  <r>
    <x v="291"/>
    <s v="South"/>
    <s v="Karnataka"/>
    <s v="Bengaluru"/>
    <x v="0"/>
    <n v="6"/>
    <s v="Rajendra"/>
    <n v="19"/>
    <n v="3116.12"/>
  </r>
  <r>
    <x v="292"/>
    <s v="South"/>
    <s v="Tamil Nadu"/>
    <s v="Madurai"/>
    <x v="2"/>
    <n v="11"/>
    <s v="Priya"/>
    <n v="42"/>
    <n v="1703.12"/>
  </r>
  <r>
    <x v="293"/>
    <s v="South"/>
    <s v="Karnataka"/>
    <s v="Bengaluru"/>
    <x v="0"/>
    <n v="8"/>
    <s v="Raghav"/>
    <n v="23"/>
    <n v="2342.02"/>
  </r>
  <r>
    <x v="294"/>
    <s v="South"/>
    <s v="Karnataka"/>
    <s v="Bengaluru"/>
    <x v="0"/>
    <n v="8"/>
    <s v="Rajesh"/>
    <n v="23"/>
    <n v="2342.02"/>
  </r>
  <r>
    <x v="45"/>
    <s v="North"/>
    <s v="Delhi"/>
    <s v="Dwarka"/>
    <x v="2"/>
    <n v="6"/>
    <s v="Keshav"/>
    <n v="26"/>
    <n v="3125.31"/>
  </r>
  <r>
    <x v="170"/>
    <s v="West"/>
    <s v="Gujarat"/>
    <s v="Vadodara"/>
    <x v="2"/>
    <n v="4"/>
    <s v="vishal"/>
    <n v="17"/>
    <n v="4697.07"/>
  </r>
  <r>
    <x v="254"/>
    <s v="West"/>
    <s v="Maharashtra"/>
    <s v="Mumbai"/>
    <x v="1"/>
    <n v="11"/>
    <s v="Pankaj"/>
    <n v="53"/>
    <n v="1708.99"/>
  </r>
  <r>
    <x v="191"/>
    <s v="West"/>
    <s v="Gujarat"/>
    <s v="Surat"/>
    <x v="0"/>
    <n v="5"/>
    <s v="Priya"/>
    <n v="29"/>
    <n v="3770.46"/>
  </r>
  <r>
    <x v="60"/>
    <s v="South"/>
    <s v="Karnataka"/>
    <s v="Mysuru"/>
    <x v="0"/>
    <n v="15"/>
    <s v="Rajesh"/>
    <n v="21"/>
    <n v="1259.1600000000001"/>
  </r>
  <r>
    <x v="254"/>
    <s v="South"/>
    <s v="Tamil Nadu"/>
    <s v="Coimbatore"/>
    <x v="2"/>
    <n v="5"/>
    <s v="Rajesh"/>
    <n v="28"/>
    <n v="3786.28"/>
  </r>
  <r>
    <x v="295"/>
    <s v="South"/>
    <s v="Tamil Nadu"/>
    <s v="Madurai"/>
    <x v="4"/>
    <n v="7"/>
    <s v="Jaykesh"/>
    <n v="50"/>
    <n v="2706.33"/>
  </r>
  <r>
    <x v="236"/>
    <s v="North"/>
    <s v="Delhi"/>
    <s v="Karol Bagh"/>
    <x v="2"/>
    <n v="6"/>
    <s v="Pankaj"/>
    <n v="36"/>
    <n v="3175.44"/>
  </r>
  <r>
    <x v="139"/>
    <s v="South"/>
    <s v="Tamil Nadu"/>
    <s v="Madurai"/>
    <x v="4"/>
    <n v="13"/>
    <s v="Pinkesh"/>
    <n v="39"/>
    <n v="1466.66"/>
  </r>
  <r>
    <x v="296"/>
    <s v="North"/>
    <s v="Delhi"/>
    <s v="New Delhi"/>
    <x v="1"/>
    <n v="16"/>
    <s v="Pinkesh"/>
    <n v="54"/>
    <n v="1192.3800000000001"/>
  </r>
  <r>
    <x v="110"/>
    <s v="South"/>
    <s v="Tamil Nadu"/>
    <s v="Coimbatore"/>
    <x v="1"/>
    <n v="4"/>
    <s v="Dinesh"/>
    <n v="24"/>
    <n v="4782.74"/>
  </r>
  <r>
    <x v="135"/>
    <s v="South"/>
    <s v="Tamil Nadu"/>
    <s v="Chennai"/>
    <x v="0"/>
    <n v="12"/>
    <s v="Raghav"/>
    <n v="31"/>
    <n v="1608.11"/>
  </r>
  <r>
    <x v="66"/>
    <s v="West"/>
    <s v="Gujarat"/>
    <s v="Vadodara"/>
    <x v="2"/>
    <n v="5"/>
    <s v="Raghav"/>
    <n v="25"/>
    <n v="3860.73"/>
  </r>
  <r>
    <x v="297"/>
    <s v="West"/>
    <s v="Gujarat"/>
    <s v="Vadodara"/>
    <x v="2"/>
    <n v="5"/>
    <s v="Rajesh"/>
    <n v="25"/>
    <n v="3860.73"/>
  </r>
  <r>
    <x v="38"/>
    <s v="South"/>
    <s v="Karnataka"/>
    <s v="Mysuru"/>
    <x v="0"/>
    <n v="18"/>
    <s v="Keshav"/>
    <n v="28"/>
    <n v="1073"/>
  </r>
  <r>
    <x v="298"/>
    <s v="South"/>
    <s v="Karnataka"/>
    <s v="Hubli"/>
    <x v="0"/>
    <n v="5"/>
    <s v="Rajendra"/>
    <n v="32"/>
    <n v="3898.88"/>
  </r>
  <r>
    <x v="189"/>
    <s v="North"/>
    <s v="Delhi"/>
    <s v="Dwarka"/>
    <x v="4"/>
    <n v="5"/>
    <s v="Jaykesh"/>
    <n v="50"/>
    <n v="3900.9"/>
  </r>
  <r>
    <x v="185"/>
    <s v="South"/>
    <s v="Tamil Nadu"/>
    <s v="Coimbatore"/>
    <x v="0"/>
    <n v="4"/>
    <s v="Pankaj"/>
    <n v="31"/>
    <n v="4878.16"/>
  </r>
  <r>
    <x v="299"/>
    <s v="West"/>
    <s v="Maharashtra"/>
    <s v="Mumbai"/>
    <x v="2"/>
    <n v="5"/>
    <s v="Rajesh"/>
    <n v="26"/>
    <n v="3926.26"/>
  </r>
  <r>
    <x v="135"/>
    <s v="South"/>
    <s v="Karnataka"/>
    <s v="Bengaluru"/>
    <x v="3"/>
    <n v="6"/>
    <s v="Kuldeep"/>
    <n v="52"/>
    <n v="3277.95"/>
  </r>
  <r>
    <x v="300"/>
    <s v="West"/>
    <s v="Maharashtra"/>
    <s v="Nagpur"/>
    <x v="2"/>
    <n v="6"/>
    <s v="Keshav"/>
    <n v="36"/>
    <n v="3279.45"/>
  </r>
  <r>
    <x v="301"/>
    <s v="West"/>
    <s v="Gujarat"/>
    <s v="Surat"/>
    <x v="1"/>
    <n v="11"/>
    <s v="Pankaj"/>
    <n v="19"/>
    <n v="1798.54"/>
  </r>
  <r>
    <x v="302"/>
    <s v="West"/>
    <s v="Gujarat"/>
    <s v="Vadodara"/>
    <x v="0"/>
    <n v="10"/>
    <s v="Dinesh"/>
    <n v="30"/>
    <n v="1979.32"/>
  </r>
  <r>
    <x v="303"/>
    <s v="South"/>
    <s v="Tamil Nadu"/>
    <s v="Coimbatore"/>
    <x v="2"/>
    <n v="4"/>
    <s v="Dinesh"/>
    <n v="38"/>
    <n v="4961.01"/>
  </r>
  <r>
    <x v="295"/>
    <s v="North"/>
    <s v="Delhi"/>
    <s v="Dwarka"/>
    <x v="1"/>
    <n v="12"/>
    <s v="Rajendra"/>
    <n v="39"/>
    <n v="1673.01"/>
  </r>
  <r>
    <x v="304"/>
    <s v="West"/>
    <s v="Gujarat"/>
    <s v="Surat"/>
    <x v="1"/>
    <n v="6"/>
    <s v="Pankaj"/>
    <n v="25"/>
    <n v="3350.51"/>
  </r>
  <r>
    <x v="296"/>
    <s v="West"/>
    <s v="Maharashtra"/>
    <s v="Nagpur"/>
    <x v="3"/>
    <n v="5"/>
    <s v="Keshav"/>
    <n v="45"/>
    <n v="4035.07"/>
  </r>
  <r>
    <x v="201"/>
    <s v="West"/>
    <s v="Maharashtra"/>
    <s v="Mumbai"/>
    <x v="3"/>
    <n v="6"/>
    <s v="Pankaj"/>
    <n v="29"/>
    <n v="3363.77"/>
  </r>
  <r>
    <x v="48"/>
    <s v="North"/>
    <s v="Delhi"/>
    <s v="Karol Bagh"/>
    <x v="3"/>
    <n v="10"/>
    <s v="Rajendra"/>
    <n v="35"/>
    <n v="2027.97"/>
  </r>
  <r>
    <x v="286"/>
    <s v="West"/>
    <s v="Gujarat"/>
    <s v="Surat"/>
    <x v="0"/>
    <n v="19"/>
    <s v="Keshav"/>
    <n v="20"/>
    <n v="1067.6199999999999"/>
  </r>
  <r>
    <x v="266"/>
    <s v="South"/>
    <s v="Karnataka"/>
    <s v="Mysuru"/>
    <x v="1"/>
    <n v="17"/>
    <s v="Pinkesh"/>
    <n v="32"/>
    <n v="1194.33"/>
  </r>
  <r>
    <x v="287"/>
    <s v="South"/>
    <s v="Karnataka"/>
    <s v="Bengaluru"/>
    <x v="4"/>
    <n v="18"/>
    <s v="Rajendra"/>
    <n v="50"/>
    <n v="1132.04"/>
  </r>
  <r>
    <x v="269"/>
    <s v="West"/>
    <s v="Maharashtra"/>
    <s v="Pune"/>
    <x v="3"/>
    <n v="9"/>
    <s v="Jaykesh"/>
    <n v="25"/>
    <n v="2267.7199999999998"/>
  </r>
  <r>
    <x v="305"/>
    <s v="South"/>
    <s v="Tamil Nadu"/>
    <s v="Chennai"/>
    <x v="3"/>
    <n v="18"/>
    <s v="Rajesh"/>
    <n v="52"/>
    <n v="1134.8800000000001"/>
  </r>
  <r>
    <x v="156"/>
    <s v="West"/>
    <s v="Gujarat"/>
    <s v="Ahmedabad"/>
    <x v="4"/>
    <n v="18"/>
    <s v="Priya"/>
    <n v="54"/>
    <n v="1137.05"/>
  </r>
  <r>
    <x v="306"/>
    <s v="South"/>
    <s v="Karnataka"/>
    <s v="Mysuru"/>
    <x v="3"/>
    <n v="6"/>
    <s v="vishal"/>
    <n v="53"/>
    <n v="3439.83"/>
  </r>
  <r>
    <x v="177"/>
    <s v="West"/>
    <s v="Gujarat"/>
    <s v="Surat"/>
    <x v="0"/>
    <n v="17"/>
    <s v="Keshav"/>
    <n v="17"/>
    <n v="1217.48"/>
  </r>
  <r>
    <x v="158"/>
    <s v="South"/>
    <s v="Karnataka"/>
    <s v="Hubli"/>
    <x v="0"/>
    <n v="6"/>
    <s v="Pankaj"/>
    <n v="32"/>
    <n v="3457.43"/>
  </r>
  <r>
    <x v="248"/>
    <s v="North"/>
    <s v="Delhi"/>
    <s v="Karol Bagh"/>
    <x v="3"/>
    <n v="19"/>
    <s v="vishal"/>
    <n v="20"/>
    <n v="1093.8900000000001"/>
  </r>
  <r>
    <x v="68"/>
    <s v="South"/>
    <s v="Karnataka"/>
    <s v="Hubli"/>
    <x v="0"/>
    <n v="6"/>
    <s v="vishal"/>
    <n v="40"/>
    <n v="3466.7"/>
  </r>
  <r>
    <x v="262"/>
    <s v="South"/>
    <s v="Karnataka"/>
    <s v="Mysuru"/>
    <x v="3"/>
    <n v="18"/>
    <s v="vishal"/>
    <n v="38"/>
    <n v="1156.17"/>
  </r>
  <r>
    <x v="149"/>
    <s v="South"/>
    <s v="Tamil Nadu"/>
    <s v="Madurai"/>
    <x v="3"/>
    <n v="14"/>
    <s v="Kuldeep"/>
    <n v="40"/>
    <n v="1487.12"/>
  </r>
  <r>
    <x v="275"/>
    <s v="North"/>
    <s v="Delhi"/>
    <s v="Dwarka"/>
    <x v="1"/>
    <n v="5"/>
    <s v="Pankaj"/>
    <n v="33"/>
    <n v="4165.41"/>
  </r>
  <r>
    <x v="307"/>
    <s v="North"/>
    <s v="Delhi"/>
    <s v="New Delhi"/>
    <x v="1"/>
    <n v="8"/>
    <s v="Rajendra"/>
    <n v="22"/>
    <n v="2606.36"/>
  </r>
  <r>
    <x v="277"/>
    <s v="West"/>
    <s v="Gujarat"/>
    <s v="Vadodara"/>
    <x v="2"/>
    <n v="5"/>
    <s v="Jaykesh"/>
    <n v="16"/>
    <n v="4182.07"/>
  </r>
  <r>
    <x v="308"/>
    <s v="West"/>
    <s v="Gujarat"/>
    <s v="Ahmedabad"/>
    <x v="2"/>
    <n v="18"/>
    <s v="Pinkesh"/>
    <n v="48"/>
    <n v="1164.29"/>
  </r>
  <r>
    <x v="309"/>
    <s v="South"/>
    <s v="Karnataka"/>
    <s v="Mysuru"/>
    <x v="4"/>
    <n v="11"/>
    <s v="Dinesh"/>
    <n v="47"/>
    <n v="1905.7"/>
  </r>
  <r>
    <x v="189"/>
    <s v="South"/>
    <s v="Karnataka"/>
    <s v="Hubli"/>
    <x v="0"/>
    <n v="12"/>
    <s v="Rajendra"/>
    <n v="30"/>
    <n v="1748.6"/>
  </r>
  <r>
    <x v="140"/>
    <s v="West"/>
    <s v="Maharashtra"/>
    <s v="Pune"/>
    <x v="4"/>
    <n v="5"/>
    <s v="Kuldeep"/>
    <n v="29"/>
    <n v="4198.97"/>
  </r>
  <r>
    <x v="310"/>
    <s v="North"/>
    <s v="Delhi"/>
    <s v="Dwarka"/>
    <x v="2"/>
    <n v="8"/>
    <s v="Kuldeep"/>
    <n v="45"/>
    <n v="2628.31"/>
  </r>
  <r>
    <x v="311"/>
    <s v="South"/>
    <s v="Tamil Nadu"/>
    <s v="Coimbatore"/>
    <x v="4"/>
    <n v="14"/>
    <s v="Dinesh"/>
    <n v="38"/>
    <n v="1507.19"/>
  </r>
  <r>
    <x v="245"/>
    <s v="West"/>
    <s v="Maharashtra"/>
    <s v="Pune"/>
    <x v="1"/>
    <n v="18"/>
    <s v="Jaykesh"/>
    <n v="23"/>
    <n v="1177.8"/>
  </r>
  <r>
    <x v="312"/>
    <s v="South"/>
    <s v="Karnataka"/>
    <s v="Hubli"/>
    <x v="4"/>
    <n v="7"/>
    <s v="Raghav"/>
    <n v="24"/>
    <n v="3052.99"/>
  </r>
  <r>
    <x v="313"/>
    <s v="West"/>
    <s v="Maharashtra"/>
    <s v="Mumbai"/>
    <x v="3"/>
    <n v="9"/>
    <s v="Rajendra"/>
    <n v="53"/>
    <n v="2376.12"/>
  </r>
  <r>
    <x v="314"/>
    <s v="South"/>
    <s v="Tamil Nadu"/>
    <s v="Coimbatore"/>
    <x v="2"/>
    <n v="5"/>
    <s v="Jaykesh"/>
    <n v="38"/>
    <n v="4281.1499999999996"/>
  </r>
  <r>
    <x v="315"/>
    <s v="South"/>
    <s v="Tamil Nadu"/>
    <s v="Coimbatore"/>
    <x v="1"/>
    <n v="13"/>
    <s v="Rajesh"/>
    <n v="40"/>
    <n v="1647.87"/>
  </r>
  <r>
    <x v="46"/>
    <s v="North"/>
    <s v="Delhi"/>
    <s v="New Delhi"/>
    <x v="2"/>
    <n v="7"/>
    <s v="Raghav"/>
    <n v="28"/>
    <n v="3063.53"/>
  </r>
  <r>
    <x v="316"/>
    <s v="South"/>
    <s v="Karnataka"/>
    <s v="Hubli"/>
    <x v="2"/>
    <n v="7"/>
    <s v="Kuldeep"/>
    <n v="16"/>
    <n v="3070.09"/>
  </r>
  <r>
    <x v="258"/>
    <s v="South"/>
    <s v="Karnataka"/>
    <s v="Bengaluru"/>
    <x v="3"/>
    <n v="5"/>
    <s v="Kuldeep"/>
    <n v="16"/>
    <n v="4300.7"/>
  </r>
  <r>
    <x v="76"/>
    <s v="South"/>
    <s v="Tamil Nadu"/>
    <s v="Madurai"/>
    <x v="1"/>
    <n v="9"/>
    <s v="Raghav"/>
    <n v="40"/>
    <n v="2427.88"/>
  </r>
  <r>
    <x v="317"/>
    <s v="West"/>
    <s v="Maharashtra"/>
    <s v="Nagpur"/>
    <x v="4"/>
    <n v="5"/>
    <s v="vishal"/>
    <n v="24"/>
    <n v="4386.2"/>
  </r>
  <r>
    <x v="138"/>
    <s v="South"/>
    <s v="Karnataka"/>
    <s v="Mysuru"/>
    <x v="2"/>
    <n v="9"/>
    <s v="Keshav"/>
    <n v="52"/>
    <n v="2438.9899999999998"/>
  </r>
  <r>
    <x v="92"/>
    <s v="West"/>
    <s v="Maharashtra"/>
    <s v="Mumbai"/>
    <x v="0"/>
    <n v="20"/>
    <s v="Pankaj"/>
    <n v="45"/>
    <n v="1100.3800000000001"/>
  </r>
  <r>
    <x v="187"/>
    <s v="North"/>
    <s v="Delhi"/>
    <s v="New Delhi"/>
    <x v="4"/>
    <n v="6"/>
    <s v="Rajendra"/>
    <n v="30"/>
    <n v="3671.84"/>
  </r>
  <r>
    <x v="318"/>
    <s v="West"/>
    <s v="Maharashtra"/>
    <s v="Mumbai"/>
    <x v="3"/>
    <n v="7"/>
    <s v="Dinesh"/>
    <n v="33"/>
    <n v="3163.37"/>
  </r>
  <r>
    <x v="316"/>
    <s v="West"/>
    <s v="Maharashtra"/>
    <s v="Mumbai"/>
    <x v="3"/>
    <n v="7"/>
    <s v="Pankaj"/>
    <n v="33"/>
    <n v="3163.37"/>
  </r>
  <r>
    <x v="90"/>
    <s v="West"/>
    <s v="Maharashtra"/>
    <s v="Pune"/>
    <x v="2"/>
    <n v="17"/>
    <s v="Dinesh"/>
    <n v="19"/>
    <n v="1307.24"/>
  </r>
  <r>
    <x v="133"/>
    <s v="North"/>
    <s v="Delhi"/>
    <s v="New Delhi"/>
    <x v="4"/>
    <n v="14"/>
    <s v="Priya"/>
    <n v="26"/>
    <n v="1598.93"/>
  </r>
  <r>
    <x v="170"/>
    <s v="South"/>
    <s v="Tamil Nadu"/>
    <s v="Chennai"/>
    <x v="0"/>
    <n v="5"/>
    <s v="Raghav"/>
    <n v="34"/>
    <n v="4499.88"/>
  </r>
  <r>
    <x v="20"/>
    <s v="West"/>
    <s v="Maharashtra"/>
    <s v="Pune"/>
    <x v="4"/>
    <n v="17"/>
    <s v="Rajendra"/>
    <n v="47"/>
    <n v="1333.71"/>
  </r>
  <r>
    <x v="319"/>
    <s v="West"/>
    <s v="Maharashtra"/>
    <s v="Pune"/>
    <x v="4"/>
    <n v="17"/>
    <s v="Rajendra"/>
    <n v="47"/>
    <n v="1333.71"/>
  </r>
  <r>
    <x v="308"/>
    <s v="West"/>
    <s v="Gujarat"/>
    <s v="Ahmedabad"/>
    <x v="0"/>
    <n v="19"/>
    <s v="vishal"/>
    <n v="44"/>
    <n v="1199.24"/>
  </r>
  <r>
    <x v="320"/>
    <s v="West"/>
    <s v="Gujarat"/>
    <s v="Ahmedabad"/>
    <x v="1"/>
    <n v="13"/>
    <s v="vishal"/>
    <n v="51"/>
    <n v="1753.48"/>
  </r>
  <r>
    <x v="21"/>
    <s v="West"/>
    <s v="Gujarat"/>
    <s v="Vadodara"/>
    <x v="0"/>
    <n v="17"/>
    <s v="Pankaj"/>
    <n v="21"/>
    <n v="1340.98"/>
  </r>
  <r>
    <x v="16"/>
    <s v="West"/>
    <s v="Gujarat"/>
    <s v="Surat"/>
    <x v="3"/>
    <n v="13"/>
    <s v="Rajesh"/>
    <n v="40"/>
    <n v="1767.86"/>
  </r>
  <r>
    <x v="122"/>
    <s v="South"/>
    <s v="Tamil Nadu"/>
    <s v="Chennai"/>
    <x v="1"/>
    <n v="18"/>
    <s v="vishal"/>
    <n v="23"/>
    <n v="1279.4100000000001"/>
  </r>
  <r>
    <x v="291"/>
    <s v="West"/>
    <s v="Gujarat"/>
    <s v="Ahmedabad"/>
    <x v="4"/>
    <n v="17"/>
    <s v="Rajesh"/>
    <n v="24"/>
    <n v="1356.25"/>
  </r>
  <r>
    <x v="321"/>
    <s v="West"/>
    <s v="Maharashtra"/>
    <s v="Mumbai"/>
    <x v="2"/>
    <n v="11"/>
    <s v="Pankaj"/>
    <n v="47"/>
    <n v="2097.48"/>
  </r>
  <r>
    <x v="192"/>
    <s v="South"/>
    <s v="Tamil Nadu"/>
    <s v="Chennai"/>
    <x v="3"/>
    <n v="5"/>
    <s v="Rajendra"/>
    <n v="25"/>
    <n v="4619.16"/>
  </r>
  <r>
    <x v="63"/>
    <s v="North"/>
    <s v="Delhi"/>
    <s v="New Delhi"/>
    <x v="1"/>
    <n v="15"/>
    <s v="Rajesh"/>
    <n v="39"/>
    <n v="1543.85"/>
  </r>
  <r>
    <x v="68"/>
    <s v="South"/>
    <s v="Karnataka"/>
    <s v="Hubli"/>
    <x v="4"/>
    <n v="14"/>
    <s v="Priya"/>
    <n v="35"/>
    <n v="1658.39"/>
  </r>
  <r>
    <x v="295"/>
    <s v="South"/>
    <s v="Tamil Nadu"/>
    <s v="Madurai"/>
    <x v="0"/>
    <n v="12"/>
    <s v="Rajendra"/>
    <n v="27"/>
    <n v="1947.14"/>
  </r>
  <r>
    <x v="184"/>
    <s v="South"/>
    <s v="Tamil Nadu"/>
    <s v="Chennai"/>
    <x v="4"/>
    <n v="10"/>
    <s v="Jaykesh"/>
    <n v="34"/>
    <n v="2349.2399999999998"/>
  </r>
  <r>
    <x v="308"/>
    <s v="West"/>
    <s v="Maharashtra"/>
    <s v="Nagpur"/>
    <x v="0"/>
    <n v="18"/>
    <s v="Dinesh"/>
    <n v="31"/>
    <n v="1306.19"/>
  </r>
  <r>
    <x v="211"/>
    <s v="West"/>
    <s v="Maharashtra"/>
    <s v="Pune"/>
    <x v="3"/>
    <n v="5"/>
    <s v="Keshav"/>
    <n v="21"/>
    <n v="4716.38"/>
  </r>
  <r>
    <x v="275"/>
    <s v="North"/>
    <s v="Delhi"/>
    <s v="New Delhi"/>
    <x v="3"/>
    <n v="12"/>
    <s v="Priya"/>
    <n v="39"/>
    <n v="1973.14"/>
  </r>
  <r>
    <x v="322"/>
    <s v="South"/>
    <s v="Tamil Nadu"/>
    <s v="Madurai"/>
    <x v="3"/>
    <n v="16"/>
    <s v="Priya"/>
    <n v="54"/>
    <n v="1480.7"/>
  </r>
  <r>
    <x v="119"/>
    <s v="West"/>
    <s v="Maharashtra"/>
    <s v="Nagpur"/>
    <x v="0"/>
    <n v="14"/>
    <s v="Pinkesh"/>
    <n v="38"/>
    <n v="1694.59"/>
  </r>
  <r>
    <x v="120"/>
    <s v="South"/>
    <s v="Karnataka"/>
    <s v="Hubli"/>
    <x v="4"/>
    <n v="7"/>
    <s v="Dinesh"/>
    <n v="20"/>
    <n v="3402.48"/>
  </r>
  <r>
    <x v="27"/>
    <s v="North"/>
    <s v="Delhi"/>
    <s v="Karol Bagh"/>
    <x v="2"/>
    <n v="7"/>
    <s v="vishal"/>
    <n v="24"/>
    <n v="3415.15"/>
  </r>
  <r>
    <x v="4"/>
    <s v="West"/>
    <s v="Maharashtra"/>
    <s v="Pune"/>
    <x v="0"/>
    <n v="9"/>
    <s v="Pankaj"/>
    <n v="24"/>
    <n v="2660.79"/>
  </r>
  <r>
    <x v="228"/>
    <s v="West"/>
    <s v="Gujarat"/>
    <s v="Surat"/>
    <x v="3"/>
    <n v="14"/>
    <s v="Jaykesh"/>
    <n v="24"/>
    <n v="1720"/>
  </r>
  <r>
    <x v="238"/>
    <s v="West"/>
    <s v="Gujarat"/>
    <s v="Ahmedabad"/>
    <x v="3"/>
    <n v="9"/>
    <s v="Raghav"/>
    <n v="35"/>
    <n v="2677.7"/>
  </r>
  <r>
    <x v="2"/>
    <s v="West"/>
    <s v="Gujarat"/>
    <s v="Ahmedabad"/>
    <x v="0"/>
    <n v="16"/>
    <s v="Raghav"/>
    <n v="49"/>
    <n v="1514.31"/>
  </r>
  <r>
    <x v="313"/>
    <s v="West"/>
    <s v="Gujarat"/>
    <s v="Vadodara"/>
    <x v="0"/>
    <n v="6"/>
    <s v="Rajendra"/>
    <n v="52"/>
    <n v="4042.16"/>
  </r>
  <r>
    <x v="260"/>
    <s v="West"/>
    <s v="Maharashtra"/>
    <s v="Mumbai"/>
    <x v="2"/>
    <n v="20"/>
    <s v="Kuldeep"/>
    <n v="19"/>
    <n v="1222.92"/>
  </r>
  <r>
    <x v="237"/>
    <s v="North"/>
    <s v="Delhi"/>
    <s v="New Delhi"/>
    <x v="2"/>
    <n v="6"/>
    <s v="Pinkesh"/>
    <n v="26"/>
    <n v="4100.9799999999996"/>
  </r>
  <r>
    <x v="3"/>
    <s v="West"/>
    <s v="Maharashtra"/>
    <s v="Nagpur"/>
    <x v="1"/>
    <n v="17"/>
    <s v="Dinesh"/>
    <n v="38"/>
    <n v="1457.07"/>
  </r>
  <r>
    <x v="263"/>
    <s v="West"/>
    <s v="Gujarat"/>
    <s v="Ahmedabad"/>
    <x v="4"/>
    <n v="18"/>
    <s v="Pankaj"/>
    <n v="30"/>
    <n v="1376.52"/>
  </r>
  <r>
    <x v="194"/>
    <s v="South"/>
    <s v="Tamil Nadu"/>
    <s v="Coimbatore"/>
    <x v="2"/>
    <n v="14"/>
    <s v="Raghav"/>
    <n v="29"/>
    <n v="1770.36"/>
  </r>
  <r>
    <x v="323"/>
    <s v="South"/>
    <s v="Tamil Nadu"/>
    <s v="Madurai"/>
    <x v="2"/>
    <n v="19"/>
    <s v="vishal"/>
    <n v="31"/>
    <n v="1309.6500000000001"/>
  </r>
  <r>
    <x v="173"/>
    <s v="South"/>
    <s v="Karnataka"/>
    <s v="Hubli"/>
    <x v="2"/>
    <n v="9"/>
    <s v="Dinesh"/>
    <n v="48"/>
    <n v="2770.27"/>
  </r>
  <r>
    <x v="324"/>
    <s v="West"/>
    <s v="Maharashtra"/>
    <s v="Mumbai"/>
    <x v="3"/>
    <n v="5"/>
    <s v="Dinesh"/>
    <n v="21"/>
    <n v="4987.7"/>
  </r>
  <r>
    <x v="325"/>
    <s v="West"/>
    <s v="Maharashtra"/>
    <s v="Mumbai"/>
    <x v="3"/>
    <n v="5"/>
    <s v="Priya"/>
    <n v="21"/>
    <n v="4987.7"/>
  </r>
  <r>
    <x v="326"/>
    <s v="South"/>
    <s v="Tamil Nadu"/>
    <s v="Coimbatore"/>
    <x v="3"/>
    <n v="5"/>
    <s v="Keshav"/>
    <n v="51"/>
    <n v="4987.84"/>
  </r>
  <r>
    <x v="20"/>
    <s v="South"/>
    <s v="Karnataka"/>
    <s v="Mysuru"/>
    <x v="2"/>
    <n v="8"/>
    <s v="Rajendra"/>
    <n v="55"/>
    <n v="3120.6"/>
  </r>
  <r>
    <x v="54"/>
    <s v="North"/>
    <s v="Delhi"/>
    <s v="New Delhi"/>
    <x v="2"/>
    <n v="5"/>
    <s v="Pankaj"/>
    <n v="50"/>
    <n v="4993.87"/>
  </r>
  <r>
    <x v="228"/>
    <s v="South"/>
    <s v="Karnataka"/>
    <s v="Hubli"/>
    <x v="2"/>
    <n v="13"/>
    <s v="Kuldeep"/>
    <n v="31"/>
    <n v="1929.55"/>
  </r>
  <r>
    <x v="327"/>
    <s v="West"/>
    <s v="Maharashtra"/>
    <s v="Nagpur"/>
    <x v="1"/>
    <n v="20"/>
    <s v="Jaykesh"/>
    <n v="43"/>
    <n v="1260.25"/>
  </r>
  <r>
    <x v="328"/>
    <s v="West"/>
    <s v="Maharashtra"/>
    <s v="Pune"/>
    <x v="0"/>
    <n v="16"/>
    <s v="Keshav"/>
    <n v="28"/>
    <n v="1575.89"/>
  </r>
  <r>
    <x v="185"/>
    <s v="North"/>
    <s v="Delhi"/>
    <s v="New Delhi"/>
    <x v="0"/>
    <n v="6"/>
    <s v="Pankaj"/>
    <n v="36"/>
    <n v="4219.6099999999997"/>
  </r>
  <r>
    <x v="255"/>
    <s v="South"/>
    <s v="Karnataka"/>
    <s v="Bengaluru"/>
    <x v="0"/>
    <n v="10"/>
    <s v="Pankaj"/>
    <n v="21"/>
    <n v="2539.6799999999998"/>
  </r>
  <r>
    <x v="329"/>
    <s v="North"/>
    <s v="Delhi"/>
    <s v="New Delhi"/>
    <x v="3"/>
    <n v="13"/>
    <s v="Rajendra"/>
    <n v="22"/>
    <n v="1965.63"/>
  </r>
  <r>
    <x v="330"/>
    <s v="North"/>
    <s v="Delhi"/>
    <s v="New Delhi"/>
    <x v="3"/>
    <n v="13"/>
    <s v="Rajendra"/>
    <n v="22"/>
    <n v="1965.63"/>
  </r>
  <r>
    <x v="243"/>
    <s v="West"/>
    <s v="Gujarat"/>
    <s v="Surat"/>
    <x v="1"/>
    <n v="6"/>
    <s v="Raghav"/>
    <n v="23"/>
    <n v="4265.8599999999997"/>
  </r>
  <r>
    <x v="164"/>
    <s v="South"/>
    <s v="Karnataka"/>
    <s v="Hubli"/>
    <x v="2"/>
    <n v="15"/>
    <s v="Pankaj"/>
    <n v="33"/>
    <n v="1712.05"/>
  </r>
  <r>
    <x v="265"/>
    <s v="South"/>
    <s v="Karnataka"/>
    <s v="Mysuru"/>
    <x v="0"/>
    <n v="13"/>
    <s v="Rajendra"/>
    <n v="30"/>
    <n v="1976.63"/>
  </r>
  <r>
    <x v="102"/>
    <s v="North"/>
    <s v="Delhi"/>
    <s v="Dwarka"/>
    <x v="4"/>
    <n v="17"/>
    <s v="Keshav"/>
    <n v="23"/>
    <n v="1538.4"/>
  </r>
  <r>
    <x v="248"/>
    <s v="North"/>
    <s v="Delhi"/>
    <s v="Karol Bagh"/>
    <x v="0"/>
    <n v="6"/>
    <s v="Rajendra"/>
    <n v="34"/>
    <n v="4364.67"/>
  </r>
  <r>
    <x v="331"/>
    <s v="South"/>
    <s v="Karnataka"/>
    <s v="Hubli"/>
    <x v="4"/>
    <n v="20"/>
    <s v="Raghav"/>
    <n v="30"/>
    <n v="1310.3699999999999"/>
  </r>
  <r>
    <x v="22"/>
    <s v="West"/>
    <s v="Gujarat"/>
    <s v="Vadodara"/>
    <x v="3"/>
    <n v="12"/>
    <s v="Pankaj"/>
    <n v="22"/>
    <n v="2208.4899999999998"/>
  </r>
  <r>
    <x v="332"/>
    <s v="South"/>
    <s v="Karnataka"/>
    <s v="Mysuru"/>
    <x v="4"/>
    <n v="19"/>
    <s v="Rajendra"/>
    <n v="18"/>
    <n v="1398.49"/>
  </r>
  <r>
    <x v="311"/>
    <s v="South"/>
    <s v="Tamil Nadu"/>
    <s v="Coimbatore"/>
    <x v="3"/>
    <n v="11"/>
    <s v="vishal"/>
    <n v="23"/>
    <n v="2426.48"/>
  </r>
  <r>
    <x v="264"/>
    <s v="West"/>
    <s v="Gujarat"/>
    <s v="Vadodara"/>
    <x v="2"/>
    <n v="12"/>
    <s v="Pankaj"/>
    <n v="38"/>
    <n v="2232.4899999999998"/>
  </r>
  <r>
    <x v="333"/>
    <s v="West"/>
    <s v="Maharashtra"/>
    <s v="Nagpur"/>
    <x v="1"/>
    <n v="15"/>
    <s v="Rajesh"/>
    <n v="34"/>
    <n v="1790.03"/>
  </r>
  <r>
    <x v="119"/>
    <s v="North"/>
    <s v="Delhi"/>
    <s v="New Delhi"/>
    <x v="3"/>
    <n v="19"/>
    <s v="Keshav"/>
    <n v="26"/>
    <n v="1414.78"/>
  </r>
  <r>
    <x v="188"/>
    <s v="West"/>
    <s v="Maharashtra"/>
    <s v="Mumbai"/>
    <x v="0"/>
    <n v="10"/>
    <s v="Jaykesh"/>
    <n v="43"/>
    <n v="2691.21"/>
  </r>
  <r>
    <x v="303"/>
    <s v="West"/>
    <s v="Maharashtra"/>
    <s v="Nagpur"/>
    <x v="0"/>
    <n v="8"/>
    <s v="Rajesh"/>
    <n v="35"/>
    <n v="3372.86"/>
  </r>
  <r>
    <x v="162"/>
    <s v="West"/>
    <s v="Gujarat"/>
    <s v="Surat"/>
    <x v="4"/>
    <n v="20"/>
    <s v="Keshav"/>
    <n v="50"/>
    <n v="1353.54"/>
  </r>
  <r>
    <x v="109"/>
    <s v="West"/>
    <s v="Gujarat"/>
    <s v="Vadodara"/>
    <x v="1"/>
    <n v="6"/>
    <s v="Priya"/>
    <n v="26"/>
    <n v="4541.92"/>
  </r>
  <r>
    <x v="334"/>
    <s v="South"/>
    <s v="Tamil Nadu"/>
    <s v="Madurai"/>
    <x v="1"/>
    <n v="11"/>
    <s v="Dinesh"/>
    <n v="28"/>
    <n v="2491.8000000000002"/>
  </r>
  <r>
    <x v="164"/>
    <s v="West"/>
    <s v="Maharashtra"/>
    <s v="Pune"/>
    <x v="2"/>
    <n v="7"/>
    <s v="Keshav"/>
    <n v="23"/>
    <n v="3931.73"/>
  </r>
  <r>
    <x v="210"/>
    <s v="West"/>
    <s v="Maharashtra"/>
    <s v="Mumbai"/>
    <x v="2"/>
    <n v="18"/>
    <s v="Pinkesh"/>
    <n v="31"/>
    <n v="1533.77"/>
  </r>
  <r>
    <x v="44"/>
    <s v="South"/>
    <s v="Tamil Nadu"/>
    <s v="Madurai"/>
    <x v="3"/>
    <n v="14"/>
    <s v="Pankaj"/>
    <n v="54"/>
    <n v="1972.22"/>
  </r>
  <r>
    <x v="335"/>
    <s v="West"/>
    <s v="Gujarat"/>
    <s v="Surat"/>
    <x v="4"/>
    <n v="11"/>
    <s v="Pinkesh"/>
    <n v="26"/>
    <n v="2522.63"/>
  </r>
  <r>
    <x v="124"/>
    <s v="North"/>
    <s v="Delhi"/>
    <s v="Karol Bagh"/>
    <x v="4"/>
    <n v="9"/>
    <s v="Dinesh"/>
    <n v="40"/>
    <n v="3095.35"/>
  </r>
  <r>
    <x v="94"/>
    <s v="North"/>
    <s v="Delhi"/>
    <s v="Dwarka"/>
    <x v="2"/>
    <n v="17"/>
    <s v="Jaykesh"/>
    <n v="55"/>
    <n v="1645.97"/>
  </r>
  <r>
    <x v="38"/>
    <s v="North"/>
    <s v="Delhi"/>
    <s v="Dwarka"/>
    <x v="3"/>
    <n v="6"/>
    <s v="Dinesh"/>
    <n v="36"/>
    <n v="4673.01"/>
  </r>
  <r>
    <x v="332"/>
    <s v="West"/>
    <s v="Gujarat"/>
    <s v="Surat"/>
    <x v="1"/>
    <n v="13"/>
    <s v="Jaykesh"/>
    <n v="54"/>
    <n v="2163.4"/>
  </r>
  <r>
    <x v="29"/>
    <s v="North"/>
    <s v="Delhi"/>
    <s v="Karol Bagh"/>
    <x v="0"/>
    <n v="9"/>
    <s v="Dinesh"/>
    <n v="17"/>
    <n v="3137.87"/>
  </r>
  <r>
    <x v="242"/>
    <s v="West"/>
    <s v="Maharashtra"/>
    <s v="Nagpur"/>
    <x v="2"/>
    <n v="7"/>
    <s v="Kuldeep"/>
    <n v="51"/>
    <n v="4046.34"/>
  </r>
  <r>
    <x v="336"/>
    <s v="South"/>
    <s v="Karnataka"/>
    <s v="Mysuru"/>
    <x v="0"/>
    <n v="8"/>
    <s v="Kuldeep"/>
    <n v="41"/>
    <n v="3547.38"/>
  </r>
  <r>
    <x v="337"/>
    <s v="South"/>
    <s v="Karnataka"/>
    <s v="Hubli"/>
    <x v="2"/>
    <n v="18"/>
    <s v="Rajendra"/>
    <n v="47"/>
    <n v="1576.88"/>
  </r>
  <r>
    <x v="4"/>
    <s v="West"/>
    <s v="Maharashtra"/>
    <s v="Nagpur"/>
    <x v="2"/>
    <n v="10"/>
    <s v="Rajesh"/>
    <n v="33"/>
    <n v="2853.88"/>
  </r>
  <r>
    <x v="100"/>
    <s v="South"/>
    <s v="Karnataka"/>
    <s v="Bengaluru"/>
    <x v="3"/>
    <n v="7"/>
    <s v="vishal"/>
    <n v="29"/>
    <n v="4083.1"/>
  </r>
  <r>
    <x v="338"/>
    <s v="West"/>
    <s v="Gujarat"/>
    <s v="Ahmedabad"/>
    <x v="1"/>
    <n v="12"/>
    <s v="Rajesh"/>
    <n v="24"/>
    <n v="2384.1"/>
  </r>
  <r>
    <x v="22"/>
    <s v="West"/>
    <s v="Gujarat"/>
    <s v="Ahmedabad"/>
    <x v="1"/>
    <n v="12"/>
    <s v="vishal"/>
    <n v="24"/>
    <n v="2384.1"/>
  </r>
  <r>
    <x v="21"/>
    <s v="South"/>
    <s v="Tamil Nadu"/>
    <s v="Madurai"/>
    <x v="4"/>
    <n v="10"/>
    <s v="Keshav"/>
    <n v="29"/>
    <n v="2861.62"/>
  </r>
  <r>
    <x v="339"/>
    <s v="South"/>
    <s v="Karnataka"/>
    <s v="Bengaluru"/>
    <x v="4"/>
    <n v="9"/>
    <s v="Pinkesh"/>
    <n v="40"/>
    <n v="3193.9"/>
  </r>
  <r>
    <x v="32"/>
    <s v="North"/>
    <s v="Delhi"/>
    <s v="Dwarka"/>
    <x v="1"/>
    <n v="18"/>
    <s v="Jaykesh"/>
    <n v="48"/>
    <n v="1601.74"/>
  </r>
  <r>
    <x v="340"/>
    <s v="West"/>
    <s v="Gujarat"/>
    <s v="Vadodara"/>
    <x v="0"/>
    <n v="9"/>
    <s v="Jaykesh"/>
    <n v="35"/>
    <n v="3209.83"/>
  </r>
  <r>
    <x v="220"/>
    <s v="West"/>
    <s v="Maharashtra"/>
    <s v="Nagpur"/>
    <x v="1"/>
    <n v="8"/>
    <s v="Rajesh"/>
    <n v="51"/>
    <n v="3615.06"/>
  </r>
  <r>
    <x v="28"/>
    <s v="South"/>
    <s v="Karnataka"/>
    <s v="Bengaluru"/>
    <x v="1"/>
    <n v="13"/>
    <s v="Rajendra"/>
    <n v="36"/>
    <n v="2238.96"/>
  </r>
  <r>
    <x v="91"/>
    <s v="West"/>
    <s v="Gujarat"/>
    <s v="Vadodara"/>
    <x v="0"/>
    <n v="12"/>
    <s v="Raghav"/>
    <n v="22"/>
    <n v="2438.6799999999998"/>
  </r>
  <r>
    <x v="271"/>
    <s v="South"/>
    <s v="Karnataka"/>
    <s v="Bengaluru"/>
    <x v="2"/>
    <n v="6"/>
    <s v="Kuldeep"/>
    <n v="45"/>
    <n v="4894.41"/>
  </r>
  <r>
    <x v="295"/>
    <s v="South"/>
    <s v="Karnataka"/>
    <s v="Hubli"/>
    <x v="1"/>
    <n v="11"/>
    <s v="Priya"/>
    <n v="17"/>
    <n v="2677.03"/>
  </r>
  <r>
    <x v="189"/>
    <s v="West"/>
    <s v="Maharashtra"/>
    <s v="Nagpur"/>
    <x v="2"/>
    <n v="6"/>
    <s v="Dinesh"/>
    <n v="41"/>
    <n v="4908.9799999999996"/>
  </r>
  <r>
    <x v="85"/>
    <s v="West"/>
    <s v="Gujarat"/>
    <s v="Vadodara"/>
    <x v="3"/>
    <n v="9"/>
    <s v="Dinesh"/>
    <n v="41"/>
    <n v="3276.04"/>
  </r>
  <r>
    <x v="238"/>
    <s v="South"/>
    <s v="Karnataka"/>
    <s v="Mysuru"/>
    <x v="0"/>
    <n v="15"/>
    <s v="Rajesh"/>
    <n v="53"/>
    <n v="1972.75"/>
  </r>
  <r>
    <x v="109"/>
    <s v="North"/>
    <s v="Delhi"/>
    <s v="Dwarka"/>
    <x v="0"/>
    <n v="6"/>
    <s v="Rajendra"/>
    <n v="48"/>
    <n v="4939.09"/>
  </r>
  <r>
    <x v="44"/>
    <s v="West"/>
    <s v="Maharashtra"/>
    <s v="Nagpur"/>
    <x v="4"/>
    <n v="7"/>
    <s v="Pinkesh"/>
    <n v="27"/>
    <n v="4238.07"/>
  </r>
  <r>
    <x v="103"/>
    <s v="North"/>
    <s v="Delhi"/>
    <s v="Karol Bagh"/>
    <x v="3"/>
    <n v="7"/>
    <s v="Dinesh"/>
    <n v="54"/>
    <n v="4243.95"/>
  </r>
  <r>
    <x v="31"/>
    <s v="South"/>
    <s v="Karnataka"/>
    <s v="Mysuru"/>
    <x v="3"/>
    <n v="19"/>
    <s v="Dinesh"/>
    <n v="35"/>
    <n v="1564.94"/>
  </r>
  <r>
    <x v="242"/>
    <s v="West"/>
    <s v="Maharashtra"/>
    <s v="Nagpur"/>
    <x v="3"/>
    <n v="9"/>
    <s v="Kuldeep"/>
    <n v="47"/>
    <n v="3318.1"/>
  </r>
  <r>
    <x v="341"/>
    <s v="West"/>
    <s v="Maharashtra"/>
    <s v="Nagpur"/>
    <x v="3"/>
    <n v="9"/>
    <s v="Priya"/>
    <n v="47"/>
    <n v="3318.1"/>
  </r>
  <r>
    <x v="183"/>
    <s v="North"/>
    <s v="Delhi"/>
    <s v="New Delhi"/>
    <x v="2"/>
    <n v="6"/>
    <s v="Pankaj"/>
    <n v="26"/>
    <n v="4984.92"/>
  </r>
  <r>
    <x v="155"/>
    <s v="West"/>
    <s v="Maharashtra"/>
    <s v="Pune"/>
    <x v="2"/>
    <n v="17"/>
    <s v="Pinkesh"/>
    <n v="53"/>
    <n v="1759.91"/>
  </r>
  <r>
    <x v="314"/>
    <s v="West"/>
    <s v="Gujarat"/>
    <s v="Surat"/>
    <x v="4"/>
    <n v="15"/>
    <s v="Pankaj"/>
    <n v="33"/>
    <n v="2006.04"/>
  </r>
  <r>
    <x v="272"/>
    <s v="West"/>
    <s v="Maharashtra"/>
    <s v="Mumbai"/>
    <x v="2"/>
    <n v="20"/>
    <s v="Rajendra"/>
    <n v="18"/>
    <n v="1507.52"/>
  </r>
  <r>
    <x v="185"/>
    <s v="South"/>
    <s v="Karnataka"/>
    <s v="Hubli"/>
    <x v="3"/>
    <n v="17"/>
    <s v="Keshav"/>
    <n v="16"/>
    <n v="1777.42"/>
  </r>
  <r>
    <x v="262"/>
    <s v="North"/>
    <s v="Delhi"/>
    <s v="Karol Bagh"/>
    <x v="3"/>
    <n v="13"/>
    <s v="vishal"/>
    <n v="32"/>
    <n v="2327.81"/>
  </r>
  <r>
    <x v="291"/>
    <s v="South"/>
    <s v="Karnataka"/>
    <s v="Hubli"/>
    <x v="3"/>
    <n v="20"/>
    <s v="vishal"/>
    <n v="52"/>
    <n v="1514.3"/>
  </r>
  <r>
    <x v="104"/>
    <s v="West"/>
    <s v="Gujarat"/>
    <s v="Ahmedabad"/>
    <x v="3"/>
    <n v="17"/>
    <s v="Keshav"/>
    <n v="25"/>
    <n v="1793.43"/>
  </r>
  <r>
    <x v="342"/>
    <s v="South"/>
    <s v="Tamil Nadu"/>
    <s v="Madurai"/>
    <x v="0"/>
    <n v="13"/>
    <s v="Priya"/>
    <n v="38"/>
    <n v="2347.66"/>
  </r>
  <r>
    <x v="23"/>
    <s v="West"/>
    <s v="Gujarat"/>
    <s v="Vadodara"/>
    <x v="0"/>
    <n v="16"/>
    <s v="Rajendra"/>
    <n v="31"/>
    <n v="1907.95"/>
  </r>
  <r>
    <x v="243"/>
    <s v="South"/>
    <s v="Tamil Nadu"/>
    <s v="Coimbatore"/>
    <x v="0"/>
    <n v="9"/>
    <s v="Pinkesh"/>
    <n v="29"/>
    <n v="3395.02"/>
  </r>
  <r>
    <x v="158"/>
    <s v="West"/>
    <s v="Gujarat"/>
    <s v="Vadodara"/>
    <x v="4"/>
    <n v="13"/>
    <s v="Raghav"/>
    <n v="22"/>
    <n v="2351.59"/>
  </r>
  <r>
    <x v="335"/>
    <s v="South"/>
    <s v="Tamil Nadu"/>
    <s v="Chennai"/>
    <x v="2"/>
    <n v="12"/>
    <s v="Priya"/>
    <n v="52"/>
    <n v="2557.5700000000002"/>
  </r>
  <r>
    <x v="47"/>
    <s v="West"/>
    <s v="Maharashtra"/>
    <s v="Pune"/>
    <x v="3"/>
    <n v="20"/>
    <s v="Rajendra"/>
    <n v="21"/>
    <n v="1536.73"/>
  </r>
  <r>
    <x v="76"/>
    <s v="West"/>
    <s v="Maharashtra"/>
    <s v="Pune"/>
    <x v="4"/>
    <n v="16"/>
    <s v="Pankaj"/>
    <n v="51"/>
    <n v="1933.33"/>
  </r>
  <r>
    <x v="198"/>
    <s v="North"/>
    <s v="Delhi"/>
    <s v="Karol Bagh"/>
    <x v="1"/>
    <n v="12"/>
    <s v="Rajendra"/>
    <n v="20"/>
    <n v="2581.09"/>
  </r>
  <r>
    <x v="170"/>
    <s v="North"/>
    <s v="Delhi"/>
    <s v="New Delhi"/>
    <x v="0"/>
    <n v="9"/>
    <s v="Kuldeep"/>
    <n v="54"/>
    <n v="3458"/>
  </r>
  <r>
    <x v="214"/>
    <s v="West"/>
    <s v="Gujarat"/>
    <s v="Vadodara"/>
    <x v="2"/>
    <n v="19"/>
    <s v="Dinesh"/>
    <n v="55"/>
    <n v="1641.98"/>
  </r>
  <r>
    <x v="197"/>
    <s v="South"/>
    <s v="Karnataka"/>
    <s v="Hubli"/>
    <x v="3"/>
    <n v="15"/>
    <s v="Rajendra"/>
    <n v="25"/>
    <n v="2081.27"/>
  </r>
  <r>
    <x v="181"/>
    <s v="South"/>
    <s v="Tamil Nadu"/>
    <s v="Coimbatore"/>
    <x v="0"/>
    <n v="10"/>
    <s v="Priya"/>
    <n v="43"/>
    <n v="3122.59"/>
  </r>
  <r>
    <x v="343"/>
    <s v="South"/>
    <s v="Tamil Nadu"/>
    <s v="Madurai"/>
    <x v="1"/>
    <n v="11"/>
    <s v="Dinesh"/>
    <n v="16"/>
    <n v="2852.22"/>
  </r>
  <r>
    <x v="91"/>
    <s v="South"/>
    <s v="Tamil Nadu"/>
    <s v="Madurai"/>
    <x v="1"/>
    <n v="11"/>
    <s v="Pinkesh"/>
    <n v="16"/>
    <n v="2852.22"/>
  </r>
  <r>
    <x v="344"/>
    <s v="West"/>
    <s v="Gujarat"/>
    <s v="Ahmedabad"/>
    <x v="3"/>
    <n v="7"/>
    <s v="Rajendra"/>
    <n v="45"/>
    <n v="4508.28"/>
  </r>
  <r>
    <x v="288"/>
    <s v="West"/>
    <s v="Gujarat"/>
    <s v="Vadodara"/>
    <x v="2"/>
    <n v="14"/>
    <s v="Pinkesh"/>
    <n v="49"/>
    <n v="2260.17"/>
  </r>
  <r>
    <x v="345"/>
    <s v="South"/>
    <s v="Tamil Nadu"/>
    <s v="Coimbatore"/>
    <x v="3"/>
    <n v="7"/>
    <s v="Rajesh"/>
    <n v="20"/>
    <n v="4530.8100000000004"/>
  </r>
  <r>
    <x v="254"/>
    <s v="North"/>
    <s v="Delhi"/>
    <s v="Dwarka"/>
    <x v="0"/>
    <n v="7"/>
    <s v="vishal"/>
    <n v="45"/>
    <n v="4541.83"/>
  </r>
  <r>
    <x v="295"/>
    <s v="North"/>
    <s v="Delhi"/>
    <s v="Karol Bagh"/>
    <x v="4"/>
    <n v="20"/>
    <s v="Raghav"/>
    <n v="24"/>
    <n v="1592.52"/>
  </r>
  <r>
    <x v="340"/>
    <s v="North"/>
    <s v="Delhi"/>
    <s v="New Delhi"/>
    <x v="3"/>
    <n v="9"/>
    <s v="Rajesh"/>
    <n v="26"/>
    <n v="3552.02"/>
  </r>
  <r>
    <x v="346"/>
    <s v="West"/>
    <s v="Gujarat"/>
    <s v="Vadodara"/>
    <x v="2"/>
    <n v="10"/>
    <s v="Priya"/>
    <n v="18"/>
    <n v="3205.57"/>
  </r>
  <r>
    <x v="226"/>
    <s v="West"/>
    <s v="Gujarat"/>
    <s v="Ahmedabad"/>
    <x v="3"/>
    <n v="8"/>
    <s v="Pinkesh"/>
    <n v="35"/>
    <n v="4009.51"/>
  </r>
  <r>
    <x v="347"/>
    <s v="West"/>
    <s v="Gujarat"/>
    <s v="Surat"/>
    <x v="2"/>
    <n v="13"/>
    <s v="Rajesh"/>
    <n v="24"/>
    <n v="2475.98"/>
  </r>
  <r>
    <x v="140"/>
    <s v="West"/>
    <s v="Gujarat"/>
    <s v="Surat"/>
    <x v="2"/>
    <n v="13"/>
    <s v="vishal"/>
    <n v="24"/>
    <n v="2475.98"/>
  </r>
  <r>
    <x v="114"/>
    <s v="West"/>
    <s v="Maharashtra"/>
    <s v="Nagpur"/>
    <x v="2"/>
    <n v="15"/>
    <s v="Keshav"/>
    <n v="43"/>
    <n v="2148.0100000000002"/>
  </r>
  <r>
    <x v="281"/>
    <s v="West"/>
    <s v="Gujarat"/>
    <s v="Vadodara"/>
    <x v="4"/>
    <n v="15"/>
    <s v="Priya"/>
    <n v="26"/>
    <n v="2167.91"/>
  </r>
  <r>
    <x v="305"/>
    <s v="South"/>
    <s v="Tamil Nadu"/>
    <s v="Madurai"/>
    <x v="2"/>
    <n v="15"/>
    <s v="Raghav"/>
    <n v="42"/>
    <n v="2174.4499999999998"/>
  </r>
  <r>
    <x v="348"/>
    <s v="North"/>
    <s v="Delhi"/>
    <s v="Dwarka"/>
    <x v="3"/>
    <n v="12"/>
    <s v="Kuldeep"/>
    <n v="28"/>
    <n v="2726.43"/>
  </r>
  <r>
    <x v="215"/>
    <s v="South"/>
    <s v="Tamil Nadu"/>
    <s v="Madurai"/>
    <x v="1"/>
    <n v="9"/>
    <s v="vishal"/>
    <n v="45"/>
    <n v="3643.26"/>
  </r>
  <r>
    <x v="349"/>
    <s v="South"/>
    <s v="Tamil Nadu"/>
    <s v="Madurai"/>
    <x v="3"/>
    <n v="12"/>
    <s v="Pinkesh"/>
    <n v="20"/>
    <n v="2733.87"/>
  </r>
  <r>
    <x v="309"/>
    <s v="South"/>
    <s v="Tamil Nadu"/>
    <s v="Madurai"/>
    <x v="4"/>
    <n v="7"/>
    <s v="vishal"/>
    <n v="37"/>
    <n v="4720.63"/>
  </r>
  <r>
    <x v="93"/>
    <s v="West"/>
    <s v="Maharashtra"/>
    <s v="Nagpur"/>
    <x v="4"/>
    <n v="9"/>
    <s v="Rajendra"/>
    <n v="48"/>
    <n v="3678.86"/>
  </r>
  <r>
    <x v="267"/>
    <s v="North"/>
    <s v="Delhi"/>
    <s v="Karol Bagh"/>
    <x v="0"/>
    <n v="11"/>
    <s v="Priya"/>
    <n v="47"/>
    <n v="3011.73"/>
  </r>
  <r>
    <x v="334"/>
    <s v="West"/>
    <s v="Maharashtra"/>
    <s v="Pune"/>
    <x v="0"/>
    <n v="8"/>
    <s v="vishal"/>
    <n v="41"/>
    <n v="4146.82"/>
  </r>
  <r>
    <x v="191"/>
    <s v="North"/>
    <s v="Delhi"/>
    <s v="Dwarka"/>
    <x v="2"/>
    <n v="14"/>
    <s v="Priya"/>
    <n v="26"/>
    <n v="2371.85"/>
  </r>
  <r>
    <x v="190"/>
    <s v="West"/>
    <s v="Gujarat"/>
    <s v="Surat"/>
    <x v="4"/>
    <n v="8"/>
    <s v="vishal"/>
    <n v="49"/>
    <n v="4169.8999999999996"/>
  </r>
  <r>
    <x v="88"/>
    <s v="West"/>
    <s v="Gujarat"/>
    <s v="Vadodara"/>
    <x v="1"/>
    <n v="8"/>
    <s v="Kuldeep"/>
    <n v="41"/>
    <n v="4197.6400000000003"/>
  </r>
  <r>
    <x v="82"/>
    <s v="South"/>
    <s v="Karnataka"/>
    <s v="Mysuru"/>
    <x v="3"/>
    <n v="8"/>
    <s v="Dinesh"/>
    <n v="53"/>
    <n v="4201.6899999999996"/>
  </r>
  <r>
    <x v="65"/>
    <s v="North"/>
    <s v="Delhi"/>
    <s v="Karol Bagh"/>
    <x v="4"/>
    <n v="7"/>
    <s v="Keshav"/>
    <n v="47"/>
    <n v="4803.62"/>
  </r>
  <r>
    <x v="120"/>
    <s v="North"/>
    <s v="Delhi"/>
    <s v="New Delhi"/>
    <x v="3"/>
    <n v="7"/>
    <s v="Rajendra"/>
    <n v="37"/>
    <n v="4813.28"/>
  </r>
  <r>
    <x v="104"/>
    <s v="West"/>
    <s v="Gujarat"/>
    <s v="Surat"/>
    <x v="3"/>
    <n v="11"/>
    <s v="Priya"/>
    <n v="23"/>
    <n v="3072.59"/>
  </r>
  <r>
    <x v="40"/>
    <s v="South"/>
    <s v="Tamil Nadu"/>
    <s v="Chennai"/>
    <x v="3"/>
    <n v="12"/>
    <s v="Rajendra"/>
    <n v="53"/>
    <n v="2821.2"/>
  </r>
  <r>
    <x v="152"/>
    <s v="North"/>
    <s v="Delhi"/>
    <s v="Dwarka"/>
    <x v="4"/>
    <n v="14"/>
    <s v="Pankaj"/>
    <n v="50"/>
    <n v="2429.23"/>
  </r>
  <r>
    <x v="194"/>
    <s v="North"/>
    <s v="Delhi"/>
    <s v="New Delhi"/>
    <x v="1"/>
    <n v="10"/>
    <s v="Rajendra"/>
    <n v="19"/>
    <n v="3411.13"/>
  </r>
  <r>
    <x v="144"/>
    <s v="West"/>
    <s v="Maharashtra"/>
    <s v="Nagpur"/>
    <x v="3"/>
    <n v="8"/>
    <s v="Priya"/>
    <n v="49"/>
    <n v="4290.04"/>
  </r>
  <r>
    <x v="153"/>
    <s v="West"/>
    <s v="Gujarat"/>
    <s v="Surat"/>
    <x v="1"/>
    <n v="19"/>
    <s v="Jaykesh"/>
    <n v="25"/>
    <n v="1809.9"/>
  </r>
  <r>
    <x v="350"/>
    <s v="South"/>
    <s v="Karnataka"/>
    <s v="Mysuru"/>
    <x v="2"/>
    <n v="10"/>
    <s v="vishal"/>
    <n v="50"/>
    <n v="3439.35"/>
  </r>
  <r>
    <x v="202"/>
    <s v="West"/>
    <s v="Maharashtra"/>
    <s v="Nagpur"/>
    <x v="0"/>
    <n v="17"/>
    <s v="Kuldeep"/>
    <n v="17"/>
    <n v="2031.75"/>
  </r>
  <r>
    <x v="89"/>
    <s v="South"/>
    <s v="Tamil Nadu"/>
    <s v="Madurai"/>
    <x v="2"/>
    <n v="12"/>
    <s v="Kuldeep"/>
    <n v="18"/>
    <n v="2882.46"/>
  </r>
  <r>
    <x v="185"/>
    <s v="West"/>
    <s v="Gujarat"/>
    <s v="Ahmedabad"/>
    <x v="3"/>
    <n v="13"/>
    <s v="Raghav"/>
    <n v="20"/>
    <n v="2665.15"/>
  </r>
  <r>
    <x v="305"/>
    <s v="North"/>
    <s v="Delhi"/>
    <s v="Karol Bagh"/>
    <x v="3"/>
    <n v="8"/>
    <s v="Rajendra"/>
    <n v="30"/>
    <n v="4334.41"/>
  </r>
  <r>
    <x v="211"/>
    <s v="North"/>
    <s v="Delhi"/>
    <s v="New Delhi"/>
    <x v="2"/>
    <n v="17"/>
    <s v="Rajendra"/>
    <n v="50"/>
    <n v="2045.39"/>
  </r>
  <r>
    <x v="351"/>
    <s v="North"/>
    <s v="Delhi"/>
    <s v="New Delhi"/>
    <x v="4"/>
    <n v="16"/>
    <s v="Rajesh"/>
    <n v="30"/>
    <n v="2178.7800000000002"/>
  </r>
  <r>
    <x v="287"/>
    <s v="North"/>
    <s v="Delhi"/>
    <s v="New Delhi"/>
    <x v="4"/>
    <n v="16"/>
    <s v="vishal"/>
    <n v="30"/>
    <n v="2178.7800000000002"/>
  </r>
  <r>
    <x v="192"/>
    <s v="West"/>
    <s v="Maharashtra"/>
    <s v="Mumbai"/>
    <x v="3"/>
    <n v="15"/>
    <s v="Keshav"/>
    <n v="46"/>
    <n v="2330.62"/>
  </r>
  <r>
    <x v="106"/>
    <s v="South"/>
    <s v="Tamil Nadu"/>
    <s v="Chennai"/>
    <x v="1"/>
    <n v="13"/>
    <s v="Dinesh"/>
    <n v="36"/>
    <n v="2693.09"/>
  </r>
  <r>
    <x v="309"/>
    <s v="South"/>
    <s v="Karnataka"/>
    <s v="Hubli"/>
    <x v="0"/>
    <n v="15"/>
    <s v="Kuldeep"/>
    <n v="21"/>
    <n v="2346.4"/>
  </r>
  <r>
    <x v="12"/>
    <s v="South"/>
    <s v="Karnataka"/>
    <s v="Bengaluru"/>
    <x v="1"/>
    <n v="8"/>
    <s v="Raghav"/>
    <n v="35"/>
    <n v="4402.3599999999997"/>
  </r>
  <r>
    <x v="172"/>
    <s v="South"/>
    <s v="Karnataka"/>
    <s v="Bengaluru"/>
    <x v="0"/>
    <n v="10"/>
    <s v="Pinkesh"/>
    <n v="28"/>
    <n v="3540.6"/>
  </r>
  <r>
    <x v="211"/>
    <s v="South"/>
    <s v="Karnataka"/>
    <s v="Mysuru"/>
    <x v="3"/>
    <n v="18"/>
    <s v="Priya"/>
    <n v="45"/>
    <n v="1968.87"/>
  </r>
  <r>
    <x v="257"/>
    <s v="West"/>
    <s v="Maharashtra"/>
    <s v="Pune"/>
    <x v="2"/>
    <n v="13"/>
    <s v="Pinkesh"/>
    <n v="27"/>
    <n v="2745.75"/>
  </r>
  <r>
    <x v="352"/>
    <s v="South"/>
    <s v="Karnataka"/>
    <s v="Bengaluru"/>
    <x v="0"/>
    <n v="16"/>
    <s v="vishal"/>
    <n v="37"/>
    <n v="2231.67"/>
  </r>
  <r>
    <x v="46"/>
    <s v="North"/>
    <s v="Delhi"/>
    <s v="Dwarka"/>
    <x v="2"/>
    <n v="18"/>
    <s v="Kuldeep"/>
    <n v="16"/>
    <n v="1986.52"/>
  </r>
  <r>
    <x v="185"/>
    <s v="West"/>
    <s v="Gujarat"/>
    <s v="Vadodara"/>
    <x v="1"/>
    <n v="17"/>
    <s v="Priya"/>
    <n v="27"/>
    <n v="2107.36"/>
  </r>
  <r>
    <x v="70"/>
    <s v="South"/>
    <s v="Karnataka"/>
    <s v="Mysuru"/>
    <x v="3"/>
    <n v="8"/>
    <s v="Dinesh"/>
    <n v="19"/>
    <n v="4516.82"/>
  </r>
  <r>
    <x v="353"/>
    <s v="West"/>
    <s v="Maharashtra"/>
    <s v="Nagpur"/>
    <x v="3"/>
    <n v="12"/>
    <s v="Keshav"/>
    <n v="48"/>
    <n v="3028.88"/>
  </r>
  <r>
    <x v="354"/>
    <s v="West"/>
    <s v="Maharashtra"/>
    <s v="Mumbai"/>
    <x v="2"/>
    <n v="13"/>
    <s v="Rajendra"/>
    <n v="38"/>
    <n v="2809.29"/>
  </r>
  <r>
    <x v="355"/>
    <s v="West"/>
    <s v="Maharashtra"/>
    <s v="Mumbai"/>
    <x v="1"/>
    <n v="8"/>
    <s v="Keshav"/>
    <n v="46"/>
    <n v="4576.97"/>
  </r>
  <r>
    <x v="78"/>
    <s v="South"/>
    <s v="Tamil Nadu"/>
    <s v="Madurai"/>
    <x v="2"/>
    <n v="13"/>
    <s v="Rajendra"/>
    <n v="21"/>
    <n v="2829.47"/>
  </r>
  <r>
    <x v="159"/>
    <s v="West"/>
    <s v="Maharashtra"/>
    <s v="Mumbai"/>
    <x v="4"/>
    <n v="12"/>
    <s v="Pankaj"/>
    <n v="32"/>
    <n v="3074.45"/>
  </r>
  <r>
    <x v="62"/>
    <s v="West"/>
    <s v="Maharashtra"/>
    <s v="Pune"/>
    <x v="2"/>
    <n v="12"/>
    <s v="Pinkesh"/>
    <n v="52"/>
    <n v="3076.03"/>
  </r>
  <r>
    <x v="356"/>
    <s v="West"/>
    <s v="Maharashtra"/>
    <s v="Mumbai"/>
    <x v="4"/>
    <n v="8"/>
    <s v="Dinesh"/>
    <n v="26"/>
    <n v="4621.75"/>
  </r>
  <r>
    <x v="357"/>
    <s v="West"/>
    <s v="Maharashtra"/>
    <s v="Mumbai"/>
    <x v="4"/>
    <n v="8"/>
    <s v="Priya"/>
    <n v="26"/>
    <n v="4621.75"/>
  </r>
  <r>
    <x v="30"/>
    <s v="South"/>
    <s v="Karnataka"/>
    <s v="Bengaluru"/>
    <x v="0"/>
    <n v="15"/>
    <s v="Rajendra"/>
    <n v="46"/>
    <n v="2477.09"/>
  </r>
  <r>
    <x v="300"/>
    <s v="South"/>
    <s v="Tamil Nadu"/>
    <s v="Madurai"/>
    <x v="0"/>
    <n v="8"/>
    <s v="Rajesh"/>
    <n v="38"/>
    <n v="4651.3"/>
  </r>
  <r>
    <x v="302"/>
    <s v="West"/>
    <s v="Maharashtra"/>
    <s v="Mumbai"/>
    <x v="2"/>
    <n v="19"/>
    <s v="Rajesh"/>
    <n v="48"/>
    <n v="1965.12"/>
  </r>
  <r>
    <x v="358"/>
    <s v="West"/>
    <s v="Maharashtra"/>
    <s v="Mumbai"/>
    <x v="2"/>
    <n v="18"/>
    <s v="Dinesh"/>
    <n v="24"/>
    <n v="2074.52"/>
  </r>
  <r>
    <x v="63"/>
    <s v="North"/>
    <s v="Delhi"/>
    <s v="New Delhi"/>
    <x v="1"/>
    <n v="17"/>
    <s v="Rajendra"/>
    <n v="52"/>
    <n v="2216.38"/>
  </r>
  <r>
    <x v="359"/>
    <s v="West"/>
    <s v="Gujarat"/>
    <s v="Ahmedabad"/>
    <x v="1"/>
    <n v="15"/>
    <s v="Jaykesh"/>
    <n v="32"/>
    <n v="2514.9499999999998"/>
  </r>
  <r>
    <x v="118"/>
    <s v="South"/>
    <s v="Tamil Nadu"/>
    <s v="Madurai"/>
    <x v="1"/>
    <n v="13"/>
    <s v="vishal"/>
    <n v="23"/>
    <n v="2913.56"/>
  </r>
  <r>
    <x v="115"/>
    <s v="West"/>
    <s v="Gujarat"/>
    <s v="Ahmedabad"/>
    <x v="4"/>
    <n v="14"/>
    <s v="Rajendra"/>
    <n v="43"/>
    <n v="2715.54"/>
  </r>
  <r>
    <x v="315"/>
    <s v="West"/>
    <s v="Maharashtra"/>
    <s v="Pune"/>
    <x v="3"/>
    <n v="10"/>
    <s v="Keshav"/>
    <n v="32"/>
    <n v="3806.67"/>
  </r>
  <r>
    <x v="243"/>
    <s v="West"/>
    <s v="Maharashtra"/>
    <s v="Nagpur"/>
    <x v="1"/>
    <n v="15"/>
    <s v="Priya"/>
    <n v="19"/>
    <n v="2551.6"/>
  </r>
  <r>
    <x v="155"/>
    <s v="West"/>
    <s v="Gujarat"/>
    <s v="Ahmedabad"/>
    <x v="0"/>
    <n v="20"/>
    <s v="Rajendra"/>
    <n v="24"/>
    <n v="1916.52"/>
  </r>
  <r>
    <x v="183"/>
    <s v="South"/>
    <s v="Karnataka"/>
    <s v="Hubli"/>
    <x v="3"/>
    <n v="14"/>
    <s v="Raghav"/>
    <n v="46"/>
    <n v="2746.27"/>
  </r>
  <r>
    <x v="59"/>
    <s v="North"/>
    <s v="Delhi"/>
    <s v="Karol Bagh"/>
    <x v="2"/>
    <n v="18"/>
    <s v="Dinesh"/>
    <n v="52"/>
    <n v="2149.9899999999998"/>
  </r>
  <r>
    <x v="360"/>
    <s v="West"/>
    <s v="Gujarat"/>
    <s v="Surat"/>
    <x v="0"/>
    <n v="15"/>
    <s v="Keshav"/>
    <n v="39"/>
    <n v="2586.8000000000002"/>
  </r>
  <r>
    <x v="67"/>
    <s v="West"/>
    <s v="Maharashtra"/>
    <s v="Nagpur"/>
    <x v="4"/>
    <n v="10"/>
    <s v="Rajesh"/>
    <n v="37"/>
    <n v="3882.87"/>
  </r>
  <r>
    <x v="81"/>
    <s v="West"/>
    <s v="Maharashtra"/>
    <s v="Mumbai"/>
    <x v="1"/>
    <n v="14"/>
    <s v="Kuldeep"/>
    <n v="31"/>
    <n v="2775.33"/>
  </r>
  <r>
    <x v="184"/>
    <s v="West"/>
    <s v="Gujarat"/>
    <s v="Ahmedabad"/>
    <x v="1"/>
    <n v="11"/>
    <s v="Rajesh"/>
    <n v="50"/>
    <n v="3538.83"/>
  </r>
  <r>
    <x v="174"/>
    <s v="North"/>
    <s v="Delhi"/>
    <s v="New Delhi"/>
    <x v="1"/>
    <n v="8"/>
    <s v="Rajendra"/>
    <n v="55"/>
    <n v="4866.58"/>
  </r>
  <r>
    <x v="219"/>
    <s v="West"/>
    <s v="Maharashtra"/>
    <s v="Nagpur"/>
    <x v="2"/>
    <n v="14"/>
    <s v="Priya"/>
    <n v="35"/>
    <n v="2785.95"/>
  </r>
  <r>
    <x v="226"/>
    <s v="West"/>
    <s v="Maharashtra"/>
    <s v="Nagpur"/>
    <x v="2"/>
    <n v="10"/>
    <s v="Raghav"/>
    <n v="25"/>
    <n v="3907.49"/>
  </r>
  <r>
    <x v="119"/>
    <s v="South"/>
    <s v="Tamil Nadu"/>
    <s v="Coimbatore"/>
    <x v="0"/>
    <n v="11"/>
    <s v="vishal"/>
    <n v="38"/>
    <n v="3561.4"/>
  </r>
  <r>
    <x v="194"/>
    <s v="South"/>
    <s v="Tamil Nadu"/>
    <s v="Coimbatore"/>
    <x v="0"/>
    <n v="14"/>
    <s v="Rajesh"/>
    <n v="54"/>
    <n v="2808.58"/>
  </r>
  <r>
    <x v="160"/>
    <s v="South"/>
    <s v="Karnataka"/>
    <s v="Mysuru"/>
    <x v="3"/>
    <n v="17"/>
    <s v="Jaykesh"/>
    <n v="43"/>
    <n v="2316.09"/>
  </r>
  <r>
    <x v="361"/>
    <s v="West"/>
    <s v="Maharashtra"/>
    <s v="Nagpur"/>
    <x v="1"/>
    <n v="11"/>
    <s v="Jaykesh"/>
    <n v="19"/>
    <n v="3584.06"/>
  </r>
  <r>
    <x v="362"/>
    <s v="South"/>
    <s v="Karnataka"/>
    <s v="Bengaluru"/>
    <x v="0"/>
    <n v="11"/>
    <s v="Dinesh"/>
    <n v="52"/>
    <n v="3590.89"/>
  </r>
  <r>
    <x v="130"/>
    <s v="South"/>
    <s v="Karnataka"/>
    <s v="Bengaluru"/>
    <x v="2"/>
    <n v="10"/>
    <s v="vishal"/>
    <n v="44"/>
    <n v="3950.06"/>
  </r>
  <r>
    <x v="362"/>
    <s v="West"/>
    <s v="Maharashtra"/>
    <s v="Mumbai"/>
    <x v="2"/>
    <n v="20"/>
    <s v="Rajendra"/>
    <n v="38"/>
    <n v="1977"/>
  </r>
  <r>
    <x v="309"/>
    <s v="South"/>
    <s v="Karnataka"/>
    <s v="Mysuru"/>
    <x v="3"/>
    <n v="10"/>
    <s v="Keshav"/>
    <n v="33"/>
    <n v="3964.05"/>
  </r>
  <r>
    <x v="128"/>
    <s v="North"/>
    <s v="Delhi"/>
    <s v="New Delhi"/>
    <x v="1"/>
    <n v="8"/>
    <s v="Rajendra"/>
    <n v="35"/>
    <n v="4986.3100000000004"/>
  </r>
  <r>
    <x v="89"/>
    <s v="North"/>
    <s v="Delhi"/>
    <s v="New Delhi"/>
    <x v="4"/>
    <n v="13"/>
    <s v="Keshav"/>
    <n v="19"/>
    <n v="3069.28"/>
  </r>
  <r>
    <x v="79"/>
    <s v="North"/>
    <s v="Delhi"/>
    <s v="Dwarka"/>
    <x v="4"/>
    <n v="16"/>
    <s v="Rajendra"/>
    <n v="42"/>
    <n v="2502.5700000000002"/>
  </r>
  <r>
    <x v="335"/>
    <s v="West"/>
    <s v="Maharashtra"/>
    <s v="Nagpur"/>
    <x v="4"/>
    <n v="11"/>
    <s v="Priya"/>
    <n v="23"/>
    <n v="3646.35"/>
  </r>
  <r>
    <x v="363"/>
    <s v="South"/>
    <s v="Karnataka"/>
    <s v="Mysuru"/>
    <x v="1"/>
    <n v="12"/>
    <s v="Dinesh"/>
    <n v="46"/>
    <n v="3358.78"/>
  </r>
  <r>
    <x v="58"/>
    <s v="South"/>
    <s v="Karnataka"/>
    <s v="Mysuru"/>
    <x v="0"/>
    <n v="9"/>
    <s v="Jaykesh"/>
    <n v="21"/>
    <n v="4485.21"/>
  </r>
  <r>
    <x v="128"/>
    <s v="West"/>
    <s v="Maharashtra"/>
    <s v="Nagpur"/>
    <x v="3"/>
    <n v="15"/>
    <s v="Raghav"/>
    <n v="17"/>
    <n v="2706.66"/>
  </r>
  <r>
    <x v="242"/>
    <s v="West"/>
    <s v="Gujarat"/>
    <s v="Ahmedabad"/>
    <x v="2"/>
    <n v="19"/>
    <s v="vishal"/>
    <n v="29"/>
    <n v="2146.17"/>
  </r>
  <r>
    <x v="23"/>
    <s v="West"/>
    <s v="Maharashtra"/>
    <s v="Mumbai"/>
    <x v="2"/>
    <n v="12"/>
    <s v="Priya"/>
    <n v="32"/>
    <n v="3400.71"/>
  </r>
  <r>
    <x v="217"/>
    <s v="West"/>
    <s v="Maharashtra"/>
    <s v="Mumbai"/>
    <x v="4"/>
    <n v="14"/>
    <s v="Jaykesh"/>
    <n v="40"/>
    <n v="2918.42"/>
  </r>
  <r>
    <x v="247"/>
    <s v="North"/>
    <s v="Delhi"/>
    <s v="New Delhi"/>
    <x v="0"/>
    <n v="10"/>
    <s v="vishal"/>
    <n v="30"/>
    <n v="4092.05"/>
  </r>
  <r>
    <x v="73"/>
    <s v="West"/>
    <s v="Maharashtra"/>
    <s v="Mumbai"/>
    <x v="3"/>
    <n v="16"/>
    <s v="Rajendra"/>
    <n v="41"/>
    <n v="2563.69"/>
  </r>
  <r>
    <x v="342"/>
    <s v="South"/>
    <s v="Karnataka"/>
    <s v="Bengaluru"/>
    <x v="4"/>
    <n v="16"/>
    <s v="Raghav"/>
    <n v="28"/>
    <n v="2573.33"/>
  </r>
  <r>
    <x v="364"/>
    <s v="West"/>
    <s v="Gujarat"/>
    <s v="Vadodara"/>
    <x v="1"/>
    <n v="12"/>
    <s v="Rajendra"/>
    <n v="55"/>
    <n v="3443.54"/>
  </r>
  <r>
    <x v="280"/>
    <s v="South"/>
    <s v="Tamil Nadu"/>
    <s v="Coimbatore"/>
    <x v="1"/>
    <n v="13"/>
    <s v="Pankaj"/>
    <n v="52"/>
    <n v="3190.8"/>
  </r>
  <r>
    <x v="189"/>
    <s v="South"/>
    <s v="Karnataka"/>
    <s v="Hubli"/>
    <x v="2"/>
    <n v="16"/>
    <s v="Rajesh"/>
    <n v="38"/>
    <n v="2600.48"/>
  </r>
  <r>
    <x v="78"/>
    <s v="South"/>
    <s v="Tamil Nadu"/>
    <s v="Chennai"/>
    <x v="0"/>
    <n v="9"/>
    <s v="vishal"/>
    <n v="23"/>
    <n v="4638.57"/>
  </r>
  <r>
    <x v="339"/>
    <s v="South"/>
    <s v="Karnataka"/>
    <s v="Hubli"/>
    <x v="0"/>
    <n v="16"/>
    <s v="Jaykesh"/>
    <n v="18"/>
    <n v="2619.73"/>
  </r>
  <r>
    <x v="162"/>
    <s v="South"/>
    <s v="Karnataka"/>
    <s v="Hubli"/>
    <x v="0"/>
    <n v="10"/>
    <s v="Pinkesh"/>
    <n v="22"/>
    <n v="4196.24"/>
  </r>
  <r>
    <x v="361"/>
    <s v="South"/>
    <s v="Tamil Nadu"/>
    <s v="Chennai"/>
    <x v="2"/>
    <n v="16"/>
    <s v="Raghav"/>
    <n v="33"/>
    <n v="2640.08"/>
  </r>
  <r>
    <x v="129"/>
    <s v="South"/>
    <s v="Tamil Nadu"/>
    <s v="Chennai"/>
    <x v="2"/>
    <n v="20"/>
    <s v="Jaykesh"/>
    <n v="54"/>
    <n v="2123.15"/>
  </r>
  <r>
    <x v="25"/>
    <s v="West"/>
    <s v="Gujarat"/>
    <s v="Vadodara"/>
    <x v="2"/>
    <n v="16"/>
    <s v="Pinkesh"/>
    <n v="44"/>
    <n v="2666.78"/>
  </r>
  <r>
    <x v="223"/>
    <s v="West"/>
    <s v="Gujarat"/>
    <s v="Ahmedabad"/>
    <x v="1"/>
    <n v="20"/>
    <s v="Pinkesh"/>
    <n v="32"/>
    <n v="2133.5300000000002"/>
  </r>
  <r>
    <x v="76"/>
    <s v="West"/>
    <s v="Maharashtra"/>
    <s v="Mumbai"/>
    <x v="1"/>
    <n v="9"/>
    <s v="Kuldeep"/>
    <n v="27"/>
    <n v="4757.53"/>
  </r>
  <r>
    <x v="223"/>
    <s v="South"/>
    <s v="Tamil Nadu"/>
    <s v="Chennai"/>
    <x v="3"/>
    <n v="16"/>
    <s v="Kuldeep"/>
    <n v="50"/>
    <n v="2682.3"/>
  </r>
  <r>
    <x v="291"/>
    <s v="North"/>
    <s v="Delhi"/>
    <s v="New Delhi"/>
    <x v="2"/>
    <n v="10"/>
    <s v="Kuldeep"/>
    <n v="53"/>
    <n v="4298.32"/>
  </r>
  <r>
    <x v="31"/>
    <s v="South"/>
    <s v="Karnataka"/>
    <s v="Hubli"/>
    <x v="3"/>
    <n v="9"/>
    <s v="Rajendra"/>
    <n v="49"/>
    <n v="4781.72"/>
  </r>
  <r>
    <x v="55"/>
    <s v="West"/>
    <s v="Maharashtra"/>
    <s v="Nagpur"/>
    <x v="0"/>
    <n v="15"/>
    <s v="Rajendra"/>
    <n v="52"/>
    <n v="2869.14"/>
  </r>
  <r>
    <x v="365"/>
    <s v="South"/>
    <s v="Tamil Nadu"/>
    <s v="Chennai"/>
    <x v="0"/>
    <n v="15"/>
    <s v="Pinkesh"/>
    <n v="23"/>
    <n v="2905.47"/>
  </r>
  <r>
    <x v="152"/>
    <s v="West"/>
    <s v="Maharashtra"/>
    <s v="Mumbai"/>
    <x v="4"/>
    <n v="11"/>
    <s v="Kuldeep"/>
    <n v="52"/>
    <n v="3969.39"/>
  </r>
  <r>
    <x v="366"/>
    <s v="West"/>
    <s v="Maharashtra"/>
    <s v="Mumbai"/>
    <x v="3"/>
    <n v="9"/>
    <s v="Kuldeep"/>
    <n v="27"/>
    <n v="4858.75"/>
  </r>
  <r>
    <x v="17"/>
    <s v="South"/>
    <s v="Tamil Nadu"/>
    <s v="Coimbatore"/>
    <x v="2"/>
    <n v="19"/>
    <s v="Raghav"/>
    <n v="20"/>
    <n v="2304.92"/>
  </r>
  <r>
    <x v="169"/>
    <s v="West"/>
    <s v="Gujarat"/>
    <s v="Ahmedabad"/>
    <x v="3"/>
    <n v="12"/>
    <s v="Pankaj"/>
    <n v="40"/>
    <n v="3650.3"/>
  </r>
  <r>
    <x v="367"/>
    <s v="South"/>
    <s v="Karnataka"/>
    <s v="Bengaluru"/>
    <x v="3"/>
    <n v="15"/>
    <s v="Rajendra"/>
    <n v="19"/>
    <n v="2920.62"/>
  </r>
  <r>
    <x v="253"/>
    <s v="West"/>
    <s v="Gujarat"/>
    <s v="Ahmedabad"/>
    <x v="3"/>
    <n v="16"/>
    <s v="Kuldeep"/>
    <n v="16"/>
    <n v="2747.36"/>
  </r>
  <r>
    <x v="123"/>
    <s v="South"/>
    <s v="Tamil Nadu"/>
    <s v="Chennai"/>
    <x v="0"/>
    <n v="10"/>
    <s v="Dinesh"/>
    <n v="27"/>
    <n v="4413.5"/>
  </r>
  <r>
    <x v="142"/>
    <s v="West"/>
    <s v="Maharashtra"/>
    <s v="Pune"/>
    <x v="4"/>
    <n v="12"/>
    <s v="Priya"/>
    <n v="32"/>
    <n v="3686.27"/>
  </r>
  <r>
    <x v="119"/>
    <s v="South"/>
    <s v="Tamil Nadu"/>
    <s v="Chennai"/>
    <x v="0"/>
    <n v="17"/>
    <s v="Rajendra"/>
    <n v="47"/>
    <n v="2603.4899999999998"/>
  </r>
  <r>
    <x v="107"/>
    <s v="South"/>
    <s v="Karnataka"/>
    <s v="Hubli"/>
    <x v="3"/>
    <n v="12"/>
    <s v="Kuldeep"/>
    <n v="49"/>
    <n v="3703.31"/>
  </r>
  <r>
    <x v="355"/>
    <s v="North"/>
    <s v="Delhi"/>
    <s v="Karol Bagh"/>
    <x v="3"/>
    <n v="13"/>
    <s v="Pankaj"/>
    <n v="43"/>
    <n v="3423.36"/>
  </r>
  <r>
    <x v="34"/>
    <s v="West"/>
    <s v="Maharashtra"/>
    <s v="Nagpur"/>
    <x v="1"/>
    <n v="9"/>
    <s v="Pinkesh"/>
    <n v="34"/>
    <n v="4953.3999999999996"/>
  </r>
  <r>
    <x v="188"/>
    <s v="South"/>
    <s v="Tamil Nadu"/>
    <s v="Coimbatore"/>
    <x v="4"/>
    <n v="16"/>
    <s v="Rajesh"/>
    <n v="25"/>
    <n v="2793.48"/>
  </r>
  <r>
    <x v="339"/>
    <s v="South"/>
    <s v="Karnataka"/>
    <s v="Bengaluru"/>
    <x v="3"/>
    <n v="11"/>
    <s v="Jaykesh"/>
    <n v="26"/>
    <n v="4066.2"/>
  </r>
  <r>
    <x v="228"/>
    <s v="West"/>
    <s v="Maharashtra"/>
    <s v="Nagpur"/>
    <x v="1"/>
    <n v="18"/>
    <s v="Rajendra"/>
    <n v="31"/>
    <n v="2494.9499999999998"/>
  </r>
  <r>
    <x v="71"/>
    <s v="South"/>
    <s v="Tamil Nadu"/>
    <s v="Coimbatore"/>
    <x v="4"/>
    <n v="10"/>
    <s v="Kuldeep"/>
    <n v="53"/>
    <n v="4496.3900000000003"/>
  </r>
  <r>
    <x v="353"/>
    <s v="South"/>
    <s v="Tamil Nadu"/>
    <s v="Coimbatore"/>
    <x v="3"/>
    <n v="11"/>
    <s v="Priya"/>
    <n v="47"/>
    <n v="4089.16"/>
  </r>
  <r>
    <x v="181"/>
    <s v="West"/>
    <s v="Gujarat"/>
    <s v="Vadodara"/>
    <x v="1"/>
    <n v="15"/>
    <s v="Priya"/>
    <n v="37"/>
    <n v="3005.08"/>
  </r>
  <r>
    <x v="196"/>
    <s v="South"/>
    <s v="Tamil Nadu"/>
    <s v="Coimbatore"/>
    <x v="1"/>
    <n v="17"/>
    <s v="Priya"/>
    <n v="43"/>
    <n v="2664.62"/>
  </r>
  <r>
    <x v="54"/>
    <s v="South"/>
    <s v="Karnataka"/>
    <s v="Hubli"/>
    <x v="3"/>
    <n v="19"/>
    <s v="vishal"/>
    <n v="32"/>
    <n v="2386.59"/>
  </r>
  <r>
    <x v="360"/>
    <s v="South"/>
    <s v="Tamil Nadu"/>
    <s v="Chennai"/>
    <x v="2"/>
    <n v="12"/>
    <s v="Kuldeep"/>
    <n v="36"/>
    <n v="3785.29"/>
  </r>
  <r>
    <x v="155"/>
    <s v="West"/>
    <s v="Maharashtra"/>
    <s v="Mumbai"/>
    <x v="4"/>
    <n v="14"/>
    <s v="Rajesh"/>
    <n v="16"/>
    <n v="3259.64"/>
  </r>
  <r>
    <x v="368"/>
    <s v="South"/>
    <s v="Tamil Nadu"/>
    <s v="Madurai"/>
    <x v="2"/>
    <n v="15"/>
    <s v="Priya"/>
    <n v="18"/>
    <n v="3048.36"/>
  </r>
  <r>
    <x v="32"/>
    <s v="West"/>
    <s v="Gujarat"/>
    <s v="Surat"/>
    <x v="4"/>
    <n v="11"/>
    <s v="Priya"/>
    <n v="53"/>
    <n v="4188.37"/>
  </r>
  <r>
    <x v="314"/>
    <s v="West"/>
    <s v="Maharashtra"/>
    <s v="Pune"/>
    <x v="4"/>
    <n v="16"/>
    <s v="Dinesh"/>
    <n v="34"/>
    <n v="2882.65"/>
  </r>
  <r>
    <x v="216"/>
    <s v="South"/>
    <s v="Tamil Nadu"/>
    <s v="Chennai"/>
    <x v="3"/>
    <n v="13"/>
    <s v="Keshav"/>
    <n v="34"/>
    <n v="3551.21"/>
  </r>
  <r>
    <x v="264"/>
    <s v="West"/>
    <s v="Gujarat"/>
    <s v="Ahmedabad"/>
    <x v="4"/>
    <n v="11"/>
    <s v="vishal"/>
    <n v="47"/>
    <n v="4205.55"/>
  </r>
  <r>
    <x v="8"/>
    <s v="South"/>
    <s v="Tamil Nadu"/>
    <s v="Madurai"/>
    <x v="2"/>
    <n v="13"/>
    <s v="Pinkesh"/>
    <n v="51"/>
    <n v="3568.86"/>
  </r>
  <r>
    <x v="71"/>
    <s v="West"/>
    <s v="Maharashtra"/>
    <s v="Pune"/>
    <x v="0"/>
    <n v="12"/>
    <s v="Rajendra"/>
    <n v="38"/>
    <n v="3895.88"/>
  </r>
  <r>
    <x v="44"/>
    <s v="North"/>
    <s v="Delhi"/>
    <s v="Karol Bagh"/>
    <x v="0"/>
    <n v="20"/>
    <s v="Rajesh"/>
    <n v="35"/>
    <n v="2344.7600000000002"/>
  </r>
  <r>
    <x v="51"/>
    <s v="West"/>
    <s v="Gujarat"/>
    <s v="Vadodara"/>
    <x v="2"/>
    <n v="10"/>
    <s v="Kuldeep"/>
    <n v="39"/>
    <n v="4718.03"/>
  </r>
  <r>
    <x v="92"/>
    <s v="South"/>
    <s v="Tamil Nadu"/>
    <s v="Coimbatore"/>
    <x v="0"/>
    <n v="12"/>
    <s v="Jaykesh"/>
    <n v="16"/>
    <n v="3932.48"/>
  </r>
  <r>
    <x v="257"/>
    <s v="West"/>
    <s v="Maharashtra"/>
    <s v="Mumbai"/>
    <x v="1"/>
    <n v="16"/>
    <s v="Rajendra"/>
    <n v="35"/>
    <n v="2954.32"/>
  </r>
  <r>
    <x v="279"/>
    <s v="West"/>
    <s v="Gujarat"/>
    <s v="Vadodara"/>
    <x v="1"/>
    <n v="19"/>
    <s v="Jaykesh"/>
    <n v="28"/>
    <n v="2493.0300000000002"/>
  </r>
  <r>
    <x v="146"/>
    <s v="South"/>
    <s v="Karnataka"/>
    <s v="Bengaluru"/>
    <x v="0"/>
    <n v="10"/>
    <s v="Rajesh"/>
    <n v="47"/>
    <n v="4761.1899999999996"/>
  </r>
  <r>
    <x v="289"/>
    <s v="South"/>
    <s v="Karnataka"/>
    <s v="Hubli"/>
    <x v="4"/>
    <n v="16"/>
    <s v="Priya"/>
    <n v="18"/>
    <n v="2976.17"/>
  </r>
  <r>
    <x v="224"/>
    <s v="South"/>
    <s v="Karnataka"/>
    <s v="Mysuru"/>
    <x v="0"/>
    <n v="19"/>
    <s v="Pankaj"/>
    <n v="23"/>
    <n v="2513.27"/>
  </r>
  <r>
    <x v="102"/>
    <s v="North"/>
    <s v="Delhi"/>
    <s v="Dwarka"/>
    <x v="1"/>
    <n v="12"/>
    <s v="Pinkesh"/>
    <n v="36"/>
    <n v="3981.34"/>
  </r>
  <r>
    <x v="91"/>
    <s v="North"/>
    <s v="Delhi"/>
    <s v="Dwarka"/>
    <x v="0"/>
    <n v="16"/>
    <s v="Pinkesh"/>
    <n v="32"/>
    <n v="2991.84"/>
  </r>
  <r>
    <x v="245"/>
    <s v="North"/>
    <s v="Delhi"/>
    <s v="Karol Bagh"/>
    <x v="0"/>
    <n v="12"/>
    <s v="Dinesh"/>
    <n v="41"/>
    <n v="4003.52"/>
  </r>
  <r>
    <x v="295"/>
    <s v="West"/>
    <s v="Gujarat"/>
    <s v="Ahmedabad"/>
    <x v="4"/>
    <n v="14"/>
    <s v="Rajesh"/>
    <n v="20"/>
    <n v="3433.55"/>
  </r>
  <r>
    <x v="159"/>
    <s v="North"/>
    <s v="Delhi"/>
    <s v="Karol Bagh"/>
    <x v="4"/>
    <n v="19"/>
    <s v="Dinesh"/>
    <n v="27"/>
    <n v="2532.7800000000002"/>
  </r>
  <r>
    <x v="29"/>
    <s v="North"/>
    <s v="Delhi"/>
    <s v="Karol Bagh"/>
    <x v="4"/>
    <n v="12"/>
    <s v="Rajendra"/>
    <n v="25"/>
    <n v="4011.85"/>
  </r>
  <r>
    <x v="302"/>
    <s v="North"/>
    <s v="Delhi"/>
    <s v="New Delhi"/>
    <x v="4"/>
    <n v="15"/>
    <s v="Rajendra"/>
    <n v="16"/>
    <n v="3218.59"/>
  </r>
  <r>
    <x v="307"/>
    <s v="West"/>
    <s v="Maharashtra"/>
    <s v="Nagpur"/>
    <x v="0"/>
    <n v="20"/>
    <s v="Rajesh"/>
    <n v="31"/>
    <n v="2415.86"/>
  </r>
  <r>
    <x v="178"/>
    <s v="North"/>
    <s v="Delhi"/>
    <s v="Karol Bagh"/>
    <x v="2"/>
    <n v="13"/>
    <s v="vishal"/>
    <n v="42"/>
    <n v="3724.27"/>
  </r>
  <r>
    <x v="34"/>
    <s v="North"/>
    <s v="Delhi"/>
    <s v="Dwarka"/>
    <x v="4"/>
    <n v="15"/>
    <s v="Raghav"/>
    <n v="49"/>
    <n v="3256.2"/>
  </r>
  <r>
    <x v="314"/>
    <s v="South"/>
    <s v="Tamil Nadu"/>
    <s v="Coimbatore"/>
    <x v="1"/>
    <n v="20"/>
    <s v="Raghav"/>
    <n v="44"/>
    <n v="2446.31"/>
  </r>
  <r>
    <x v="369"/>
    <s v="South"/>
    <s v="Karnataka"/>
    <s v="Mysuru"/>
    <x v="1"/>
    <n v="15"/>
    <s v="Rajesh"/>
    <n v="38"/>
    <n v="3270.81"/>
  </r>
  <r>
    <x v="81"/>
    <s v="South"/>
    <s v="Karnataka"/>
    <s v="Bengaluru"/>
    <x v="3"/>
    <n v="15"/>
    <s v="vishal"/>
    <n v="43"/>
    <n v="3285.68"/>
  </r>
  <r>
    <x v="309"/>
    <s v="West"/>
    <s v="Gujarat"/>
    <s v="Ahmedabad"/>
    <x v="3"/>
    <n v="16"/>
    <s v="Keshav"/>
    <n v="51"/>
    <n v="3082.84"/>
  </r>
  <r>
    <x v="308"/>
    <s v="South"/>
    <s v="Karnataka"/>
    <s v="Bengaluru"/>
    <x v="2"/>
    <n v="17"/>
    <s v="Pankaj"/>
    <n v="39"/>
    <n v="2924.72"/>
  </r>
  <r>
    <x v="90"/>
    <s v="South"/>
    <s v="Tamil Nadu"/>
    <s v="Coimbatore"/>
    <x v="0"/>
    <n v="20"/>
    <s v="Pinkesh"/>
    <n v="38"/>
    <n v="2487.65"/>
  </r>
  <r>
    <x v="306"/>
    <s v="West"/>
    <s v="Gujarat"/>
    <s v="Ahmedabad"/>
    <x v="4"/>
    <n v="11"/>
    <s v="Keshav"/>
    <n v="32"/>
    <n v="4530.5600000000004"/>
  </r>
  <r>
    <x v="315"/>
    <s v="West"/>
    <s v="Maharashtra"/>
    <s v="Pune"/>
    <x v="3"/>
    <n v="10"/>
    <s v="Rajendra"/>
    <n v="52"/>
    <n v="4995.74"/>
  </r>
  <r>
    <x v="370"/>
    <s v="West"/>
    <s v="Maharashtra"/>
    <s v="Pune"/>
    <x v="2"/>
    <n v="18"/>
    <s v="Priya"/>
    <n v="22"/>
    <n v="2777.65"/>
  </r>
  <r>
    <x v="371"/>
    <s v="South"/>
    <s v="Karnataka"/>
    <s v="Mysuru"/>
    <x v="1"/>
    <n v="18"/>
    <s v="vishal"/>
    <n v="27"/>
    <n v="2784.49"/>
  </r>
  <r>
    <x v="339"/>
    <s v="South"/>
    <s v="Tamil Nadu"/>
    <s v="Chennai"/>
    <x v="0"/>
    <n v="16"/>
    <s v="Pinkesh"/>
    <n v="41"/>
    <n v="3155.43"/>
  </r>
  <r>
    <x v="324"/>
    <s v="West"/>
    <s v="Maharashtra"/>
    <s v="Pune"/>
    <x v="1"/>
    <n v="11"/>
    <s v="Pinkesh"/>
    <n v="35"/>
    <n v="4681.04"/>
  </r>
  <r>
    <x v="8"/>
    <s v="North"/>
    <s v="Delhi"/>
    <s v="Karol Bagh"/>
    <x v="2"/>
    <n v="20"/>
    <s v="Pankaj"/>
    <n v="24"/>
    <n v="2580.02"/>
  </r>
  <r>
    <x v="70"/>
    <s v="North"/>
    <s v="Delhi"/>
    <s v="Karol Bagh"/>
    <x v="3"/>
    <n v="18"/>
    <s v="Dinesh"/>
    <n v="54"/>
    <n v="2880.41"/>
  </r>
  <r>
    <x v="63"/>
    <s v="West"/>
    <s v="Gujarat"/>
    <s v="Ahmedabad"/>
    <x v="0"/>
    <n v="19"/>
    <s v="Priya"/>
    <n v="32"/>
    <n v="2743.67"/>
  </r>
  <r>
    <x v="181"/>
    <s v="South"/>
    <s v="Tamil Nadu"/>
    <s v="Chennai"/>
    <x v="2"/>
    <n v="13"/>
    <s v="Kuldeep"/>
    <n v="30"/>
    <n v="4021.84"/>
  </r>
  <r>
    <x v="44"/>
    <s v="West"/>
    <s v="Gujarat"/>
    <s v="Surat"/>
    <x v="3"/>
    <n v="19"/>
    <s v="Kuldeep"/>
    <n v="36"/>
    <n v="2753.24"/>
  </r>
  <r>
    <x v="96"/>
    <s v="South"/>
    <s v="Karnataka"/>
    <s v="Bengaluru"/>
    <x v="2"/>
    <n v="11"/>
    <s v="Rajendra"/>
    <n v="52"/>
    <n v="4758.46"/>
  </r>
  <r>
    <x v="46"/>
    <s v="North"/>
    <s v="Delhi"/>
    <s v="Dwarka"/>
    <x v="0"/>
    <n v="12"/>
    <s v="Kuldeep"/>
    <n v="26"/>
    <n v="4378.41"/>
  </r>
  <r>
    <x v="249"/>
    <s v="West"/>
    <s v="Maharashtra"/>
    <s v="Mumbai"/>
    <x v="2"/>
    <n v="20"/>
    <s v="Rajesh"/>
    <n v="50"/>
    <n v="2631.58"/>
  </r>
  <r>
    <x v="161"/>
    <s v="South"/>
    <s v="Tamil Nadu"/>
    <s v="Coimbatore"/>
    <x v="0"/>
    <n v="12"/>
    <s v="Pinkesh"/>
    <n v="27"/>
    <n v="4403.8500000000004"/>
  </r>
  <r>
    <x v="329"/>
    <s v="West"/>
    <s v="Gujarat"/>
    <s v="Vadodara"/>
    <x v="1"/>
    <n v="13"/>
    <s v="Rajesh"/>
    <n v="44"/>
    <n v="4076.94"/>
  </r>
  <r>
    <x v="212"/>
    <s v="North"/>
    <s v="Delhi"/>
    <s v="New Delhi"/>
    <x v="1"/>
    <n v="13"/>
    <s v="Pankaj"/>
    <n v="42"/>
    <n v="4084.32"/>
  </r>
  <r>
    <x v="304"/>
    <s v="West"/>
    <s v="Gujarat"/>
    <s v="Surat"/>
    <x v="0"/>
    <n v="15"/>
    <s v="Pankaj"/>
    <n v="20"/>
    <n v="3555.88"/>
  </r>
  <r>
    <x v="260"/>
    <s v="South"/>
    <s v="Tamil Nadu"/>
    <s v="Madurai"/>
    <x v="2"/>
    <n v="19"/>
    <s v="Kuldeep"/>
    <n v="53"/>
    <n v="2814.94"/>
  </r>
  <r>
    <x v="237"/>
    <s v="South"/>
    <s v="Karnataka"/>
    <s v="Bengaluru"/>
    <x v="4"/>
    <n v="19"/>
    <s v="Raghav"/>
    <n v="23"/>
    <n v="2848.96"/>
  </r>
  <r>
    <x v="358"/>
    <s v="South"/>
    <s v="Karnataka"/>
    <s v="Bengaluru"/>
    <x v="2"/>
    <n v="15"/>
    <s v="Keshav"/>
    <n v="36"/>
    <n v="3611.2"/>
  </r>
  <r>
    <x v="103"/>
    <s v="South"/>
    <s v="Karnataka"/>
    <s v="Mysuru"/>
    <x v="2"/>
    <n v="19"/>
    <s v="Kuldeep"/>
    <n v="47"/>
    <n v="2873.83"/>
  </r>
  <r>
    <x v="372"/>
    <s v="South"/>
    <s v="Karnataka"/>
    <s v="Mysuru"/>
    <x v="2"/>
    <n v="19"/>
    <s v="Priya"/>
    <n v="47"/>
    <n v="2873.83"/>
  </r>
  <r>
    <x v="49"/>
    <s v="West"/>
    <s v="Maharashtra"/>
    <s v="Pune"/>
    <x v="0"/>
    <n v="18"/>
    <s v="Rajendra"/>
    <n v="37"/>
    <n v="3040.28"/>
  </r>
  <r>
    <x v="103"/>
    <s v="South"/>
    <s v="Karnataka"/>
    <s v="Hubli"/>
    <x v="0"/>
    <n v="12"/>
    <s v="Dinesh"/>
    <n v="21"/>
    <n v="4572.79"/>
  </r>
  <r>
    <x v="10"/>
    <s v="South"/>
    <s v="Karnataka"/>
    <s v="Hubli"/>
    <x v="0"/>
    <n v="13"/>
    <s v="Rajesh"/>
    <n v="31"/>
    <n v="4226.47"/>
  </r>
  <r>
    <x v="373"/>
    <s v="South"/>
    <s v="Karnataka"/>
    <s v="Hubli"/>
    <x v="0"/>
    <n v="13"/>
    <s v="Rajesh"/>
    <n v="31"/>
    <n v="4226.47"/>
  </r>
  <r>
    <x v="261"/>
    <s v="South"/>
    <s v="Tamil Nadu"/>
    <s v="Madurai"/>
    <x v="3"/>
    <n v="17"/>
    <s v="vishal"/>
    <n v="43"/>
    <n v="3233.82"/>
  </r>
  <r>
    <x v="11"/>
    <s v="South"/>
    <s v="Karnataka"/>
    <s v="Mysuru"/>
    <x v="2"/>
    <n v="20"/>
    <s v="Jaykesh"/>
    <n v="47"/>
    <n v="2750.28"/>
  </r>
  <r>
    <x v="223"/>
    <s v="West"/>
    <s v="Gujarat"/>
    <s v="Vadodara"/>
    <x v="2"/>
    <n v="14"/>
    <s v="vishal"/>
    <n v="35"/>
    <n v="3931.74"/>
  </r>
  <r>
    <x v="282"/>
    <s v="South"/>
    <s v="Karnataka"/>
    <s v="Bengaluru"/>
    <x v="1"/>
    <n v="19"/>
    <s v="Pankaj"/>
    <n v="48"/>
    <n v="2900.31"/>
  </r>
  <r>
    <x v="85"/>
    <s v="South"/>
    <s v="Karnataka"/>
    <s v="Hubli"/>
    <x v="3"/>
    <n v="18"/>
    <s v="Dinesh"/>
    <n v="39"/>
    <n v="3102.47"/>
  </r>
  <r>
    <x v="85"/>
    <s v="South"/>
    <s v="Tamil Nadu"/>
    <s v="Coimbatore"/>
    <x v="3"/>
    <n v="14"/>
    <s v="Raghav"/>
    <n v="36"/>
    <n v="4009.33"/>
  </r>
  <r>
    <x v="53"/>
    <s v="South"/>
    <s v="Karnataka"/>
    <s v="Mysuru"/>
    <x v="2"/>
    <n v="13"/>
    <s v="Dinesh"/>
    <n v="42"/>
    <n v="4337.22"/>
  </r>
  <r>
    <x v="153"/>
    <s v="North"/>
    <s v="Delhi"/>
    <s v="New Delhi"/>
    <x v="1"/>
    <n v="13"/>
    <s v="vishal"/>
    <n v="42"/>
    <n v="4339.46"/>
  </r>
  <r>
    <x v="236"/>
    <s v="West"/>
    <s v="Maharashtra"/>
    <s v="Nagpur"/>
    <x v="1"/>
    <n v="12"/>
    <s v="Rajendra"/>
    <n v="19"/>
    <n v="4713.26"/>
  </r>
  <r>
    <x v="166"/>
    <s v="West"/>
    <s v="Maharashtra"/>
    <s v="Nagpur"/>
    <x v="3"/>
    <n v="13"/>
    <s v="Rajesh"/>
    <n v="53"/>
    <n v="4357.0200000000004"/>
  </r>
  <r>
    <x v="115"/>
    <s v="South"/>
    <s v="Karnataka"/>
    <s v="Mysuru"/>
    <x v="2"/>
    <n v="17"/>
    <s v="Keshav"/>
    <n v="25"/>
    <n v="3342.49"/>
  </r>
  <r>
    <x v="288"/>
    <s v="West"/>
    <s v="Maharashtra"/>
    <s v="Pune"/>
    <x v="3"/>
    <n v="12"/>
    <s v="Raghav"/>
    <n v="54"/>
    <n v="4765.33"/>
  </r>
  <r>
    <x v="269"/>
    <s v="South"/>
    <s v="Tamil Nadu"/>
    <s v="Madurai"/>
    <x v="4"/>
    <n v="20"/>
    <s v="vishal"/>
    <n v="24"/>
    <n v="2860.11"/>
  </r>
  <r>
    <x v="123"/>
    <s v="South"/>
    <s v="Tamil Nadu"/>
    <s v="Coimbatore"/>
    <x v="1"/>
    <n v="20"/>
    <s v="Rajendra"/>
    <n v="47"/>
    <n v="2860.96"/>
  </r>
  <r>
    <x v="336"/>
    <s v="West"/>
    <s v="Maharashtra"/>
    <s v="Mumbai"/>
    <x v="3"/>
    <n v="16"/>
    <s v="Rajesh"/>
    <n v="40"/>
    <n v="3580.79"/>
  </r>
  <r>
    <x v="363"/>
    <s v="South"/>
    <s v="Tamil Nadu"/>
    <s v="Coimbatore"/>
    <x v="2"/>
    <n v="16"/>
    <s v="Raghav"/>
    <n v="46"/>
    <n v="3586.87"/>
  </r>
  <r>
    <x v="14"/>
    <s v="West"/>
    <s v="Maharashtra"/>
    <s v="Nagpur"/>
    <x v="2"/>
    <n v="16"/>
    <s v="Priya"/>
    <n v="45"/>
    <n v="3599.32"/>
  </r>
  <r>
    <x v="374"/>
    <s v="South"/>
    <s v="Karnataka"/>
    <s v="Mysuru"/>
    <x v="4"/>
    <n v="19"/>
    <s v="Dinesh"/>
    <n v="53"/>
    <n v="3044.32"/>
  </r>
  <r>
    <x v="344"/>
    <s v="North"/>
    <s v="Delhi"/>
    <s v="New Delhi"/>
    <x v="1"/>
    <n v="16"/>
    <s v="Dinesh"/>
    <n v="29"/>
    <n v="3625.28"/>
  </r>
  <r>
    <x v="100"/>
    <s v="South"/>
    <s v="Tamil Nadu"/>
    <s v="Coimbatore"/>
    <x v="4"/>
    <n v="19"/>
    <s v="Kuldeep"/>
    <n v="16"/>
    <n v="3074.32"/>
  </r>
  <r>
    <x v="375"/>
    <s v="South"/>
    <s v="Tamil Nadu"/>
    <s v="Madurai"/>
    <x v="3"/>
    <n v="15"/>
    <s v="Rajendra"/>
    <n v="25"/>
    <n v="3897.39"/>
  </r>
  <r>
    <x v="246"/>
    <s v="South"/>
    <s v="Tamil Nadu"/>
    <s v="Chennai"/>
    <x v="3"/>
    <n v="15"/>
    <s v="Jaykesh"/>
    <n v="21"/>
    <n v="3909.42"/>
  </r>
  <r>
    <x v="212"/>
    <s v="South"/>
    <s v="Karnataka"/>
    <s v="Mysuru"/>
    <x v="3"/>
    <n v="14"/>
    <s v="Dinesh"/>
    <n v="18"/>
    <n v="4192.8599999999997"/>
  </r>
  <r>
    <x v="187"/>
    <s v="South"/>
    <s v="Karnataka"/>
    <s v="Bengaluru"/>
    <x v="2"/>
    <n v="14"/>
    <s v="Jaykesh"/>
    <n v="42"/>
    <n v="4200.9799999999996"/>
  </r>
  <r>
    <x v="86"/>
    <s v="North"/>
    <s v="Delhi"/>
    <s v="Karol Bagh"/>
    <x v="1"/>
    <n v="13"/>
    <s v="Pankaj"/>
    <n v="29"/>
    <n v="4542.74"/>
  </r>
  <r>
    <x v="125"/>
    <s v="South"/>
    <s v="Karnataka"/>
    <s v="Hubli"/>
    <x v="0"/>
    <n v="15"/>
    <s v="Rajendra"/>
    <n v="48"/>
    <n v="3943.63"/>
  </r>
  <r>
    <x v="217"/>
    <s v="North"/>
    <s v="Delhi"/>
    <s v="New Delhi"/>
    <x v="3"/>
    <n v="18"/>
    <s v="Jaykesh"/>
    <n v="27"/>
    <n v="3287.05"/>
  </r>
  <r>
    <x v="117"/>
    <s v="West"/>
    <s v="Maharashtra"/>
    <s v="Pune"/>
    <x v="3"/>
    <n v="16"/>
    <s v="Dinesh"/>
    <n v="45"/>
    <n v="3702.43"/>
  </r>
  <r>
    <x v="22"/>
    <s v="West"/>
    <s v="Maharashtra"/>
    <s v="Mumbai"/>
    <x v="3"/>
    <n v="17"/>
    <s v="Raghav"/>
    <n v="52"/>
    <n v="3490.72"/>
  </r>
  <r>
    <x v="31"/>
    <s v="South"/>
    <s v="Karnataka"/>
    <s v="Hubli"/>
    <x v="4"/>
    <n v="12"/>
    <s v="Rajesh"/>
    <n v="53"/>
    <n v="4945.7700000000004"/>
  </r>
  <r>
    <x v="286"/>
    <s v="South"/>
    <s v="Karnataka"/>
    <s v="Hubli"/>
    <x v="0"/>
    <n v="12"/>
    <s v="Keshav"/>
    <n v="53"/>
    <n v="4964.87"/>
  </r>
  <r>
    <x v="42"/>
    <s v="South"/>
    <s v="Karnataka"/>
    <s v="Bengaluru"/>
    <x v="4"/>
    <n v="13"/>
    <s v="Pinkesh"/>
    <n v="50"/>
    <n v="4650.74"/>
  </r>
  <r>
    <x v="271"/>
    <s v="North"/>
    <s v="Delhi"/>
    <s v="Dwarka"/>
    <x v="0"/>
    <n v="16"/>
    <s v="Kuldeep"/>
    <n v="51"/>
    <n v="3788.36"/>
  </r>
  <r>
    <x v="217"/>
    <s v="North"/>
    <s v="Delhi"/>
    <s v="Dwarka"/>
    <x v="0"/>
    <n v="16"/>
    <s v="Rajendra"/>
    <n v="37"/>
    <n v="3836.1"/>
  </r>
  <r>
    <x v="332"/>
    <s v="North"/>
    <s v="Delhi"/>
    <s v="New Delhi"/>
    <x v="3"/>
    <n v="20"/>
    <s v="Kuldeep"/>
    <n v="40"/>
    <n v="3069.92"/>
  </r>
  <r>
    <x v="66"/>
    <s v="West"/>
    <s v="Maharashtra"/>
    <s v="Mumbai"/>
    <x v="1"/>
    <n v="14"/>
    <s v="Rajesh"/>
    <n v="34"/>
    <n v="4428"/>
  </r>
  <r>
    <x v="179"/>
    <s v="South"/>
    <s v="Karnataka"/>
    <s v="Bengaluru"/>
    <x v="0"/>
    <n v="16"/>
    <s v="Rajendra"/>
    <n v="30"/>
    <n v="3895.18"/>
  </r>
  <r>
    <x v="326"/>
    <s v="South"/>
    <s v="Karnataka"/>
    <s v="Mysuru"/>
    <x v="1"/>
    <n v="16"/>
    <s v="Raghav"/>
    <n v="54"/>
    <n v="3897.57"/>
  </r>
  <r>
    <x v="13"/>
    <s v="North"/>
    <s v="Delhi"/>
    <s v="New Delhi"/>
    <x v="0"/>
    <n v="14"/>
    <s v="Dinesh"/>
    <n v="23"/>
    <n v="4457.21"/>
  </r>
  <r>
    <x v="376"/>
    <s v="North"/>
    <s v="Delhi"/>
    <s v="New Delhi"/>
    <x v="0"/>
    <n v="14"/>
    <s v="Priya"/>
    <n v="23"/>
    <n v="4457.21"/>
  </r>
  <r>
    <x v="245"/>
    <s v="North"/>
    <s v="Delhi"/>
    <s v="New Delhi"/>
    <x v="2"/>
    <n v="17"/>
    <s v="Pankaj"/>
    <n v="36"/>
    <n v="3679.89"/>
  </r>
  <r>
    <x v="377"/>
    <s v="South"/>
    <s v="Karnataka"/>
    <s v="Bengaluru"/>
    <x v="0"/>
    <n v="16"/>
    <s v="vishal"/>
    <n v="30"/>
    <n v="3931.95"/>
  </r>
  <r>
    <x v="261"/>
    <s v="West"/>
    <s v="Maharashtra"/>
    <s v="Mumbai"/>
    <x v="3"/>
    <n v="13"/>
    <s v="Pankaj"/>
    <n v="53"/>
    <n v="4850.17"/>
  </r>
  <r>
    <x v="378"/>
    <s v="West"/>
    <s v="Gujarat"/>
    <s v="Vadodara"/>
    <x v="0"/>
    <n v="19"/>
    <s v="Rajesh"/>
    <n v="25"/>
    <n v="3326.91"/>
  </r>
  <r>
    <x v="92"/>
    <s v="South"/>
    <s v="Tamil Nadu"/>
    <s v="Coimbatore"/>
    <x v="1"/>
    <n v="19"/>
    <s v="Keshav"/>
    <n v="17"/>
    <n v="3336.46"/>
  </r>
  <r>
    <x v="305"/>
    <s v="West"/>
    <s v="Gujarat"/>
    <s v="Vadodara"/>
    <x v="4"/>
    <n v="18"/>
    <s v="Keshav"/>
    <n v="44"/>
    <n v="3524.11"/>
  </r>
  <r>
    <x v="246"/>
    <s v="South"/>
    <s v="Karnataka"/>
    <s v="Bengaluru"/>
    <x v="3"/>
    <n v="16"/>
    <s v="Jaykesh"/>
    <n v="24"/>
    <n v="3981.76"/>
  </r>
  <r>
    <x v="69"/>
    <s v="West"/>
    <s v="Maharashtra"/>
    <s v="Nagpur"/>
    <x v="4"/>
    <n v="16"/>
    <s v="Dinesh"/>
    <n v="34"/>
    <n v="3988.32"/>
  </r>
  <r>
    <x v="104"/>
    <s v="South"/>
    <s v="Tamil Nadu"/>
    <s v="Madurai"/>
    <x v="4"/>
    <n v="13"/>
    <s v="Pankaj"/>
    <n v="55"/>
    <n v="4911.57"/>
  </r>
  <r>
    <x v="254"/>
    <s v="South"/>
    <s v="Karnataka"/>
    <s v="Bengaluru"/>
    <x v="0"/>
    <n v="15"/>
    <s v="Rajendra"/>
    <n v="51"/>
    <n v="4262.53"/>
  </r>
  <r>
    <x v="219"/>
    <s v="South"/>
    <s v="Karnataka"/>
    <s v="Mysuru"/>
    <x v="0"/>
    <n v="15"/>
    <s v="vishal"/>
    <n v="27"/>
    <n v="4269.32"/>
  </r>
  <r>
    <x v="305"/>
    <s v="West"/>
    <s v="Gujarat"/>
    <s v="Surat"/>
    <x v="1"/>
    <n v="18"/>
    <s v="Dinesh"/>
    <n v="49"/>
    <n v="3561.06"/>
  </r>
  <r>
    <x v="198"/>
    <s v="West"/>
    <s v="Maharashtra"/>
    <s v="Nagpur"/>
    <x v="1"/>
    <n v="19"/>
    <s v="Rajendra"/>
    <n v="22"/>
    <n v="3374.33"/>
  </r>
  <r>
    <x v="261"/>
    <s v="South"/>
    <s v="Tamil Nadu"/>
    <s v="Coimbatore"/>
    <x v="3"/>
    <n v="17"/>
    <s v="Pinkesh"/>
    <n v="16"/>
    <n v="3771.79"/>
  </r>
  <r>
    <x v="84"/>
    <s v="West"/>
    <s v="Gujarat"/>
    <s v="Ahmedabad"/>
    <x v="4"/>
    <n v="17"/>
    <s v="Pankaj"/>
    <n v="54"/>
    <n v="3791.82"/>
  </r>
  <r>
    <x v="228"/>
    <s v="West"/>
    <s v="Maharashtra"/>
    <s v="Pune"/>
    <x v="3"/>
    <n v="13"/>
    <s v="Priya"/>
    <n v="41"/>
    <n v="4985.82"/>
  </r>
  <r>
    <x v="379"/>
    <s v="West"/>
    <s v="Maharashtra"/>
    <s v="Pune"/>
    <x v="3"/>
    <n v="13"/>
    <s v="Priya"/>
    <n v="41"/>
    <n v="4985.82"/>
  </r>
  <r>
    <x v="90"/>
    <s v="West"/>
    <s v="Gujarat"/>
    <s v="Ahmedabad"/>
    <x v="4"/>
    <n v="18"/>
    <s v="Rajesh"/>
    <n v="16"/>
    <n v="3602.65"/>
  </r>
  <r>
    <x v="217"/>
    <s v="North"/>
    <s v="Delhi"/>
    <s v="Karol Bagh"/>
    <x v="3"/>
    <n v="18"/>
    <s v="Pankaj"/>
    <n v="21"/>
    <n v="3614.6"/>
  </r>
  <r>
    <x v="232"/>
    <s v="West"/>
    <s v="Maharashtra"/>
    <s v="Mumbai"/>
    <x v="4"/>
    <n v="14"/>
    <s v="Rajesh"/>
    <n v="44"/>
    <n v="4649.53"/>
  </r>
  <r>
    <x v="380"/>
    <s v="West"/>
    <s v="Maharashtra"/>
    <s v="Mumbai"/>
    <x v="4"/>
    <n v="14"/>
    <s v="Rajesh"/>
    <n v="44"/>
    <n v="4649.53"/>
  </r>
  <r>
    <x v="311"/>
    <s v="South"/>
    <s v="Tamil Nadu"/>
    <s v="Madurai"/>
    <x v="3"/>
    <n v="20"/>
    <s v="Priya"/>
    <n v="42"/>
    <n v="3280.87"/>
  </r>
  <r>
    <x v="381"/>
    <s v="North"/>
    <s v="Delhi"/>
    <s v="Dwarka"/>
    <x v="2"/>
    <n v="17"/>
    <s v="Jaykesh"/>
    <n v="20"/>
    <n v="3878.66"/>
  </r>
  <r>
    <x v="210"/>
    <s v="South"/>
    <s v="Karnataka"/>
    <s v="Hubli"/>
    <x v="4"/>
    <n v="15"/>
    <s v="Jaykesh"/>
    <n v="55"/>
    <n v="4402.43"/>
  </r>
  <r>
    <x v="382"/>
    <s v="South"/>
    <s v="Karnataka"/>
    <s v="Hubli"/>
    <x v="4"/>
    <n v="15"/>
    <s v="Priya"/>
    <n v="55"/>
    <n v="4402.43"/>
  </r>
  <r>
    <x v="96"/>
    <s v="South"/>
    <s v="Tamil Nadu"/>
    <s v="Madurai"/>
    <x v="4"/>
    <n v="15"/>
    <s v="Jaykesh"/>
    <n v="19"/>
    <n v="4426.4399999999996"/>
  </r>
  <r>
    <x v="328"/>
    <s v="South"/>
    <s v="Tamil Nadu"/>
    <s v="Coimbatore"/>
    <x v="2"/>
    <n v="20"/>
    <s v="vishal"/>
    <n v="44"/>
    <n v="3331.04"/>
  </r>
  <r>
    <x v="188"/>
    <s v="South"/>
    <s v="Tamil Nadu"/>
    <s v="Madurai"/>
    <x v="1"/>
    <n v="17"/>
    <s v="Kuldeep"/>
    <n v="32"/>
    <n v="3933.92"/>
  </r>
  <r>
    <x v="31"/>
    <s v="West"/>
    <s v="Gujarat"/>
    <s v="Ahmedabad"/>
    <x v="4"/>
    <n v="17"/>
    <s v="vishal"/>
    <n v="33"/>
    <n v="3971.7"/>
  </r>
  <r>
    <x v="326"/>
    <s v="West"/>
    <s v="Gujarat"/>
    <s v="Vadodara"/>
    <x v="4"/>
    <n v="14"/>
    <s v="vishal"/>
    <n v="46"/>
    <n v="4839.1099999999997"/>
  </r>
  <r>
    <x v="54"/>
    <s v="South"/>
    <s v="Karnataka"/>
    <s v="Mysuru"/>
    <x v="3"/>
    <n v="15"/>
    <s v="Rajesh"/>
    <n v="20"/>
    <n v="4545.26"/>
  </r>
  <r>
    <x v="37"/>
    <s v="South"/>
    <s v="Karnataka"/>
    <s v="Bengaluru"/>
    <x v="1"/>
    <n v="14"/>
    <s v="Raghav"/>
    <n v="16"/>
    <n v="4894.84"/>
  </r>
  <r>
    <x v="263"/>
    <s v="North"/>
    <s v="Delhi"/>
    <s v="New Delhi"/>
    <x v="4"/>
    <n v="17"/>
    <s v="Keshav"/>
    <n v="49"/>
    <n v="4033.84"/>
  </r>
  <r>
    <x v="203"/>
    <s v="South"/>
    <s v="Tamil Nadu"/>
    <s v="Coimbatore"/>
    <x v="2"/>
    <n v="15"/>
    <s v="Keshav"/>
    <n v="30"/>
    <n v="4579.29"/>
  </r>
  <r>
    <x v="5"/>
    <s v="North"/>
    <s v="Delhi"/>
    <s v="Dwarka"/>
    <x v="1"/>
    <n v="20"/>
    <s v="Rajendra"/>
    <n v="19"/>
    <n v="3438.25"/>
  </r>
  <r>
    <x v="383"/>
    <s v="South"/>
    <s v="Tamil Nadu"/>
    <s v="Coimbatore"/>
    <x v="3"/>
    <n v="14"/>
    <s v="Pankaj"/>
    <n v="38"/>
    <n v="4935.34"/>
  </r>
  <r>
    <x v="2"/>
    <s v="West"/>
    <s v="Gujarat"/>
    <s v="Surat"/>
    <x v="2"/>
    <n v="19"/>
    <s v="Rajendra"/>
    <n v="18"/>
    <n v="3649.75"/>
  </r>
  <r>
    <x v="229"/>
    <s v="West"/>
    <s v="Maharashtra"/>
    <s v="Nagpur"/>
    <x v="2"/>
    <n v="17"/>
    <s v="Rajendra"/>
    <n v="46"/>
    <n v="4082.38"/>
  </r>
  <r>
    <x v="22"/>
    <s v="West"/>
    <s v="Gujarat"/>
    <s v="Surat"/>
    <x v="4"/>
    <n v="20"/>
    <s v="Keshav"/>
    <n v="30"/>
    <n v="3470.23"/>
  </r>
  <r>
    <x v="178"/>
    <s v="West"/>
    <s v="Maharashtra"/>
    <s v="Nagpur"/>
    <x v="4"/>
    <n v="20"/>
    <s v="Keshav"/>
    <n v="25"/>
    <n v="3474.05"/>
  </r>
  <r>
    <x v="4"/>
    <s v="South"/>
    <s v="Karnataka"/>
    <s v="Bengaluru"/>
    <x v="2"/>
    <n v="17"/>
    <s v="Rajesh"/>
    <n v="44"/>
    <n v="4088.77"/>
  </r>
  <r>
    <x v="69"/>
    <s v="South"/>
    <s v="Karnataka"/>
    <s v="Bengaluru"/>
    <x v="0"/>
    <n v="16"/>
    <s v="Rajendra"/>
    <n v="40"/>
    <n v="4354.03"/>
  </r>
  <r>
    <x v="144"/>
    <s v="West"/>
    <s v="Maharashtra"/>
    <s v="Mumbai"/>
    <x v="1"/>
    <n v="17"/>
    <s v="Kuldeep"/>
    <n v="42"/>
    <n v="4100.2700000000004"/>
  </r>
  <r>
    <x v="146"/>
    <s v="North"/>
    <s v="Delhi"/>
    <s v="New Delhi"/>
    <x v="4"/>
    <n v="16"/>
    <s v="Rajendra"/>
    <n v="37"/>
    <n v="4364.8999999999996"/>
  </r>
  <r>
    <x v="114"/>
    <s v="West"/>
    <s v="Maharashtra"/>
    <s v="Mumbai"/>
    <x v="3"/>
    <n v="15"/>
    <s v="Pankaj"/>
    <n v="25"/>
    <n v="4657.82"/>
  </r>
  <r>
    <x v="89"/>
    <s v="South"/>
    <s v="Karnataka"/>
    <s v="Bengaluru"/>
    <x v="0"/>
    <n v="15"/>
    <s v="Pankaj"/>
    <n v="52"/>
    <n v="4659.8"/>
  </r>
  <r>
    <x v="242"/>
    <s v="West"/>
    <s v="Maharashtra"/>
    <s v="Pune"/>
    <x v="2"/>
    <n v="19"/>
    <s v="Pinkesh"/>
    <n v="50"/>
    <n v="3683.04"/>
  </r>
  <r>
    <x v="333"/>
    <s v="North"/>
    <s v="Delhi"/>
    <s v="New Delhi"/>
    <x v="1"/>
    <n v="15"/>
    <s v="vishal"/>
    <n v="44"/>
    <n v="4667.42"/>
  </r>
  <r>
    <x v="135"/>
    <s v="West"/>
    <s v="Gujarat"/>
    <s v="Vadodara"/>
    <x v="4"/>
    <n v="15"/>
    <s v="Pinkesh"/>
    <n v="28"/>
    <n v="4678.57"/>
  </r>
  <r>
    <x v="249"/>
    <s v="North"/>
    <s v="Delhi"/>
    <s v="Dwarka"/>
    <x v="4"/>
    <n v="19"/>
    <s v="Keshav"/>
    <n v="34"/>
    <n v="3694.62"/>
  </r>
  <r>
    <x v="117"/>
    <s v="West"/>
    <s v="Gujarat"/>
    <s v="Ahmedabad"/>
    <x v="3"/>
    <n v="17"/>
    <s v="Rajendra"/>
    <n v="39"/>
    <n v="4136.3100000000004"/>
  </r>
  <r>
    <x v="192"/>
    <s v="South"/>
    <s v="Karnataka"/>
    <s v="Bengaluru"/>
    <x v="2"/>
    <n v="18"/>
    <s v="Dinesh"/>
    <n v="24"/>
    <n v="3913.42"/>
  </r>
  <r>
    <x v="272"/>
    <s v="West"/>
    <s v="Maharashtra"/>
    <s v="Mumbai"/>
    <x v="1"/>
    <n v="19"/>
    <s v="vishal"/>
    <n v="23"/>
    <n v="3718.59"/>
  </r>
  <r>
    <x v="9"/>
    <s v="South"/>
    <s v="Tamil Nadu"/>
    <s v="Madurai"/>
    <x v="3"/>
    <n v="15"/>
    <s v="Rajendra"/>
    <n v="21"/>
    <n v="4724.91"/>
  </r>
  <r>
    <x v="296"/>
    <s v="West"/>
    <s v="Gujarat"/>
    <s v="Ahmedabad"/>
    <x v="0"/>
    <n v="18"/>
    <s v="Pankaj"/>
    <n v="32"/>
    <n v="3943.82"/>
  </r>
  <r>
    <x v="277"/>
    <s v="West"/>
    <s v="Gujarat"/>
    <s v="Surat"/>
    <x v="1"/>
    <n v="18"/>
    <s v="Rajesh"/>
    <n v="46"/>
    <n v="3982.89"/>
  </r>
  <r>
    <x v="59"/>
    <s v="West"/>
    <s v="Maharashtra"/>
    <s v="Mumbai"/>
    <x v="4"/>
    <n v="15"/>
    <s v="Jaykesh"/>
    <n v="44"/>
    <n v="4785.6099999999997"/>
  </r>
  <r>
    <x v="349"/>
    <s v="West"/>
    <s v="Maharashtra"/>
    <s v="Mumbai"/>
    <x v="2"/>
    <n v="15"/>
    <s v="Rajesh"/>
    <n v="22"/>
    <n v="4822.26"/>
  </r>
  <r>
    <x v="337"/>
    <s v="West"/>
    <s v="Maharashtra"/>
    <s v="Nagpur"/>
    <x v="3"/>
    <n v="18"/>
    <s v="Rajendra"/>
    <n v="28"/>
    <n v="4022.66"/>
  </r>
  <r>
    <x v="36"/>
    <s v="North"/>
    <s v="Delhi"/>
    <s v="New Delhi"/>
    <x v="0"/>
    <n v="18"/>
    <s v="Kuldeep"/>
    <n v="40"/>
    <n v="4059.82"/>
  </r>
  <r>
    <x v="302"/>
    <s v="South"/>
    <s v="Tamil Nadu"/>
    <s v="Madurai"/>
    <x v="0"/>
    <n v="20"/>
    <s v="Dinesh"/>
    <n v="38"/>
    <n v="3684.86"/>
  </r>
  <r>
    <x v="384"/>
    <s v="West"/>
    <s v="Gujarat"/>
    <s v="Vadodara"/>
    <x v="4"/>
    <n v="16"/>
    <s v="Pankaj"/>
    <n v="25"/>
    <n v="4614.01"/>
  </r>
  <r>
    <x v="374"/>
    <s v="South"/>
    <s v="Tamil Nadu"/>
    <s v="Chennai"/>
    <x v="3"/>
    <n v="18"/>
    <s v="Pankaj"/>
    <n v="54"/>
    <n v="4103.6099999999997"/>
  </r>
  <r>
    <x v="33"/>
    <s v="West"/>
    <s v="Gujarat"/>
    <s v="Ahmedabad"/>
    <x v="4"/>
    <n v="19"/>
    <s v="Rajendra"/>
    <n v="23"/>
    <n v="3907.56"/>
  </r>
  <r>
    <x v="231"/>
    <s v="South"/>
    <s v="Karnataka"/>
    <s v="Hubli"/>
    <x v="1"/>
    <n v="20"/>
    <s v="Dinesh"/>
    <n v="20"/>
    <n v="3728.46"/>
  </r>
  <r>
    <x v="12"/>
    <s v="West"/>
    <s v="Maharashtra"/>
    <s v="Pune"/>
    <x v="3"/>
    <n v="19"/>
    <s v="Rajendra"/>
    <n v="49"/>
    <n v="3927.27"/>
  </r>
  <r>
    <x v="288"/>
    <s v="South"/>
    <s v="Tamil Nadu"/>
    <s v="Coimbatore"/>
    <x v="2"/>
    <n v="20"/>
    <s v="Rajendra"/>
    <n v="19"/>
    <n v="3751.01"/>
  </r>
  <r>
    <x v="344"/>
    <s v="South"/>
    <s v="Tamil Nadu"/>
    <s v="Madurai"/>
    <x v="2"/>
    <n v="18"/>
    <s v="Pinkesh"/>
    <n v="32"/>
    <n v="4168.59"/>
  </r>
  <r>
    <x v="385"/>
    <s v="North"/>
    <s v="Delhi"/>
    <s v="Dwarka"/>
    <x v="4"/>
    <n v="20"/>
    <s v="Rajendra"/>
    <n v="38"/>
    <n v="3753.15"/>
  </r>
  <r>
    <x v="194"/>
    <s v="West"/>
    <s v="Gujarat"/>
    <s v="Ahmedabad"/>
    <x v="3"/>
    <n v="17"/>
    <s v="Rajendra"/>
    <n v="43"/>
    <n v="4427.79"/>
  </r>
  <r>
    <x v="31"/>
    <s v="South"/>
    <s v="Karnataka"/>
    <s v="Hubli"/>
    <x v="1"/>
    <n v="16"/>
    <s v="Pinkesh"/>
    <n v="49"/>
    <n v="4720.2299999999996"/>
  </r>
  <r>
    <x v="203"/>
    <s v="West"/>
    <s v="Maharashtra"/>
    <s v="Nagpur"/>
    <x v="2"/>
    <n v="16"/>
    <s v="Priya"/>
    <n v="28"/>
    <n v="4780.7700000000004"/>
  </r>
  <r>
    <x v="37"/>
    <s v="North"/>
    <s v="Delhi"/>
    <s v="New Delhi"/>
    <x v="4"/>
    <n v="17"/>
    <s v="Pinkesh"/>
    <n v="18"/>
    <n v="4502.3900000000003"/>
  </r>
  <r>
    <x v="48"/>
    <s v="South"/>
    <s v="Tamil Nadu"/>
    <s v="Chennai"/>
    <x v="2"/>
    <n v="17"/>
    <s v="Keshav"/>
    <n v="44"/>
    <n v="4515.21"/>
  </r>
  <r>
    <x v="50"/>
    <s v="South"/>
    <s v="Karnataka"/>
    <s v="Hubli"/>
    <x v="2"/>
    <n v="17"/>
    <s v="Rajendra"/>
    <n v="39"/>
    <n v="4517.78"/>
  </r>
  <r>
    <x v="76"/>
    <s v="West"/>
    <s v="Gujarat"/>
    <s v="Ahmedabad"/>
    <x v="0"/>
    <n v="16"/>
    <s v="Jaykesh"/>
    <n v="34"/>
    <n v="4858.3100000000004"/>
  </r>
  <r>
    <x v="193"/>
    <s v="North"/>
    <s v="Delhi"/>
    <s v="New Delhi"/>
    <x v="1"/>
    <n v="16"/>
    <s v="Priya"/>
    <n v="34"/>
    <n v="4860.07"/>
  </r>
  <r>
    <x v="30"/>
    <s v="South"/>
    <s v="Tamil Nadu"/>
    <s v="Coimbatore"/>
    <x v="0"/>
    <n v="20"/>
    <s v="Pankaj"/>
    <n v="26"/>
    <n v="3891.28"/>
  </r>
  <r>
    <x v="332"/>
    <s v="South"/>
    <s v="Tamil Nadu"/>
    <s v="Coimbatore"/>
    <x v="3"/>
    <n v="19"/>
    <s v="Pankaj"/>
    <n v="21"/>
    <n v="4134.01"/>
  </r>
  <r>
    <x v="298"/>
    <s v="West"/>
    <s v="Maharashtra"/>
    <s v="Mumbai"/>
    <x v="2"/>
    <n v="19"/>
    <s v="Dinesh"/>
    <n v="39"/>
    <n v="4137.4399999999996"/>
  </r>
  <r>
    <x v="58"/>
    <s v="South"/>
    <s v="Karnataka"/>
    <s v="Mysuru"/>
    <x v="2"/>
    <n v="20"/>
    <s v="Kuldeep"/>
    <n v="26"/>
    <n v="3937.67"/>
  </r>
  <r>
    <x v="216"/>
    <s v="South"/>
    <s v="Tamil Nadu"/>
    <s v="Chennai"/>
    <x v="2"/>
    <n v="18"/>
    <s v="vishal"/>
    <n v="31"/>
    <n v="4403.6899999999996"/>
  </r>
  <r>
    <x v="112"/>
    <s v="South"/>
    <s v="Tamil Nadu"/>
    <s v="Coimbatore"/>
    <x v="2"/>
    <n v="18"/>
    <s v="Pankaj"/>
    <n v="55"/>
    <n v="4422.21"/>
  </r>
  <r>
    <x v="143"/>
    <s v="South"/>
    <s v="Karnataka"/>
    <s v="Mysuru"/>
    <x v="1"/>
    <n v="16"/>
    <s v="Jaykesh"/>
    <n v="21"/>
    <n v="4999.8999999999996"/>
  </r>
  <r>
    <x v="48"/>
    <s v="South"/>
    <s v="Karnataka"/>
    <s v="Hubli"/>
    <x v="1"/>
    <n v="18"/>
    <s v="Rajesh"/>
    <n v="18"/>
    <n v="4450.2299999999996"/>
  </r>
  <r>
    <x v="386"/>
    <s v="West"/>
    <s v="Maharashtra"/>
    <s v="Pune"/>
    <x v="3"/>
    <n v="19"/>
    <s v="Raghav"/>
    <n v="34"/>
    <n v="4229.42"/>
  </r>
  <r>
    <x v="17"/>
    <s v="North"/>
    <s v="Delhi"/>
    <s v="New Delhi"/>
    <x v="4"/>
    <n v="20"/>
    <s v="Rajendra"/>
    <n v="43"/>
    <n v="4035.61"/>
  </r>
  <r>
    <x v="342"/>
    <s v="West"/>
    <s v="Gujarat"/>
    <s v="Surat"/>
    <x v="4"/>
    <n v="20"/>
    <s v="Pinkesh"/>
    <n v="45"/>
    <n v="4066.74"/>
  </r>
  <r>
    <x v="156"/>
    <s v="South"/>
    <s v="Karnataka"/>
    <s v="Hubli"/>
    <x v="0"/>
    <n v="17"/>
    <s v="Raghav"/>
    <n v="55"/>
    <n v="4825.24"/>
  </r>
  <r>
    <x v="243"/>
    <s v="West"/>
    <s v="Gujarat"/>
    <s v="Ahmedabad"/>
    <x v="4"/>
    <n v="19"/>
    <s v="Kuldeep"/>
    <n v="28"/>
    <n v="4348.7299999999996"/>
  </r>
  <r>
    <x v="120"/>
    <s v="South"/>
    <s v="Tamil Nadu"/>
    <s v="Madurai"/>
    <x v="4"/>
    <n v="17"/>
    <s v="Raghav"/>
    <n v="16"/>
    <n v="4890.5"/>
  </r>
  <r>
    <x v="210"/>
    <s v="South"/>
    <s v="Karnataka"/>
    <s v="Hubli"/>
    <x v="4"/>
    <n v="19"/>
    <s v="Dinesh"/>
    <n v="20"/>
    <n v="4411.57"/>
  </r>
  <r>
    <x v="30"/>
    <s v="South"/>
    <s v="Karnataka"/>
    <s v="Mysuru"/>
    <x v="4"/>
    <n v="19"/>
    <s v="vishal"/>
    <n v="40"/>
    <n v="4421.6899999999996"/>
  </r>
  <r>
    <x v="148"/>
    <s v="West"/>
    <s v="Gujarat"/>
    <s v="Ahmedabad"/>
    <x v="3"/>
    <n v="17"/>
    <s v="Keshav"/>
    <n v="42"/>
    <n v="4953.04"/>
  </r>
  <r>
    <x v="342"/>
    <s v="West"/>
    <s v="Maharashtra"/>
    <s v="Pune"/>
    <x v="0"/>
    <n v="20"/>
    <s v="Priya"/>
    <n v="25"/>
    <n v="4226.93"/>
  </r>
  <r>
    <x v="146"/>
    <s v="West"/>
    <s v="Maharashtra"/>
    <s v="Nagpur"/>
    <x v="3"/>
    <n v="17"/>
    <s v="Keshav"/>
    <n v="31"/>
    <n v="4982.8100000000004"/>
  </r>
  <r>
    <x v="370"/>
    <s v="West"/>
    <s v="Maharashtra"/>
    <s v="Pune"/>
    <x v="3"/>
    <n v="18"/>
    <s v="Pinkesh"/>
    <n v="42"/>
    <n v="4721.4399999999996"/>
  </r>
  <r>
    <x v="345"/>
    <s v="West"/>
    <s v="Maharashtra"/>
    <s v="Mumbai"/>
    <x v="4"/>
    <n v="20"/>
    <s v="Keshav"/>
    <n v="45"/>
    <n v="4270.08"/>
  </r>
  <r>
    <x v="26"/>
    <s v="North"/>
    <s v="Delhi"/>
    <s v="New Delhi"/>
    <x v="3"/>
    <n v="18"/>
    <s v="vishal"/>
    <n v="47"/>
    <n v="4861.3100000000004"/>
  </r>
  <r>
    <x v="335"/>
    <s v="West"/>
    <s v="Gujarat"/>
    <s v="Ahmedabad"/>
    <x v="3"/>
    <n v="18"/>
    <s v="Raghav"/>
    <n v="18"/>
    <n v="4862.63"/>
  </r>
  <r>
    <x v="292"/>
    <s v="South"/>
    <s v="Tamil Nadu"/>
    <s v="Chennai"/>
    <x v="2"/>
    <n v="20"/>
    <s v="Jaykesh"/>
    <n v="26"/>
    <n v="4398.47"/>
  </r>
  <r>
    <x v="79"/>
    <s v="South"/>
    <s v="Karnataka"/>
    <s v="Hubli"/>
    <x v="3"/>
    <n v="18"/>
    <s v="Pankaj"/>
    <n v="29"/>
    <n v="4888.0200000000004"/>
  </r>
  <r>
    <x v="119"/>
    <s v="South"/>
    <s v="Tamil Nadu"/>
    <s v="Chennai"/>
    <x v="1"/>
    <n v="19"/>
    <s v="Kuldeep"/>
    <n v="37"/>
    <n v="4642.84"/>
  </r>
  <r>
    <x v="305"/>
    <s v="South"/>
    <s v="Tamil Nadu"/>
    <s v="Madurai"/>
    <x v="4"/>
    <n v="19"/>
    <s v="Rajendra"/>
    <n v="43"/>
    <n v="4771.5"/>
  </r>
  <r>
    <x v="286"/>
    <s v="West"/>
    <s v="Maharashtra"/>
    <s v="Mumbai"/>
    <x v="0"/>
    <n v="20"/>
    <s v="Rajendra"/>
    <n v="27"/>
    <n v="4638.2"/>
  </r>
  <r>
    <x v="221"/>
    <s v="West"/>
    <s v="Gujarat"/>
    <s v="Ahmedabad"/>
    <x v="3"/>
    <n v="19"/>
    <s v="Pinkesh"/>
    <n v="28"/>
    <n v="4920.4399999999996"/>
  </r>
  <r>
    <x v="234"/>
    <s v="West"/>
    <s v="Maharashtra"/>
    <s v="Nagpur"/>
    <x v="1"/>
    <n v="19"/>
    <s v="Rajendra"/>
    <n v="52"/>
    <n v="4943.6899999999996"/>
  </r>
  <r>
    <x v="174"/>
    <s v="South"/>
    <s v="Tamil Nadu"/>
    <s v="Chennai"/>
    <x v="1"/>
    <n v="20"/>
    <s v="Rajendra"/>
    <n v="37"/>
    <n v="4710.8500000000004"/>
  </r>
  <r>
    <x v="69"/>
    <s v="West"/>
    <s v="Gujarat"/>
    <s v="Surat"/>
    <x v="2"/>
    <n v="20"/>
    <s v="vishal"/>
    <n v="21"/>
    <n v="4712.7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5">
  <r>
    <x v="0"/>
    <s v="South"/>
    <s v="Tamil Nadu"/>
    <x v="0"/>
    <x v="0"/>
    <n v="10"/>
    <x v="0"/>
    <n v="21"/>
    <n v="267.32"/>
  </r>
  <r>
    <x v="0"/>
    <s v="South"/>
    <s v="Tamil Nadu"/>
    <x v="0"/>
    <x v="0"/>
    <n v="1"/>
    <x v="0"/>
    <n v="21"/>
    <n v="267.32"/>
  </r>
  <r>
    <x v="1"/>
    <s v="South"/>
    <s v="Tamil Nadu"/>
    <x v="0"/>
    <x v="0"/>
    <n v="1"/>
    <x v="1"/>
    <n v="21"/>
    <n v="267.32"/>
  </r>
  <r>
    <x v="2"/>
    <s v="West"/>
    <s v="Gujarat"/>
    <x v="1"/>
    <x v="0"/>
    <n v="1"/>
    <x v="2"/>
    <n v="23"/>
    <n v="302.02"/>
  </r>
  <r>
    <x v="2"/>
    <s v="West"/>
    <s v="Gujarat"/>
    <x v="1"/>
    <x v="0"/>
    <n v="1"/>
    <x v="1"/>
    <n v="23"/>
    <n v="302.02"/>
  </r>
  <r>
    <x v="3"/>
    <s v="South"/>
    <s v="Karnataka"/>
    <x v="2"/>
    <x v="1"/>
    <n v="2"/>
    <x v="3"/>
    <n v="34"/>
    <n v="161.19"/>
  </r>
  <r>
    <x v="4"/>
    <s v="West"/>
    <s v="Maharashtra"/>
    <x v="3"/>
    <x v="2"/>
    <n v="3"/>
    <x v="4"/>
    <n v="51"/>
    <n v="116.58"/>
  </r>
  <r>
    <x v="5"/>
    <s v="South"/>
    <s v="Tamil Nadu"/>
    <x v="0"/>
    <x v="2"/>
    <n v="1"/>
    <x v="5"/>
    <n v="41"/>
    <n v="421.27"/>
  </r>
  <r>
    <x v="6"/>
    <s v="North"/>
    <s v="Delhi"/>
    <x v="4"/>
    <x v="2"/>
    <n v="3"/>
    <x v="5"/>
    <n v="36"/>
    <n v="144.38999999999999"/>
  </r>
  <r>
    <x v="7"/>
    <s v="North"/>
    <s v="Delhi"/>
    <x v="4"/>
    <x v="2"/>
    <n v="3"/>
    <x v="3"/>
    <n v="36"/>
    <n v="144.38999999999999"/>
  </r>
  <r>
    <x v="8"/>
    <s v="North"/>
    <s v="Delhi"/>
    <x v="4"/>
    <x v="2"/>
    <n v="2"/>
    <x v="2"/>
    <n v="20"/>
    <n v="233.75"/>
  </r>
  <r>
    <x v="8"/>
    <s v="North"/>
    <s v="Delhi"/>
    <x v="4"/>
    <x v="2"/>
    <n v="2"/>
    <x v="1"/>
    <n v="20"/>
    <n v="233.75"/>
  </r>
  <r>
    <x v="9"/>
    <s v="West"/>
    <s v="Maharashtra"/>
    <x v="5"/>
    <x v="1"/>
    <n v="1"/>
    <x v="6"/>
    <n v="26"/>
    <n v="568.54999999999995"/>
  </r>
  <r>
    <x v="10"/>
    <s v="South"/>
    <s v="Tamil Nadu"/>
    <x v="6"/>
    <x v="1"/>
    <n v="1"/>
    <x v="0"/>
    <n v="48"/>
    <n v="585.58000000000004"/>
  </r>
  <r>
    <x v="11"/>
    <s v="South"/>
    <s v="Karnataka"/>
    <x v="7"/>
    <x v="3"/>
    <n v="2"/>
    <x v="0"/>
    <n v="18"/>
    <n v="296.52999999999997"/>
  </r>
  <r>
    <x v="12"/>
    <s v="South"/>
    <s v="Tamil Nadu"/>
    <x v="8"/>
    <x v="4"/>
    <n v="1"/>
    <x v="7"/>
    <n v="31"/>
    <n v="632.39"/>
  </r>
  <r>
    <x v="12"/>
    <s v="South"/>
    <s v="Tamil Nadu"/>
    <x v="8"/>
    <x v="4"/>
    <n v="1"/>
    <x v="1"/>
    <n v="31"/>
    <n v="632.39"/>
  </r>
  <r>
    <x v="13"/>
    <s v="South"/>
    <s v="Tamil Nadu"/>
    <x v="6"/>
    <x v="3"/>
    <n v="1"/>
    <x v="8"/>
    <n v="49"/>
    <n v="648.88"/>
  </r>
  <r>
    <x v="14"/>
    <s v="South"/>
    <s v="Tamil Nadu"/>
    <x v="0"/>
    <x v="2"/>
    <n v="1"/>
    <x v="4"/>
    <n v="39"/>
    <n v="696.38"/>
  </r>
  <r>
    <x v="15"/>
    <s v="North"/>
    <s v="Delhi"/>
    <x v="4"/>
    <x v="0"/>
    <n v="5"/>
    <x v="3"/>
    <n v="31"/>
    <n v="143.78"/>
  </r>
  <r>
    <x v="16"/>
    <s v="West"/>
    <s v="Maharashtra"/>
    <x v="3"/>
    <x v="3"/>
    <n v="3"/>
    <x v="2"/>
    <n v="40"/>
    <n v="264.98"/>
  </r>
  <r>
    <x v="17"/>
    <s v="North"/>
    <s v="Delhi"/>
    <x v="4"/>
    <x v="0"/>
    <n v="1"/>
    <x v="6"/>
    <n v="26"/>
    <n v="840.65"/>
  </r>
  <r>
    <x v="18"/>
    <s v="West"/>
    <s v="Gujarat"/>
    <x v="1"/>
    <x v="4"/>
    <n v="5"/>
    <x v="2"/>
    <n v="28"/>
    <n v="172.99"/>
  </r>
  <r>
    <x v="19"/>
    <s v="South"/>
    <s v="Karnataka"/>
    <x v="2"/>
    <x v="1"/>
    <n v="1"/>
    <x v="6"/>
    <n v="25"/>
    <n v="979.17"/>
  </r>
  <r>
    <x v="20"/>
    <s v="West"/>
    <s v="Gujarat"/>
    <x v="9"/>
    <x v="1"/>
    <n v="1"/>
    <x v="5"/>
    <n v="51"/>
    <n v="983.24"/>
  </r>
  <r>
    <x v="21"/>
    <s v="North"/>
    <s v="Delhi"/>
    <x v="10"/>
    <x v="2"/>
    <n v="2"/>
    <x v="7"/>
    <n v="31"/>
    <n v="528.62"/>
  </r>
  <r>
    <x v="20"/>
    <s v="West"/>
    <s v="Maharashtra"/>
    <x v="11"/>
    <x v="3"/>
    <n v="6"/>
    <x v="2"/>
    <n v="53"/>
    <n v="177.34"/>
  </r>
  <r>
    <x v="22"/>
    <s v="North"/>
    <s v="Delhi"/>
    <x v="10"/>
    <x v="3"/>
    <n v="5"/>
    <x v="0"/>
    <n v="42"/>
    <n v="214.25"/>
  </r>
  <r>
    <x v="23"/>
    <s v="South"/>
    <s v="Tamil Nadu"/>
    <x v="0"/>
    <x v="0"/>
    <n v="1"/>
    <x v="5"/>
    <n v="53"/>
    <n v="1094.8800000000001"/>
  </r>
  <r>
    <x v="24"/>
    <s v="South"/>
    <s v="Karnataka"/>
    <x v="2"/>
    <x v="2"/>
    <n v="4"/>
    <x v="8"/>
    <n v="55"/>
    <n v="277.45"/>
  </r>
  <r>
    <x v="25"/>
    <s v="West"/>
    <s v="Gujarat"/>
    <x v="9"/>
    <x v="1"/>
    <n v="3"/>
    <x v="3"/>
    <n v="53"/>
    <n v="403.5"/>
  </r>
  <r>
    <x v="26"/>
    <s v="South"/>
    <s v="Karnataka"/>
    <x v="7"/>
    <x v="2"/>
    <n v="1"/>
    <x v="9"/>
    <n v="39"/>
    <n v="1219.0999999999999"/>
  </r>
  <r>
    <x v="27"/>
    <s v="South"/>
    <s v="Tamil Nadu"/>
    <x v="6"/>
    <x v="0"/>
    <n v="1"/>
    <x v="1"/>
    <n v="50"/>
    <n v="1239.25"/>
  </r>
  <r>
    <x v="28"/>
    <s v="West"/>
    <s v="Gujarat"/>
    <x v="1"/>
    <x v="0"/>
    <n v="1"/>
    <x v="8"/>
    <n v="27"/>
    <n v="1286.1099999999999"/>
  </r>
  <r>
    <x v="29"/>
    <s v="South"/>
    <s v="Karnataka"/>
    <x v="12"/>
    <x v="1"/>
    <n v="2"/>
    <x v="3"/>
    <n v="54"/>
    <n v="659.83"/>
  </r>
  <r>
    <x v="30"/>
    <s v="South"/>
    <s v="Tamil Nadu"/>
    <x v="8"/>
    <x v="1"/>
    <n v="1"/>
    <x v="0"/>
    <n v="34"/>
    <n v="1355.14"/>
  </r>
  <r>
    <x v="31"/>
    <s v="North"/>
    <s v="Delhi"/>
    <x v="10"/>
    <x v="3"/>
    <n v="11"/>
    <x v="10"/>
    <n v="32"/>
    <n v="124.03"/>
  </r>
  <r>
    <x v="32"/>
    <s v="South"/>
    <s v="Tamil Nadu"/>
    <x v="0"/>
    <x v="4"/>
    <n v="5"/>
    <x v="1"/>
    <n v="45"/>
    <n v="278.31"/>
  </r>
  <r>
    <x v="33"/>
    <s v="South"/>
    <s v="Karnataka"/>
    <x v="7"/>
    <x v="2"/>
    <n v="3"/>
    <x v="4"/>
    <n v="24"/>
    <n v="468.7"/>
  </r>
  <r>
    <x v="15"/>
    <s v="North"/>
    <s v="Delhi"/>
    <x v="4"/>
    <x v="4"/>
    <n v="1"/>
    <x v="1"/>
    <n v="34"/>
    <n v="1410.8"/>
  </r>
  <r>
    <x v="34"/>
    <s v="South"/>
    <s v="Tamil Nadu"/>
    <x v="0"/>
    <x v="4"/>
    <n v="4"/>
    <x v="8"/>
    <n v="25"/>
    <n v="366.33"/>
  </r>
  <r>
    <x v="35"/>
    <s v="West"/>
    <s v="Maharashtra"/>
    <x v="3"/>
    <x v="3"/>
    <n v="2"/>
    <x v="9"/>
    <n v="46"/>
    <n v="741.33"/>
  </r>
  <r>
    <x v="19"/>
    <s v="West"/>
    <s v="Maharashtra"/>
    <x v="11"/>
    <x v="3"/>
    <n v="1"/>
    <x v="3"/>
    <n v="30"/>
    <n v="1520.22"/>
  </r>
  <r>
    <x v="36"/>
    <s v="South"/>
    <s v="Tamil Nadu"/>
    <x v="0"/>
    <x v="2"/>
    <n v="1"/>
    <x v="3"/>
    <n v="19"/>
    <n v="1520.97"/>
  </r>
  <r>
    <x v="37"/>
    <s v="South"/>
    <s v="Tamil Nadu"/>
    <x v="8"/>
    <x v="1"/>
    <n v="7"/>
    <x v="3"/>
    <n v="45"/>
    <n v="222.61"/>
  </r>
  <r>
    <x v="38"/>
    <s v="South"/>
    <s v="Tamil Nadu"/>
    <x v="0"/>
    <x v="0"/>
    <n v="2"/>
    <x v="10"/>
    <n v="48"/>
    <n v="779.35"/>
  </r>
  <r>
    <x v="39"/>
    <s v="North"/>
    <s v="Delhi"/>
    <x v="13"/>
    <x v="1"/>
    <n v="1"/>
    <x v="0"/>
    <n v="43"/>
    <n v="1591.88"/>
  </r>
  <r>
    <x v="40"/>
    <s v="South"/>
    <s v="Karnataka"/>
    <x v="2"/>
    <x v="2"/>
    <n v="10"/>
    <x v="7"/>
    <n v="31"/>
    <n v="159.27000000000001"/>
  </r>
  <r>
    <x v="41"/>
    <s v="South"/>
    <s v="Tamil Nadu"/>
    <x v="6"/>
    <x v="2"/>
    <n v="11"/>
    <x v="10"/>
    <n v="24"/>
    <n v="146.47"/>
  </r>
  <r>
    <x v="42"/>
    <s v="West"/>
    <s v="Maharashtra"/>
    <x v="5"/>
    <x v="3"/>
    <n v="2"/>
    <x v="3"/>
    <n v="22"/>
    <n v="816.12"/>
  </r>
  <r>
    <x v="43"/>
    <s v="North"/>
    <s v="Delhi"/>
    <x v="4"/>
    <x v="0"/>
    <n v="5"/>
    <x v="4"/>
    <n v="30"/>
    <n v="334.29"/>
  </r>
  <r>
    <x v="44"/>
    <s v="South"/>
    <s v="Tamil Nadu"/>
    <x v="6"/>
    <x v="0"/>
    <n v="4"/>
    <x v="2"/>
    <n v="46"/>
    <n v="430.91"/>
  </r>
  <r>
    <x v="45"/>
    <s v="North"/>
    <s v="Delhi"/>
    <x v="4"/>
    <x v="0"/>
    <n v="4"/>
    <x v="8"/>
    <n v="31"/>
    <n v="431.75"/>
  </r>
  <r>
    <x v="46"/>
    <s v="North"/>
    <s v="Delhi"/>
    <x v="4"/>
    <x v="2"/>
    <n v="7"/>
    <x v="9"/>
    <n v="48"/>
    <n v="252.75"/>
  </r>
  <r>
    <x v="47"/>
    <s v="North"/>
    <s v="Delhi"/>
    <x v="10"/>
    <x v="2"/>
    <n v="1"/>
    <x v="9"/>
    <n v="18"/>
    <n v="1793.18"/>
  </r>
  <r>
    <x v="14"/>
    <s v="South"/>
    <s v="Karnataka"/>
    <x v="7"/>
    <x v="2"/>
    <n v="9"/>
    <x v="9"/>
    <n v="31"/>
    <n v="203.38"/>
  </r>
  <r>
    <x v="48"/>
    <s v="West"/>
    <s v="Maharashtra"/>
    <x v="11"/>
    <x v="0"/>
    <n v="1"/>
    <x v="9"/>
    <n v="41"/>
    <n v="1889.5"/>
  </r>
  <r>
    <x v="49"/>
    <s v="West"/>
    <s v="Gujarat"/>
    <x v="1"/>
    <x v="4"/>
    <n v="1"/>
    <x v="4"/>
    <n v="46"/>
    <n v="1898.15"/>
  </r>
  <r>
    <x v="50"/>
    <s v="South"/>
    <s v="Karnataka"/>
    <x v="7"/>
    <x v="2"/>
    <n v="8"/>
    <x v="9"/>
    <n v="16"/>
    <n v="244.6"/>
  </r>
  <r>
    <x v="51"/>
    <s v="North"/>
    <s v="Delhi"/>
    <x v="4"/>
    <x v="1"/>
    <n v="1"/>
    <x v="3"/>
    <n v="23"/>
    <n v="1967.8"/>
  </r>
  <r>
    <x v="52"/>
    <s v="West"/>
    <s v="Gujarat"/>
    <x v="9"/>
    <x v="4"/>
    <n v="7"/>
    <x v="0"/>
    <n v="34"/>
    <n v="281.29000000000002"/>
  </r>
  <r>
    <x v="53"/>
    <s v="North"/>
    <s v="Delhi"/>
    <x v="13"/>
    <x v="0"/>
    <n v="1"/>
    <x v="1"/>
    <n v="52"/>
    <n v="1981.82"/>
  </r>
  <r>
    <x v="54"/>
    <s v="West"/>
    <s v="Maharashtra"/>
    <x v="11"/>
    <x v="0"/>
    <n v="1"/>
    <x v="7"/>
    <n v="45"/>
    <n v="1999.98"/>
  </r>
  <r>
    <x v="55"/>
    <s v="South"/>
    <s v="Karnataka"/>
    <x v="12"/>
    <x v="2"/>
    <n v="9"/>
    <x v="8"/>
    <n v="52"/>
    <n v="228.49"/>
  </r>
  <r>
    <x v="56"/>
    <s v="South"/>
    <s v="Tamil Nadu"/>
    <x v="8"/>
    <x v="3"/>
    <n v="7"/>
    <x v="4"/>
    <n v="34"/>
    <n v="299.68"/>
  </r>
  <r>
    <x v="57"/>
    <s v="South"/>
    <s v="Karnataka"/>
    <x v="7"/>
    <x v="3"/>
    <n v="2"/>
    <x v="4"/>
    <n v="34"/>
    <n v="1063.3499999999999"/>
  </r>
  <r>
    <x v="58"/>
    <s v="North"/>
    <s v="Delhi"/>
    <x v="10"/>
    <x v="0"/>
    <n v="5"/>
    <x v="7"/>
    <n v="24"/>
    <n v="438.69"/>
  </r>
  <r>
    <x v="32"/>
    <s v="South"/>
    <s v="Karnataka"/>
    <x v="7"/>
    <x v="4"/>
    <n v="10"/>
    <x v="2"/>
    <n v="20"/>
    <n v="222.55"/>
  </r>
  <r>
    <x v="59"/>
    <s v="West"/>
    <s v="Gujarat"/>
    <x v="9"/>
    <x v="3"/>
    <n v="12"/>
    <x v="4"/>
    <n v="44"/>
    <n v="186.62"/>
  </r>
  <r>
    <x v="60"/>
    <s v="West"/>
    <s v="Gujarat"/>
    <x v="14"/>
    <x v="4"/>
    <n v="8"/>
    <x v="8"/>
    <n v="17"/>
    <n v="285.94"/>
  </r>
  <r>
    <x v="61"/>
    <s v="West"/>
    <s v="Gujarat"/>
    <x v="14"/>
    <x v="4"/>
    <n v="8"/>
    <x v="9"/>
    <n v="17"/>
    <n v="285.94"/>
  </r>
  <r>
    <x v="62"/>
    <s v="South"/>
    <s v="Karnataka"/>
    <x v="7"/>
    <x v="1"/>
    <n v="3"/>
    <x v="9"/>
    <n v="53"/>
    <n v="772.21"/>
  </r>
  <r>
    <x v="63"/>
    <s v="West"/>
    <s v="Maharashtra"/>
    <x v="11"/>
    <x v="4"/>
    <n v="11"/>
    <x v="5"/>
    <n v="23"/>
    <n v="212.86"/>
  </r>
  <r>
    <x v="64"/>
    <s v="South"/>
    <s v="Karnataka"/>
    <x v="12"/>
    <x v="3"/>
    <n v="5"/>
    <x v="7"/>
    <n v="54"/>
    <n v="491.78"/>
  </r>
  <r>
    <x v="65"/>
    <s v="North"/>
    <s v="Delhi"/>
    <x v="13"/>
    <x v="2"/>
    <n v="1"/>
    <x v="2"/>
    <n v="49"/>
    <n v="2466.0100000000002"/>
  </r>
  <r>
    <x v="66"/>
    <s v="South"/>
    <s v="Tamil Nadu"/>
    <x v="6"/>
    <x v="1"/>
    <n v="8"/>
    <x v="9"/>
    <n v="25"/>
    <n v="308.68"/>
  </r>
  <r>
    <x v="49"/>
    <s v="North"/>
    <s v="Delhi"/>
    <x v="10"/>
    <x v="4"/>
    <n v="1"/>
    <x v="6"/>
    <n v="25"/>
    <n v="2489.17"/>
  </r>
  <r>
    <x v="67"/>
    <s v="West"/>
    <s v="Maharashtra"/>
    <x v="11"/>
    <x v="2"/>
    <n v="1"/>
    <x v="7"/>
    <n v="27"/>
    <n v="2517.3200000000002"/>
  </r>
  <r>
    <x v="68"/>
    <s v="North"/>
    <s v="Delhi"/>
    <x v="10"/>
    <x v="0"/>
    <n v="8"/>
    <x v="6"/>
    <n v="50"/>
    <n v="315"/>
  </r>
  <r>
    <x v="69"/>
    <s v="South"/>
    <s v="Tamil Nadu"/>
    <x v="0"/>
    <x v="3"/>
    <n v="4"/>
    <x v="3"/>
    <n v="54"/>
    <n v="637.89"/>
  </r>
  <r>
    <x v="70"/>
    <s v="South"/>
    <s v="Tamil Nadu"/>
    <x v="0"/>
    <x v="1"/>
    <n v="15"/>
    <x v="4"/>
    <n v="42"/>
    <n v="170.6"/>
  </r>
  <r>
    <x v="71"/>
    <s v="West"/>
    <s v="Gujarat"/>
    <x v="9"/>
    <x v="1"/>
    <n v="1"/>
    <x v="4"/>
    <n v="18"/>
    <n v="2571.59"/>
  </r>
  <r>
    <x v="37"/>
    <s v="West"/>
    <s v="Gujarat"/>
    <x v="9"/>
    <x v="4"/>
    <n v="2"/>
    <x v="4"/>
    <n v="54"/>
    <n v="1316.79"/>
  </r>
  <r>
    <x v="72"/>
    <s v="North"/>
    <s v="Delhi"/>
    <x v="10"/>
    <x v="4"/>
    <n v="14"/>
    <x v="4"/>
    <n v="43"/>
    <n v="188.94"/>
  </r>
  <r>
    <x v="73"/>
    <s v="West"/>
    <s v="Gujarat"/>
    <x v="1"/>
    <x v="1"/>
    <n v="3"/>
    <x v="7"/>
    <n v="41"/>
    <n v="884.5"/>
  </r>
  <r>
    <x v="74"/>
    <s v="South"/>
    <s v="Tamil Nadu"/>
    <x v="8"/>
    <x v="3"/>
    <n v="1"/>
    <x v="10"/>
    <n v="37"/>
    <n v="2664.84"/>
  </r>
  <r>
    <x v="25"/>
    <s v="South"/>
    <s v="Karnataka"/>
    <x v="12"/>
    <x v="1"/>
    <n v="1"/>
    <x v="6"/>
    <n v="36"/>
    <n v="2710.27"/>
  </r>
  <r>
    <x v="75"/>
    <s v="North"/>
    <s v="Delhi"/>
    <x v="13"/>
    <x v="2"/>
    <n v="12"/>
    <x v="6"/>
    <n v="41"/>
    <n v="225.88"/>
  </r>
  <r>
    <x v="76"/>
    <s v="West"/>
    <s v="Gujarat"/>
    <x v="14"/>
    <x v="2"/>
    <n v="1"/>
    <x v="6"/>
    <n v="23"/>
    <n v="2716.98"/>
  </r>
  <r>
    <x v="77"/>
    <s v="West"/>
    <s v="Maharashtra"/>
    <x v="3"/>
    <x v="2"/>
    <n v="7"/>
    <x v="3"/>
    <n v="27"/>
    <n v="392.9"/>
  </r>
  <r>
    <x v="78"/>
    <s v="West"/>
    <s v="Maharashtra"/>
    <x v="5"/>
    <x v="4"/>
    <n v="2"/>
    <x v="6"/>
    <n v="45"/>
    <n v="1377.64"/>
  </r>
  <r>
    <x v="79"/>
    <s v="North"/>
    <s v="Delhi"/>
    <x v="10"/>
    <x v="4"/>
    <n v="4"/>
    <x v="10"/>
    <n v="45"/>
    <n v="700.07"/>
  </r>
  <r>
    <x v="80"/>
    <s v="West"/>
    <s v="Gujarat"/>
    <x v="1"/>
    <x v="0"/>
    <n v="11"/>
    <x v="5"/>
    <n v="50"/>
    <n v="255.3"/>
  </r>
  <r>
    <x v="54"/>
    <s v="West"/>
    <s v="Gujarat"/>
    <x v="1"/>
    <x v="3"/>
    <n v="11"/>
    <x v="10"/>
    <n v="50"/>
    <n v="255.3"/>
  </r>
  <r>
    <x v="81"/>
    <s v="South"/>
    <s v="Tamil Nadu"/>
    <x v="6"/>
    <x v="1"/>
    <n v="3"/>
    <x v="10"/>
    <n v="52"/>
    <n v="938.33"/>
  </r>
  <r>
    <x v="82"/>
    <s v="South"/>
    <s v="Karnataka"/>
    <x v="12"/>
    <x v="3"/>
    <n v="7"/>
    <x v="1"/>
    <n v="24"/>
    <n v="410.28"/>
  </r>
  <r>
    <x v="83"/>
    <s v="South"/>
    <s v="Karnataka"/>
    <x v="7"/>
    <x v="4"/>
    <n v="4"/>
    <x v="4"/>
    <n v="45"/>
    <n v="722.05"/>
  </r>
  <r>
    <x v="34"/>
    <s v="South"/>
    <s v="Tamil Nadu"/>
    <x v="8"/>
    <x v="0"/>
    <n v="6"/>
    <x v="7"/>
    <n v="55"/>
    <n v="484.95"/>
  </r>
  <r>
    <x v="84"/>
    <s v="South"/>
    <s v="Karnataka"/>
    <x v="2"/>
    <x v="3"/>
    <n v="11"/>
    <x v="8"/>
    <n v="37"/>
    <n v="268.13"/>
  </r>
  <r>
    <x v="85"/>
    <s v="South"/>
    <s v="Karnataka"/>
    <x v="7"/>
    <x v="1"/>
    <n v="8"/>
    <x v="9"/>
    <n v="16"/>
    <n v="372.22"/>
  </r>
  <r>
    <x v="86"/>
    <s v="South"/>
    <s v="Karnataka"/>
    <x v="2"/>
    <x v="2"/>
    <n v="1"/>
    <x v="0"/>
    <n v="33"/>
    <n v="3042.8"/>
  </r>
  <r>
    <x v="87"/>
    <s v="West"/>
    <s v="Maharashtra"/>
    <x v="5"/>
    <x v="4"/>
    <n v="1"/>
    <x v="6"/>
    <n v="35"/>
    <n v="3059.01"/>
  </r>
  <r>
    <x v="88"/>
    <s v="West"/>
    <s v="Gujarat"/>
    <x v="1"/>
    <x v="1"/>
    <n v="12"/>
    <x v="4"/>
    <n v="22"/>
    <n v="255.59"/>
  </r>
  <r>
    <x v="89"/>
    <s v="South"/>
    <s v="Karnataka"/>
    <x v="12"/>
    <x v="0"/>
    <n v="3"/>
    <x v="9"/>
    <n v="48"/>
    <n v="1043.3900000000001"/>
  </r>
  <r>
    <x v="90"/>
    <s v="South"/>
    <s v="Tamil Nadu"/>
    <x v="8"/>
    <x v="4"/>
    <n v="3"/>
    <x v="7"/>
    <n v="20"/>
    <n v="1046.06"/>
  </r>
  <r>
    <x v="38"/>
    <s v="South"/>
    <s v="Tamil Nadu"/>
    <x v="0"/>
    <x v="3"/>
    <n v="2"/>
    <x v="7"/>
    <n v="42"/>
    <n v="1582.65"/>
  </r>
  <r>
    <x v="91"/>
    <s v="North"/>
    <s v="Delhi"/>
    <x v="13"/>
    <x v="2"/>
    <n v="16"/>
    <x v="9"/>
    <n v="35"/>
    <n v="199.87"/>
  </r>
  <r>
    <x v="92"/>
    <s v="South"/>
    <s v="Tamil Nadu"/>
    <x v="6"/>
    <x v="0"/>
    <n v="3"/>
    <x v="0"/>
    <n v="35"/>
    <n v="1076.57"/>
  </r>
  <r>
    <x v="93"/>
    <s v="West"/>
    <s v="Gujarat"/>
    <x v="9"/>
    <x v="2"/>
    <n v="2"/>
    <x v="6"/>
    <n v="28"/>
    <n v="1673.1"/>
  </r>
  <r>
    <x v="94"/>
    <s v="South"/>
    <s v="Karnataka"/>
    <x v="12"/>
    <x v="4"/>
    <n v="1"/>
    <x v="5"/>
    <n v="51"/>
    <n v="3374.31"/>
  </r>
  <r>
    <x v="95"/>
    <s v="West"/>
    <s v="Gujarat"/>
    <x v="14"/>
    <x v="0"/>
    <n v="3"/>
    <x v="10"/>
    <n v="48"/>
    <n v="1129.83"/>
  </r>
  <r>
    <x v="96"/>
    <s v="West"/>
    <s v="Maharashtra"/>
    <x v="3"/>
    <x v="4"/>
    <n v="2"/>
    <x v="10"/>
    <n v="27"/>
    <n v="1695.6"/>
  </r>
  <r>
    <x v="97"/>
    <s v="West"/>
    <s v="Maharashtra"/>
    <x v="3"/>
    <x v="2"/>
    <n v="12"/>
    <x v="4"/>
    <n v="49"/>
    <n v="283.86"/>
  </r>
  <r>
    <x v="78"/>
    <s v="South"/>
    <s v="Karnataka"/>
    <x v="12"/>
    <x v="4"/>
    <n v="3"/>
    <x v="3"/>
    <n v="28"/>
    <n v="1139.5899999999999"/>
  </r>
  <r>
    <x v="98"/>
    <s v="West"/>
    <s v="Maharashtra"/>
    <x v="11"/>
    <x v="2"/>
    <n v="19"/>
    <x v="9"/>
    <n v="41"/>
    <n v="182.01"/>
  </r>
  <r>
    <x v="20"/>
    <s v="West"/>
    <s v="Maharashtra"/>
    <x v="11"/>
    <x v="0"/>
    <n v="1"/>
    <x v="7"/>
    <n v="50"/>
    <n v="3459.33"/>
  </r>
  <r>
    <x v="45"/>
    <s v="South"/>
    <s v="Tamil Nadu"/>
    <x v="6"/>
    <x v="0"/>
    <n v="5"/>
    <x v="4"/>
    <n v="24"/>
    <n v="695.3"/>
  </r>
  <r>
    <x v="3"/>
    <s v="West"/>
    <s v="Gujarat"/>
    <x v="14"/>
    <x v="1"/>
    <n v="5"/>
    <x v="6"/>
    <n v="33"/>
    <n v="714.68"/>
  </r>
  <r>
    <x v="99"/>
    <s v="South"/>
    <s v="Tamil Nadu"/>
    <x v="0"/>
    <x v="2"/>
    <n v="3"/>
    <x v="9"/>
    <n v="49"/>
    <n v="1205.6199999999999"/>
  </r>
  <r>
    <x v="100"/>
    <s v="South"/>
    <s v="Karnataka"/>
    <x v="7"/>
    <x v="2"/>
    <n v="2"/>
    <x v="7"/>
    <n v="54"/>
    <n v="1827.28"/>
  </r>
  <r>
    <x v="90"/>
    <s v="West"/>
    <s v="Gujarat"/>
    <x v="14"/>
    <x v="2"/>
    <n v="1"/>
    <x v="9"/>
    <n v="50"/>
    <n v="3658.84"/>
  </r>
  <r>
    <x v="101"/>
    <s v="West"/>
    <s v="Maharashtra"/>
    <x v="3"/>
    <x v="2"/>
    <n v="11"/>
    <x v="9"/>
    <n v="28"/>
    <n v="335.31"/>
  </r>
  <r>
    <x v="102"/>
    <s v="West"/>
    <s v="Maharashtra"/>
    <x v="11"/>
    <x v="0"/>
    <n v="1"/>
    <x v="5"/>
    <n v="45"/>
    <n v="3698.2"/>
  </r>
  <r>
    <x v="103"/>
    <s v="South"/>
    <s v="Tamil Nadu"/>
    <x v="8"/>
    <x v="4"/>
    <n v="14"/>
    <x v="3"/>
    <n v="41"/>
    <n v="264.60000000000002"/>
  </r>
  <r>
    <x v="42"/>
    <s v="South"/>
    <s v="Tamil Nadu"/>
    <x v="8"/>
    <x v="4"/>
    <n v="1"/>
    <x v="6"/>
    <n v="38"/>
    <n v="3734.74"/>
  </r>
  <r>
    <x v="104"/>
    <s v="North"/>
    <s v="Delhi"/>
    <x v="10"/>
    <x v="4"/>
    <n v="10"/>
    <x v="9"/>
    <n v="30"/>
    <n v="373.54"/>
  </r>
  <r>
    <x v="71"/>
    <s v="South"/>
    <s v="Karnataka"/>
    <x v="2"/>
    <x v="3"/>
    <n v="1"/>
    <x v="2"/>
    <n v="49"/>
    <n v="3754.28"/>
  </r>
  <r>
    <x v="105"/>
    <s v="South"/>
    <s v="Karnataka"/>
    <x v="2"/>
    <x v="0"/>
    <n v="2"/>
    <x v="5"/>
    <n v="35"/>
    <n v="1888.47"/>
  </r>
  <r>
    <x v="106"/>
    <s v="North"/>
    <s v="Delhi"/>
    <x v="13"/>
    <x v="3"/>
    <n v="1"/>
    <x v="3"/>
    <n v="35"/>
    <n v="3781.47"/>
  </r>
  <r>
    <x v="107"/>
    <s v="North"/>
    <s v="Delhi"/>
    <x v="4"/>
    <x v="4"/>
    <n v="4"/>
    <x v="8"/>
    <n v="28"/>
    <n v="961.38"/>
  </r>
  <r>
    <x v="108"/>
    <s v="North"/>
    <s v="Delhi"/>
    <x v="4"/>
    <x v="4"/>
    <n v="4"/>
    <x v="9"/>
    <n v="28"/>
    <n v="961.38"/>
  </r>
  <r>
    <x v="109"/>
    <s v="West"/>
    <s v="Maharashtra"/>
    <x v="5"/>
    <x v="2"/>
    <n v="1"/>
    <x v="0"/>
    <n v="34"/>
    <n v="3847.65"/>
  </r>
  <r>
    <x v="9"/>
    <s v="West"/>
    <s v="Gujarat"/>
    <x v="14"/>
    <x v="1"/>
    <n v="2"/>
    <x v="1"/>
    <n v="49"/>
    <n v="1971"/>
  </r>
  <r>
    <x v="110"/>
    <s v="South"/>
    <s v="Karnataka"/>
    <x v="7"/>
    <x v="2"/>
    <n v="1"/>
    <x v="5"/>
    <n v="20"/>
    <n v="3964.08"/>
  </r>
  <r>
    <x v="111"/>
    <s v="South"/>
    <s v="Tamil Nadu"/>
    <x v="6"/>
    <x v="0"/>
    <n v="1"/>
    <x v="10"/>
    <n v="43"/>
    <n v="3964.37"/>
  </r>
  <r>
    <x v="112"/>
    <s v="South"/>
    <s v="Tamil Nadu"/>
    <x v="8"/>
    <x v="1"/>
    <n v="2"/>
    <x v="8"/>
    <n v="16"/>
    <n v="1983.93"/>
  </r>
  <r>
    <x v="113"/>
    <s v="South"/>
    <s v="Tamil Nadu"/>
    <x v="8"/>
    <x v="1"/>
    <n v="2"/>
    <x v="9"/>
    <n v="16"/>
    <n v="1983.93"/>
  </r>
  <r>
    <x v="47"/>
    <s v="West"/>
    <s v="Gujarat"/>
    <x v="1"/>
    <x v="0"/>
    <n v="14"/>
    <x v="9"/>
    <n v="31"/>
    <n v="283.7"/>
  </r>
  <r>
    <x v="114"/>
    <s v="West"/>
    <s v="Maharashtra"/>
    <x v="5"/>
    <x v="0"/>
    <n v="5"/>
    <x v="9"/>
    <n v="32"/>
    <n v="800.88"/>
  </r>
  <r>
    <x v="115"/>
    <s v="North"/>
    <s v="Delhi"/>
    <x v="4"/>
    <x v="1"/>
    <n v="4"/>
    <x v="7"/>
    <n v="42"/>
    <n v="1020.23"/>
  </r>
  <r>
    <x v="116"/>
    <s v="North"/>
    <s v="Delhi"/>
    <x v="4"/>
    <x v="1"/>
    <n v="4"/>
    <x v="4"/>
    <n v="42"/>
    <n v="1020.23"/>
  </r>
  <r>
    <x v="117"/>
    <s v="North"/>
    <s v="Delhi"/>
    <x v="4"/>
    <x v="3"/>
    <n v="9"/>
    <x v="4"/>
    <n v="19"/>
    <n v="455.98"/>
  </r>
  <r>
    <x v="118"/>
    <s v="West"/>
    <s v="Gujarat"/>
    <x v="14"/>
    <x v="1"/>
    <n v="4"/>
    <x v="0"/>
    <n v="46"/>
    <n v="1027.32"/>
  </r>
  <r>
    <x v="103"/>
    <s v="West"/>
    <s v="Gujarat"/>
    <x v="14"/>
    <x v="4"/>
    <n v="1"/>
    <x v="2"/>
    <n v="51"/>
    <n v="4117.97"/>
  </r>
  <r>
    <x v="52"/>
    <s v="West"/>
    <s v="Maharashtra"/>
    <x v="5"/>
    <x v="1"/>
    <n v="6"/>
    <x v="9"/>
    <n v="44"/>
    <n v="686.38"/>
  </r>
  <r>
    <x v="119"/>
    <s v="North"/>
    <s v="Delhi"/>
    <x v="13"/>
    <x v="1"/>
    <n v="11"/>
    <x v="1"/>
    <n v="49"/>
    <n v="377.1"/>
  </r>
  <r>
    <x v="120"/>
    <s v="South"/>
    <s v="Karnataka"/>
    <x v="7"/>
    <x v="2"/>
    <n v="2"/>
    <x v="0"/>
    <n v="21"/>
    <n v="2087.14"/>
  </r>
  <r>
    <x v="121"/>
    <s v="West"/>
    <s v="Gujarat"/>
    <x v="1"/>
    <x v="0"/>
    <n v="14"/>
    <x v="0"/>
    <n v="51"/>
    <n v="298.99"/>
  </r>
  <r>
    <x v="74"/>
    <s v="North"/>
    <s v="Delhi"/>
    <x v="13"/>
    <x v="1"/>
    <n v="2"/>
    <x v="8"/>
    <n v="50"/>
    <n v="2119.5100000000002"/>
  </r>
  <r>
    <x v="85"/>
    <s v="South"/>
    <s v="Karnataka"/>
    <x v="12"/>
    <x v="3"/>
    <n v="10"/>
    <x v="4"/>
    <n v="45"/>
    <n v="429.69"/>
  </r>
  <r>
    <x v="85"/>
    <s v="West"/>
    <s v="Maharashtra"/>
    <x v="5"/>
    <x v="0"/>
    <n v="4"/>
    <x v="6"/>
    <n v="40"/>
    <n v="1080.1600000000001"/>
  </r>
  <r>
    <x v="122"/>
    <s v="West"/>
    <s v="Gujarat"/>
    <x v="9"/>
    <x v="3"/>
    <n v="2"/>
    <x v="4"/>
    <n v="46"/>
    <n v="2171.79"/>
  </r>
  <r>
    <x v="123"/>
    <s v="West"/>
    <s v="Gujarat"/>
    <x v="1"/>
    <x v="0"/>
    <n v="5"/>
    <x v="4"/>
    <n v="36"/>
    <n v="877.62"/>
  </r>
  <r>
    <x v="124"/>
    <s v="West"/>
    <s v="Gujarat"/>
    <x v="14"/>
    <x v="0"/>
    <n v="5"/>
    <x v="0"/>
    <n v="52"/>
    <n v="879.82"/>
  </r>
  <r>
    <x v="125"/>
    <s v="West"/>
    <s v="Maharashtra"/>
    <x v="5"/>
    <x v="4"/>
    <n v="9"/>
    <x v="0"/>
    <n v="21"/>
    <n v="489.27"/>
  </r>
  <r>
    <x v="126"/>
    <s v="West"/>
    <s v="Maharashtra"/>
    <x v="5"/>
    <x v="4"/>
    <n v="9"/>
    <x v="0"/>
    <n v="21"/>
    <n v="489.27"/>
  </r>
  <r>
    <x v="127"/>
    <s v="South"/>
    <s v="Tamil Nadu"/>
    <x v="8"/>
    <x v="1"/>
    <n v="9"/>
    <x v="1"/>
    <n v="20"/>
    <n v="491.64"/>
  </r>
  <r>
    <x v="20"/>
    <s v="South"/>
    <s v="Karnataka"/>
    <x v="12"/>
    <x v="3"/>
    <n v="7"/>
    <x v="7"/>
    <n v="55"/>
    <n v="633.15"/>
  </r>
  <r>
    <x v="54"/>
    <s v="South"/>
    <s v="Tamil Nadu"/>
    <x v="8"/>
    <x v="2"/>
    <n v="1"/>
    <x v="1"/>
    <n v="22"/>
    <n v="4443.22"/>
  </r>
  <r>
    <x v="128"/>
    <s v="West"/>
    <s v="Gujarat"/>
    <x v="1"/>
    <x v="0"/>
    <n v="6"/>
    <x v="8"/>
    <n v="42"/>
    <n v="744.85"/>
  </r>
  <r>
    <x v="44"/>
    <s v="West"/>
    <s v="Gujarat"/>
    <x v="1"/>
    <x v="3"/>
    <n v="2"/>
    <x v="4"/>
    <n v="33"/>
    <n v="2238.46"/>
  </r>
  <r>
    <x v="101"/>
    <s v="South"/>
    <s v="Tamil Nadu"/>
    <x v="0"/>
    <x v="4"/>
    <n v="8"/>
    <x v="8"/>
    <n v="54"/>
    <n v="562.98"/>
  </r>
  <r>
    <x v="11"/>
    <s v="North"/>
    <s v="Delhi"/>
    <x v="13"/>
    <x v="3"/>
    <n v="1"/>
    <x v="6"/>
    <n v="55"/>
    <n v="4511.88"/>
  </r>
  <r>
    <x v="129"/>
    <s v="North"/>
    <s v="Delhi"/>
    <x v="13"/>
    <x v="1"/>
    <n v="4"/>
    <x v="9"/>
    <n v="50"/>
    <n v="1128.8900000000001"/>
  </r>
  <r>
    <x v="130"/>
    <s v="West"/>
    <s v="Gujarat"/>
    <x v="9"/>
    <x v="2"/>
    <n v="1"/>
    <x v="4"/>
    <n v="39"/>
    <n v="4557.0600000000004"/>
  </r>
  <r>
    <x v="131"/>
    <s v="West"/>
    <s v="Gujarat"/>
    <x v="9"/>
    <x v="2"/>
    <n v="1"/>
    <x v="4"/>
    <n v="39"/>
    <n v="4557.0600000000004"/>
  </r>
  <r>
    <x v="132"/>
    <s v="North"/>
    <s v="Delhi"/>
    <x v="10"/>
    <x v="1"/>
    <n v="5"/>
    <x v="0"/>
    <n v="33"/>
    <n v="912.33"/>
  </r>
  <r>
    <x v="133"/>
    <s v="South"/>
    <s v="Karnataka"/>
    <x v="7"/>
    <x v="1"/>
    <n v="2"/>
    <x v="7"/>
    <n v="33"/>
    <n v="2287.09"/>
  </r>
  <r>
    <x v="134"/>
    <s v="South"/>
    <s v="Karnataka"/>
    <x v="7"/>
    <x v="1"/>
    <n v="2"/>
    <x v="4"/>
    <n v="33"/>
    <n v="2287.09"/>
  </r>
  <r>
    <x v="135"/>
    <s v="South"/>
    <s v="Karnataka"/>
    <x v="12"/>
    <x v="0"/>
    <n v="17"/>
    <x v="9"/>
    <n v="22"/>
    <n v="269.7"/>
  </r>
  <r>
    <x v="136"/>
    <s v="North"/>
    <s v="Delhi"/>
    <x v="4"/>
    <x v="1"/>
    <n v="4"/>
    <x v="6"/>
    <n v="22"/>
    <n v="1147.06"/>
  </r>
  <r>
    <x v="137"/>
    <s v="West"/>
    <s v="Maharashtra"/>
    <x v="3"/>
    <x v="3"/>
    <n v="1"/>
    <x v="5"/>
    <n v="52"/>
    <n v="4640.17"/>
  </r>
  <r>
    <x v="5"/>
    <s v="South"/>
    <s v="Karnataka"/>
    <x v="7"/>
    <x v="1"/>
    <n v="9"/>
    <x v="3"/>
    <n v="23"/>
    <n v="515.97"/>
  </r>
  <r>
    <x v="138"/>
    <s v="West"/>
    <s v="Maharashtra"/>
    <x v="3"/>
    <x v="2"/>
    <n v="1"/>
    <x v="10"/>
    <n v="47"/>
    <n v="4681.07"/>
  </r>
  <r>
    <x v="36"/>
    <s v="South"/>
    <s v="Tamil Nadu"/>
    <x v="8"/>
    <x v="1"/>
    <n v="18"/>
    <x v="5"/>
    <n v="46"/>
    <n v="262.12"/>
  </r>
  <r>
    <x v="132"/>
    <s v="North"/>
    <s v="Delhi"/>
    <x v="10"/>
    <x v="1"/>
    <n v="4"/>
    <x v="8"/>
    <n v="42"/>
    <n v="1181.3900000000001"/>
  </r>
  <r>
    <x v="23"/>
    <s v="South"/>
    <s v="Tamil Nadu"/>
    <x v="6"/>
    <x v="3"/>
    <n v="3"/>
    <x v="9"/>
    <n v="48"/>
    <n v="1577.9"/>
  </r>
  <r>
    <x v="139"/>
    <s v="South"/>
    <s v="Tamil Nadu"/>
    <x v="8"/>
    <x v="4"/>
    <n v="8"/>
    <x v="5"/>
    <n v="55"/>
    <n v="592.82000000000005"/>
  </r>
  <r>
    <x v="140"/>
    <s v="North"/>
    <s v="Delhi"/>
    <x v="13"/>
    <x v="2"/>
    <n v="15"/>
    <x v="3"/>
    <n v="37"/>
    <n v="318.32"/>
  </r>
  <r>
    <x v="13"/>
    <s v="West"/>
    <s v="Gujarat"/>
    <x v="1"/>
    <x v="4"/>
    <n v="2"/>
    <x v="3"/>
    <n v="44"/>
    <n v="2400.5500000000002"/>
  </r>
  <r>
    <x v="141"/>
    <s v="West"/>
    <s v="Maharashtra"/>
    <x v="11"/>
    <x v="0"/>
    <n v="2"/>
    <x v="2"/>
    <n v="44"/>
    <n v="2402.5700000000002"/>
  </r>
  <r>
    <x v="142"/>
    <s v="North"/>
    <s v="Delhi"/>
    <x v="13"/>
    <x v="3"/>
    <n v="1"/>
    <x v="0"/>
    <n v="33"/>
    <n v="4815.0600000000004"/>
  </r>
  <r>
    <x v="143"/>
    <s v="West"/>
    <s v="Gujarat"/>
    <x v="14"/>
    <x v="1"/>
    <n v="4"/>
    <x v="6"/>
    <n v="48"/>
    <n v="1208.21"/>
  </r>
  <r>
    <x v="144"/>
    <s v="North"/>
    <s v="Delhi"/>
    <x v="10"/>
    <x v="1"/>
    <n v="5"/>
    <x v="9"/>
    <n v="44"/>
    <n v="968.86"/>
  </r>
  <r>
    <x v="145"/>
    <s v="North"/>
    <s v="Delhi"/>
    <x v="13"/>
    <x v="4"/>
    <n v="1"/>
    <x v="8"/>
    <n v="35"/>
    <n v="4859.6499999999996"/>
  </r>
  <r>
    <x v="138"/>
    <s v="South"/>
    <s v="Karnataka"/>
    <x v="12"/>
    <x v="4"/>
    <n v="5"/>
    <x v="10"/>
    <n v="24"/>
    <n v="975.39"/>
  </r>
  <r>
    <x v="114"/>
    <s v="South"/>
    <s v="Karnataka"/>
    <x v="12"/>
    <x v="1"/>
    <n v="7"/>
    <x v="7"/>
    <n v="36"/>
    <n v="702.24"/>
  </r>
  <r>
    <x v="146"/>
    <s v="South"/>
    <s v="Tamil Nadu"/>
    <x v="8"/>
    <x v="0"/>
    <n v="7"/>
    <x v="5"/>
    <n v="32"/>
    <n v="705.03"/>
  </r>
  <r>
    <x v="105"/>
    <s v="South"/>
    <s v="Karnataka"/>
    <x v="2"/>
    <x v="3"/>
    <n v="6"/>
    <x v="8"/>
    <n v="25"/>
    <n v="827.78"/>
  </r>
  <r>
    <x v="147"/>
    <s v="North"/>
    <s v="Delhi"/>
    <x v="10"/>
    <x v="2"/>
    <n v="18"/>
    <x v="4"/>
    <n v="49"/>
    <n v="276.35000000000002"/>
  </r>
  <r>
    <x v="5"/>
    <s v="South"/>
    <s v="Tamil Nadu"/>
    <x v="0"/>
    <x v="0"/>
    <n v="7"/>
    <x v="7"/>
    <n v="26"/>
    <n v="711.35"/>
  </r>
  <r>
    <x v="15"/>
    <s v="South"/>
    <s v="Karnataka"/>
    <x v="2"/>
    <x v="0"/>
    <n v="2"/>
    <x v="6"/>
    <n v="41"/>
    <n v="2493.06"/>
  </r>
  <r>
    <x v="9"/>
    <s v="West"/>
    <s v="Maharashtra"/>
    <x v="3"/>
    <x v="2"/>
    <n v="4"/>
    <x v="1"/>
    <n v="52"/>
    <n v="1256.3399999999999"/>
  </r>
  <r>
    <x v="148"/>
    <s v="South"/>
    <s v="Karnataka"/>
    <x v="7"/>
    <x v="0"/>
    <n v="16"/>
    <x v="9"/>
    <n v="47"/>
    <n v="317.82"/>
  </r>
  <r>
    <x v="149"/>
    <s v="North"/>
    <s v="Delhi"/>
    <x v="4"/>
    <x v="4"/>
    <n v="6"/>
    <x v="2"/>
    <n v="26"/>
    <n v="863.69"/>
  </r>
  <r>
    <x v="90"/>
    <s v="South"/>
    <s v="Tamil Nadu"/>
    <x v="6"/>
    <x v="1"/>
    <n v="15"/>
    <x v="10"/>
    <n v="46"/>
    <n v="346.45"/>
  </r>
  <r>
    <x v="150"/>
    <s v="South"/>
    <s v="Tamil Nadu"/>
    <x v="6"/>
    <x v="1"/>
    <n v="16"/>
    <x v="2"/>
    <n v="42"/>
    <n v="325.52"/>
  </r>
  <r>
    <x v="20"/>
    <s v="West"/>
    <s v="Gujarat"/>
    <x v="14"/>
    <x v="2"/>
    <n v="4"/>
    <x v="2"/>
    <n v="35"/>
    <n v="1303.8800000000001"/>
  </r>
  <r>
    <x v="45"/>
    <s v="West"/>
    <s v="Maharashtra"/>
    <x v="11"/>
    <x v="3"/>
    <n v="16"/>
    <x v="1"/>
    <n v="20"/>
    <n v="328.65"/>
  </r>
  <r>
    <x v="74"/>
    <s v="South"/>
    <s v="Karnataka"/>
    <x v="12"/>
    <x v="4"/>
    <n v="8"/>
    <x v="2"/>
    <n v="25"/>
    <n v="659.36"/>
  </r>
  <r>
    <x v="49"/>
    <s v="North"/>
    <s v="Delhi"/>
    <x v="13"/>
    <x v="0"/>
    <n v="9"/>
    <x v="9"/>
    <n v="21"/>
    <n v="593.01"/>
  </r>
  <r>
    <x v="151"/>
    <s v="West"/>
    <s v="Gujarat"/>
    <x v="9"/>
    <x v="0"/>
    <n v="2"/>
    <x v="7"/>
    <n v="52"/>
    <n v="2704.98"/>
  </r>
  <r>
    <x v="152"/>
    <s v="North"/>
    <s v="Delhi"/>
    <x v="13"/>
    <x v="4"/>
    <n v="16"/>
    <x v="9"/>
    <n v="48"/>
    <n v="338.38"/>
  </r>
  <r>
    <x v="153"/>
    <s v="West"/>
    <s v="Gujarat"/>
    <x v="14"/>
    <x v="2"/>
    <n v="3"/>
    <x v="7"/>
    <n v="50"/>
    <n v="1818.3"/>
  </r>
  <r>
    <x v="154"/>
    <s v="South"/>
    <s v="Karnataka"/>
    <x v="12"/>
    <x v="0"/>
    <n v="4"/>
    <x v="2"/>
    <n v="16"/>
    <n v="1381.71"/>
  </r>
  <r>
    <x v="155"/>
    <s v="South"/>
    <s v="Tamil Nadu"/>
    <x v="6"/>
    <x v="2"/>
    <n v="4"/>
    <x v="5"/>
    <n v="27"/>
    <n v="1385.95"/>
  </r>
  <r>
    <x v="19"/>
    <s v="South"/>
    <s v="Tamil Nadu"/>
    <x v="8"/>
    <x v="3"/>
    <n v="10"/>
    <x v="2"/>
    <n v="46"/>
    <n v="568.6"/>
  </r>
  <r>
    <x v="119"/>
    <s v="West"/>
    <s v="Gujarat"/>
    <x v="1"/>
    <x v="3"/>
    <n v="16"/>
    <x v="8"/>
    <n v="33"/>
    <n v="355.63"/>
  </r>
  <r>
    <x v="13"/>
    <s v="West"/>
    <s v="Maharashtra"/>
    <x v="3"/>
    <x v="0"/>
    <n v="5"/>
    <x v="9"/>
    <n v="42"/>
    <n v="1141.32"/>
  </r>
  <r>
    <x v="156"/>
    <s v="South"/>
    <s v="Karnataka"/>
    <x v="2"/>
    <x v="2"/>
    <n v="4"/>
    <x v="0"/>
    <n v="28"/>
    <n v="1434.97"/>
  </r>
  <r>
    <x v="157"/>
    <s v="West"/>
    <s v="Maharashtra"/>
    <x v="3"/>
    <x v="3"/>
    <n v="2"/>
    <x v="3"/>
    <n v="20"/>
    <n v="2875.84"/>
  </r>
  <r>
    <x v="62"/>
    <s v="South"/>
    <s v="Karnataka"/>
    <x v="2"/>
    <x v="1"/>
    <n v="8"/>
    <x v="4"/>
    <n v="25"/>
    <n v="720.07"/>
  </r>
  <r>
    <x v="158"/>
    <s v="South"/>
    <s v="Karnataka"/>
    <x v="12"/>
    <x v="3"/>
    <n v="4"/>
    <x v="6"/>
    <n v="51"/>
    <n v="1456.19"/>
  </r>
  <r>
    <x v="159"/>
    <s v="South"/>
    <s v="Karnataka"/>
    <x v="12"/>
    <x v="3"/>
    <n v="2"/>
    <x v="9"/>
    <n v="20"/>
    <n v="2914.14"/>
  </r>
  <r>
    <x v="160"/>
    <s v="South"/>
    <s v="Karnataka"/>
    <x v="2"/>
    <x v="4"/>
    <n v="5"/>
    <x v="1"/>
    <n v="41"/>
    <n v="1185.45"/>
  </r>
  <r>
    <x v="161"/>
    <s v="South"/>
    <s v="Tamil Nadu"/>
    <x v="8"/>
    <x v="3"/>
    <n v="5"/>
    <x v="8"/>
    <n v="17"/>
    <n v="1192.82"/>
  </r>
  <r>
    <x v="162"/>
    <s v="South"/>
    <s v="Karnataka"/>
    <x v="7"/>
    <x v="0"/>
    <n v="4"/>
    <x v="2"/>
    <n v="45"/>
    <n v="1493.04"/>
  </r>
  <r>
    <x v="163"/>
    <s v="West"/>
    <s v="Maharashtra"/>
    <x v="11"/>
    <x v="1"/>
    <n v="7"/>
    <x v="8"/>
    <n v="25"/>
    <n v="859.87"/>
  </r>
  <r>
    <x v="164"/>
    <s v="West"/>
    <s v="Maharashtra"/>
    <x v="5"/>
    <x v="0"/>
    <n v="5"/>
    <x v="1"/>
    <n v="49"/>
    <n v="1204.6400000000001"/>
  </r>
  <r>
    <x v="165"/>
    <s v="West"/>
    <s v="Gujarat"/>
    <x v="1"/>
    <x v="0"/>
    <n v="11"/>
    <x v="8"/>
    <n v="44"/>
    <n v="548.91999999999996"/>
  </r>
  <r>
    <x v="166"/>
    <s v="West"/>
    <s v="Gujarat"/>
    <x v="9"/>
    <x v="2"/>
    <n v="8"/>
    <x v="1"/>
    <n v="42"/>
    <n v="758.58"/>
  </r>
  <r>
    <x v="167"/>
    <s v="West"/>
    <s v="Gujarat"/>
    <x v="9"/>
    <x v="3"/>
    <n v="2"/>
    <x v="9"/>
    <n v="55"/>
    <n v="3037.55"/>
  </r>
  <r>
    <x v="168"/>
    <s v="West"/>
    <s v="Gujarat"/>
    <x v="9"/>
    <x v="3"/>
    <n v="2"/>
    <x v="0"/>
    <n v="55"/>
    <n v="3037.55"/>
  </r>
  <r>
    <x v="110"/>
    <s v="West"/>
    <s v="Gujarat"/>
    <x v="1"/>
    <x v="2"/>
    <n v="6"/>
    <x v="3"/>
    <n v="51"/>
    <n v="1016.27"/>
  </r>
  <r>
    <x v="169"/>
    <s v="North"/>
    <s v="Delhi"/>
    <x v="13"/>
    <x v="3"/>
    <n v="3"/>
    <x v="5"/>
    <n v="32"/>
    <n v="2040.38"/>
  </r>
  <r>
    <x v="29"/>
    <s v="South"/>
    <s v="Tamil Nadu"/>
    <x v="6"/>
    <x v="4"/>
    <n v="2"/>
    <x v="4"/>
    <n v="47"/>
    <n v="3072.48"/>
  </r>
  <r>
    <x v="170"/>
    <s v="South"/>
    <s v="Karnataka"/>
    <x v="2"/>
    <x v="4"/>
    <n v="15"/>
    <x v="5"/>
    <n v="34"/>
    <n v="413.63"/>
  </r>
  <r>
    <x v="115"/>
    <s v="West"/>
    <s v="Maharashtra"/>
    <x v="3"/>
    <x v="4"/>
    <n v="3"/>
    <x v="6"/>
    <n v="43"/>
    <n v="2082"/>
  </r>
  <r>
    <x v="158"/>
    <s v="South"/>
    <s v="Tamil Nadu"/>
    <x v="8"/>
    <x v="4"/>
    <n v="9"/>
    <x v="5"/>
    <n v="37"/>
    <n v="704.39"/>
  </r>
  <r>
    <x v="143"/>
    <s v="South"/>
    <s v="Karnataka"/>
    <x v="2"/>
    <x v="0"/>
    <n v="10"/>
    <x v="9"/>
    <n v="39"/>
    <n v="642.49"/>
  </r>
  <r>
    <x v="171"/>
    <s v="West"/>
    <s v="Maharashtra"/>
    <x v="11"/>
    <x v="3"/>
    <n v="11"/>
    <x v="3"/>
    <n v="23"/>
    <n v="587.46"/>
  </r>
  <r>
    <x v="129"/>
    <s v="North"/>
    <s v="Delhi"/>
    <x v="4"/>
    <x v="2"/>
    <n v="12"/>
    <x v="1"/>
    <n v="43"/>
    <n v="538.91"/>
  </r>
  <r>
    <x v="16"/>
    <s v="West"/>
    <s v="Maharashtra"/>
    <x v="5"/>
    <x v="1"/>
    <n v="2"/>
    <x v="7"/>
    <n v="19"/>
    <n v="3239.94"/>
  </r>
  <r>
    <x v="117"/>
    <s v="West"/>
    <s v="Maharashtra"/>
    <x v="11"/>
    <x v="3"/>
    <n v="2"/>
    <x v="9"/>
    <n v="47"/>
    <n v="3240.32"/>
  </r>
  <r>
    <x v="172"/>
    <s v="West"/>
    <s v="Gujarat"/>
    <x v="1"/>
    <x v="0"/>
    <n v="9"/>
    <x v="9"/>
    <n v="47"/>
    <n v="722.4"/>
  </r>
  <r>
    <x v="173"/>
    <s v="West"/>
    <s v="Maharashtra"/>
    <x v="5"/>
    <x v="3"/>
    <n v="4"/>
    <x v="3"/>
    <n v="46"/>
    <n v="1640.54"/>
  </r>
  <r>
    <x v="3"/>
    <s v="West"/>
    <s v="Maharashtra"/>
    <x v="3"/>
    <x v="4"/>
    <n v="2"/>
    <x v="10"/>
    <n v="49"/>
    <n v="3297.48"/>
  </r>
  <r>
    <x v="85"/>
    <s v="South"/>
    <s v="Tamil Nadu"/>
    <x v="8"/>
    <x v="4"/>
    <n v="5"/>
    <x v="0"/>
    <n v="33"/>
    <n v="1319.46"/>
  </r>
  <r>
    <x v="174"/>
    <s v="South"/>
    <s v="Karnataka"/>
    <x v="7"/>
    <x v="0"/>
    <n v="12"/>
    <x v="8"/>
    <n v="16"/>
    <n v="549.84"/>
  </r>
  <r>
    <x v="159"/>
    <s v="West"/>
    <s v="Maharashtra"/>
    <x v="11"/>
    <x v="0"/>
    <n v="3"/>
    <x v="9"/>
    <n v="23"/>
    <n v="2214.86"/>
  </r>
  <r>
    <x v="175"/>
    <s v="South"/>
    <s v="Karnataka"/>
    <x v="12"/>
    <x v="0"/>
    <n v="13"/>
    <x v="1"/>
    <n v="30"/>
    <n v="512.69000000000005"/>
  </r>
  <r>
    <x v="40"/>
    <s v="South"/>
    <s v="Tamil Nadu"/>
    <x v="0"/>
    <x v="3"/>
    <n v="5"/>
    <x v="2"/>
    <n v="55"/>
    <n v="1346.45"/>
  </r>
  <r>
    <x v="176"/>
    <s v="South"/>
    <s v="Tamil Nadu"/>
    <x v="0"/>
    <x v="3"/>
    <n v="5"/>
    <x v="4"/>
    <n v="55"/>
    <n v="1346.45"/>
  </r>
  <r>
    <x v="177"/>
    <s v="West"/>
    <s v="Maharashtra"/>
    <x v="3"/>
    <x v="3"/>
    <n v="2"/>
    <x v="9"/>
    <n v="54"/>
    <n v="3385.43"/>
  </r>
  <r>
    <x v="178"/>
    <s v="West"/>
    <s v="Gujarat"/>
    <x v="9"/>
    <x v="4"/>
    <n v="7"/>
    <x v="6"/>
    <n v="19"/>
    <n v="978.46"/>
  </r>
  <r>
    <x v="179"/>
    <s v="South"/>
    <s v="Karnataka"/>
    <x v="7"/>
    <x v="1"/>
    <n v="5"/>
    <x v="5"/>
    <n v="41"/>
    <n v="1372.78"/>
  </r>
  <r>
    <x v="180"/>
    <s v="West"/>
    <s v="Maharashtra"/>
    <x v="5"/>
    <x v="3"/>
    <n v="14"/>
    <x v="6"/>
    <n v="24"/>
    <n v="492.06"/>
  </r>
  <r>
    <x v="181"/>
    <s v="South"/>
    <s v="Karnataka"/>
    <x v="12"/>
    <x v="1"/>
    <n v="9"/>
    <x v="6"/>
    <n v="21"/>
    <n v="773.71"/>
  </r>
  <r>
    <x v="121"/>
    <s v="North"/>
    <s v="Delhi"/>
    <x v="13"/>
    <x v="0"/>
    <n v="5"/>
    <x v="6"/>
    <n v="35"/>
    <n v="1412.08"/>
  </r>
  <r>
    <x v="182"/>
    <s v="West"/>
    <s v="Maharashtra"/>
    <x v="11"/>
    <x v="2"/>
    <n v="12"/>
    <x v="5"/>
    <n v="34"/>
    <n v="593.52"/>
  </r>
  <r>
    <x v="183"/>
    <s v="South"/>
    <s v="Karnataka"/>
    <x v="7"/>
    <x v="2"/>
    <n v="12"/>
    <x v="2"/>
    <n v="19"/>
    <n v="596.13"/>
  </r>
  <r>
    <x v="184"/>
    <s v="West"/>
    <s v="Maharashtra"/>
    <x v="5"/>
    <x v="1"/>
    <n v="4"/>
    <x v="9"/>
    <n v="51"/>
    <n v="1788.95"/>
  </r>
  <r>
    <x v="13"/>
    <s v="South"/>
    <s v="Tamil Nadu"/>
    <x v="0"/>
    <x v="0"/>
    <n v="5"/>
    <x v="2"/>
    <n v="38"/>
    <n v="1445.72"/>
  </r>
  <r>
    <x v="138"/>
    <s v="West"/>
    <s v="Maharashtra"/>
    <x v="5"/>
    <x v="4"/>
    <n v="6"/>
    <x v="10"/>
    <n v="55"/>
    <n v="1205.3599999999999"/>
  </r>
  <r>
    <x v="1"/>
    <s v="West"/>
    <s v="Maharashtra"/>
    <x v="5"/>
    <x v="2"/>
    <n v="9"/>
    <x v="3"/>
    <n v="21"/>
    <n v="808.93"/>
  </r>
  <r>
    <x v="155"/>
    <s v="South"/>
    <s v="Tamil Nadu"/>
    <x v="6"/>
    <x v="2"/>
    <n v="5"/>
    <x v="0"/>
    <n v="48"/>
    <n v="1460.84"/>
  </r>
  <r>
    <x v="185"/>
    <s v="West"/>
    <s v="Maharashtra"/>
    <x v="5"/>
    <x v="4"/>
    <n v="4"/>
    <x v="1"/>
    <n v="44"/>
    <n v="1831.79"/>
  </r>
  <r>
    <x v="186"/>
    <s v="South"/>
    <s v="Tamil Nadu"/>
    <x v="8"/>
    <x v="4"/>
    <n v="3"/>
    <x v="5"/>
    <n v="17"/>
    <n v="2444.6"/>
  </r>
  <r>
    <x v="22"/>
    <s v="South"/>
    <s v="Tamil Nadu"/>
    <x v="8"/>
    <x v="4"/>
    <n v="3"/>
    <x v="3"/>
    <n v="17"/>
    <n v="2444.6"/>
  </r>
  <r>
    <x v="187"/>
    <s v="South"/>
    <s v="Karnataka"/>
    <x v="12"/>
    <x v="1"/>
    <n v="8"/>
    <x v="6"/>
    <n v="34"/>
    <n v="918.76"/>
  </r>
  <r>
    <x v="188"/>
    <s v="West"/>
    <s v="Gujarat"/>
    <x v="14"/>
    <x v="3"/>
    <n v="10"/>
    <x v="3"/>
    <n v="24"/>
    <n v="743.68"/>
  </r>
  <r>
    <x v="33"/>
    <s v="West"/>
    <s v="Maharashtra"/>
    <x v="11"/>
    <x v="3"/>
    <n v="2"/>
    <x v="10"/>
    <n v="35"/>
    <n v="3753.37"/>
  </r>
  <r>
    <x v="119"/>
    <s v="West"/>
    <s v="Gujarat"/>
    <x v="1"/>
    <x v="2"/>
    <n v="2"/>
    <x v="7"/>
    <n v="39"/>
    <n v="3825.5"/>
  </r>
  <r>
    <x v="189"/>
    <s v="West"/>
    <s v="Gujarat"/>
    <x v="9"/>
    <x v="0"/>
    <n v="9"/>
    <x v="10"/>
    <n v="31"/>
    <n v="851.87"/>
  </r>
  <r>
    <x v="190"/>
    <s v="North"/>
    <s v="Delhi"/>
    <x v="10"/>
    <x v="2"/>
    <n v="7"/>
    <x v="6"/>
    <n v="34"/>
    <n v="1102.48"/>
  </r>
  <r>
    <x v="151"/>
    <s v="South"/>
    <s v="Tamil Nadu"/>
    <x v="6"/>
    <x v="2"/>
    <n v="10"/>
    <x v="9"/>
    <n v="44"/>
    <n v="772.21"/>
  </r>
  <r>
    <x v="191"/>
    <s v="North"/>
    <s v="Delhi"/>
    <x v="13"/>
    <x v="2"/>
    <n v="4"/>
    <x v="7"/>
    <n v="51"/>
    <n v="1938.6"/>
  </r>
  <r>
    <x v="110"/>
    <s v="South"/>
    <s v="Karnataka"/>
    <x v="12"/>
    <x v="1"/>
    <n v="5"/>
    <x v="4"/>
    <n v="44"/>
    <n v="1566.04"/>
  </r>
  <r>
    <x v="192"/>
    <s v="West"/>
    <s v="Maharashtra"/>
    <x v="3"/>
    <x v="3"/>
    <n v="3"/>
    <x v="4"/>
    <n v="16"/>
    <n v="2618.2199999999998"/>
  </r>
  <r>
    <x v="193"/>
    <s v="South"/>
    <s v="Tamil Nadu"/>
    <x v="8"/>
    <x v="2"/>
    <n v="17"/>
    <x v="6"/>
    <n v="25"/>
    <n v="463.54"/>
  </r>
  <r>
    <x v="102"/>
    <s v="West"/>
    <s v="Maharashtra"/>
    <x v="3"/>
    <x v="3"/>
    <n v="16"/>
    <x v="9"/>
    <n v="51"/>
    <n v="494.05"/>
  </r>
  <r>
    <x v="194"/>
    <s v="North"/>
    <s v="Delhi"/>
    <x v="4"/>
    <x v="3"/>
    <n v="14"/>
    <x v="5"/>
    <n v="23"/>
    <n v="564.63"/>
  </r>
  <r>
    <x v="195"/>
    <s v="South"/>
    <s v="Karnataka"/>
    <x v="7"/>
    <x v="4"/>
    <n v="4"/>
    <x v="1"/>
    <n v="16"/>
    <n v="1993.97"/>
  </r>
  <r>
    <x v="196"/>
    <s v="West"/>
    <s v="Gujarat"/>
    <x v="9"/>
    <x v="0"/>
    <n v="9"/>
    <x v="5"/>
    <n v="29"/>
    <n v="888.33"/>
  </r>
  <r>
    <x v="197"/>
    <s v="South"/>
    <s v="Karnataka"/>
    <x v="12"/>
    <x v="0"/>
    <n v="15"/>
    <x v="9"/>
    <n v="28"/>
    <n v="534.41999999999996"/>
  </r>
  <r>
    <x v="123"/>
    <s v="South"/>
    <s v="Karnataka"/>
    <x v="2"/>
    <x v="4"/>
    <n v="2"/>
    <x v="0"/>
    <n v="45"/>
    <n v="4019.4"/>
  </r>
  <r>
    <x v="198"/>
    <s v="South"/>
    <s v="Karnataka"/>
    <x v="7"/>
    <x v="2"/>
    <n v="16"/>
    <x v="4"/>
    <n v="31"/>
    <n v="502.59"/>
  </r>
  <r>
    <x v="66"/>
    <s v="South"/>
    <s v="Karnataka"/>
    <x v="7"/>
    <x v="0"/>
    <n v="2"/>
    <x v="3"/>
    <n v="36"/>
    <n v="4032.05"/>
  </r>
  <r>
    <x v="43"/>
    <s v="North"/>
    <s v="Delhi"/>
    <x v="4"/>
    <x v="0"/>
    <n v="18"/>
    <x v="10"/>
    <n v="37"/>
    <n v="448.42"/>
  </r>
  <r>
    <x v="199"/>
    <s v="North"/>
    <s v="Delhi"/>
    <x v="4"/>
    <x v="0"/>
    <n v="2"/>
    <x v="2"/>
    <n v="44"/>
    <n v="4059.61"/>
  </r>
  <r>
    <x v="200"/>
    <s v="North"/>
    <s v="Delhi"/>
    <x v="4"/>
    <x v="0"/>
    <n v="2"/>
    <x v="4"/>
    <n v="44"/>
    <n v="4059.61"/>
  </r>
  <r>
    <x v="201"/>
    <s v="South"/>
    <s v="Karnataka"/>
    <x v="2"/>
    <x v="2"/>
    <n v="10"/>
    <x v="3"/>
    <n v="40"/>
    <n v="812.98"/>
  </r>
  <r>
    <x v="191"/>
    <s v="South"/>
    <s v="Karnataka"/>
    <x v="7"/>
    <x v="1"/>
    <n v="7"/>
    <x v="0"/>
    <n v="53"/>
    <n v="1164.5999999999999"/>
  </r>
  <r>
    <x v="202"/>
    <s v="West"/>
    <s v="Maharashtra"/>
    <x v="3"/>
    <x v="0"/>
    <n v="19"/>
    <x v="5"/>
    <n v="30"/>
    <n v="430.16"/>
  </r>
  <r>
    <x v="203"/>
    <s v="North"/>
    <s v="Delhi"/>
    <x v="10"/>
    <x v="0"/>
    <n v="6"/>
    <x v="5"/>
    <n v="29"/>
    <n v="1366.98"/>
  </r>
  <r>
    <x v="75"/>
    <s v="South"/>
    <s v="Tamil Nadu"/>
    <x v="0"/>
    <x v="4"/>
    <n v="3"/>
    <x v="1"/>
    <n v="38"/>
    <n v="2756.83"/>
  </r>
  <r>
    <x v="77"/>
    <s v="West"/>
    <s v="Gujarat"/>
    <x v="14"/>
    <x v="0"/>
    <n v="2"/>
    <x v="10"/>
    <n v="24"/>
    <n v="4176.99"/>
  </r>
  <r>
    <x v="204"/>
    <s v="West"/>
    <s v="Gujarat"/>
    <x v="9"/>
    <x v="1"/>
    <n v="16"/>
    <x v="9"/>
    <n v="48"/>
    <n v="523.29999999999995"/>
  </r>
  <r>
    <x v="65"/>
    <s v="West"/>
    <s v="Gujarat"/>
    <x v="1"/>
    <x v="1"/>
    <n v="10"/>
    <x v="8"/>
    <n v="31"/>
    <n v="843.5"/>
  </r>
  <r>
    <x v="205"/>
    <s v="West"/>
    <s v="Gujarat"/>
    <x v="1"/>
    <x v="1"/>
    <n v="10"/>
    <x v="9"/>
    <n v="31"/>
    <n v="843.5"/>
  </r>
  <r>
    <x v="95"/>
    <s v="West"/>
    <s v="Gujarat"/>
    <x v="9"/>
    <x v="1"/>
    <n v="7"/>
    <x v="6"/>
    <n v="53"/>
    <n v="1205.8900000000001"/>
  </r>
  <r>
    <x v="206"/>
    <s v="West"/>
    <s v="Gujarat"/>
    <x v="1"/>
    <x v="3"/>
    <n v="3"/>
    <x v="6"/>
    <n v="48"/>
    <n v="2880.4"/>
  </r>
  <r>
    <x v="207"/>
    <s v="North"/>
    <s v="Delhi"/>
    <x v="13"/>
    <x v="2"/>
    <n v="4"/>
    <x v="3"/>
    <n v="23"/>
    <n v="2169.61"/>
  </r>
  <r>
    <x v="71"/>
    <s v="West"/>
    <s v="Gujarat"/>
    <x v="14"/>
    <x v="2"/>
    <n v="11"/>
    <x v="8"/>
    <n v="25"/>
    <n v="793.45"/>
  </r>
  <r>
    <x v="208"/>
    <s v="South"/>
    <s v="Karnataka"/>
    <x v="2"/>
    <x v="2"/>
    <n v="5"/>
    <x v="3"/>
    <n v="16"/>
    <n v="1757.01"/>
  </r>
  <r>
    <x v="209"/>
    <s v="West"/>
    <s v="Maharashtra"/>
    <x v="11"/>
    <x v="4"/>
    <n v="2"/>
    <x v="9"/>
    <n v="51"/>
    <n v="4439.5"/>
  </r>
  <r>
    <x v="210"/>
    <s v="South"/>
    <s v="Tamil Nadu"/>
    <x v="8"/>
    <x v="3"/>
    <n v="3"/>
    <x v="8"/>
    <n v="18"/>
    <n v="2961.96"/>
  </r>
  <r>
    <x v="211"/>
    <s v="South"/>
    <s v="Tamil Nadu"/>
    <x v="6"/>
    <x v="0"/>
    <n v="3"/>
    <x v="9"/>
    <n v="31"/>
    <n v="2966.4"/>
  </r>
  <r>
    <x v="111"/>
    <s v="North"/>
    <s v="Delhi"/>
    <x v="10"/>
    <x v="0"/>
    <n v="18"/>
    <x v="3"/>
    <n v="26"/>
    <n v="497.68"/>
  </r>
  <r>
    <x v="20"/>
    <s v="West"/>
    <s v="Gujarat"/>
    <x v="9"/>
    <x v="2"/>
    <n v="12"/>
    <x v="3"/>
    <n v="19"/>
    <n v="749.68"/>
  </r>
  <r>
    <x v="212"/>
    <s v="West"/>
    <s v="Maharashtra"/>
    <x v="11"/>
    <x v="3"/>
    <n v="9"/>
    <x v="4"/>
    <n v="17"/>
    <n v="1001.37"/>
  </r>
  <r>
    <x v="144"/>
    <s v="South"/>
    <s v="Tamil Nadu"/>
    <x v="8"/>
    <x v="4"/>
    <n v="3"/>
    <x v="5"/>
    <n v="29"/>
    <n v="3007.45"/>
  </r>
  <r>
    <x v="213"/>
    <s v="North"/>
    <s v="Delhi"/>
    <x v="13"/>
    <x v="4"/>
    <n v="6"/>
    <x v="1"/>
    <n v="46"/>
    <n v="1508.35"/>
  </r>
  <r>
    <x v="22"/>
    <s v="North"/>
    <s v="Delhi"/>
    <x v="4"/>
    <x v="3"/>
    <n v="2"/>
    <x v="1"/>
    <n v="23"/>
    <n v="4527.13"/>
  </r>
  <r>
    <x v="214"/>
    <s v="West"/>
    <s v="Maharashtra"/>
    <x v="3"/>
    <x v="0"/>
    <n v="4"/>
    <x v="5"/>
    <n v="30"/>
    <n v="2298.98"/>
  </r>
  <r>
    <x v="215"/>
    <s v="South"/>
    <s v="Tamil Nadu"/>
    <x v="8"/>
    <x v="1"/>
    <n v="7"/>
    <x v="4"/>
    <n v="49"/>
    <n v="1316.13"/>
  </r>
  <r>
    <x v="145"/>
    <s v="North"/>
    <s v="Delhi"/>
    <x v="4"/>
    <x v="3"/>
    <n v="6"/>
    <x v="9"/>
    <n v="34"/>
    <n v="1537.45"/>
  </r>
  <r>
    <x v="33"/>
    <s v="South"/>
    <s v="Karnataka"/>
    <x v="7"/>
    <x v="0"/>
    <n v="11"/>
    <x v="3"/>
    <n v="20"/>
    <n v="841.99"/>
  </r>
  <r>
    <x v="199"/>
    <s v="West"/>
    <s v="Gujarat"/>
    <x v="9"/>
    <x v="3"/>
    <n v="4"/>
    <x v="2"/>
    <n v="54"/>
    <n v="2331.1"/>
  </r>
  <r>
    <x v="216"/>
    <s v="South"/>
    <s v="Tamil Nadu"/>
    <x v="8"/>
    <x v="3"/>
    <n v="3"/>
    <x v="0"/>
    <n v="44"/>
    <n v="3109.18"/>
  </r>
  <r>
    <x v="28"/>
    <s v="West"/>
    <s v="Gujarat"/>
    <x v="1"/>
    <x v="2"/>
    <n v="2"/>
    <x v="0"/>
    <n v="50"/>
    <n v="4664.91"/>
  </r>
  <r>
    <x v="217"/>
    <s v="South"/>
    <s v="Karnataka"/>
    <x v="2"/>
    <x v="1"/>
    <n v="15"/>
    <x v="9"/>
    <n v="29"/>
    <n v="624.87"/>
  </r>
  <r>
    <x v="218"/>
    <s v="West"/>
    <s v="Maharashtra"/>
    <x v="11"/>
    <x v="3"/>
    <n v="10"/>
    <x v="7"/>
    <n v="29"/>
    <n v="938.57"/>
  </r>
  <r>
    <x v="158"/>
    <s v="West"/>
    <s v="Gujarat"/>
    <x v="9"/>
    <x v="0"/>
    <n v="8"/>
    <x v="0"/>
    <n v="30"/>
    <n v="1185.17"/>
  </r>
  <r>
    <x v="219"/>
    <s v="South"/>
    <s v="Karnataka"/>
    <x v="2"/>
    <x v="3"/>
    <n v="2"/>
    <x v="8"/>
    <n v="19"/>
    <n v="4762.71"/>
  </r>
  <r>
    <x v="220"/>
    <s v="South"/>
    <s v="Tamil Nadu"/>
    <x v="6"/>
    <x v="3"/>
    <n v="18"/>
    <x v="4"/>
    <n v="49"/>
    <n v="532.4"/>
  </r>
  <r>
    <x v="26"/>
    <s v="South"/>
    <s v="Tamil Nadu"/>
    <x v="8"/>
    <x v="2"/>
    <n v="4"/>
    <x v="7"/>
    <n v="51"/>
    <n v="2425.52"/>
  </r>
  <r>
    <x v="221"/>
    <s v="West"/>
    <s v="Maharashtra"/>
    <x v="11"/>
    <x v="1"/>
    <n v="20"/>
    <x v="0"/>
    <n v="26"/>
    <n v="486.25"/>
  </r>
  <r>
    <x v="161"/>
    <s v="South"/>
    <s v="Karnataka"/>
    <x v="7"/>
    <x v="2"/>
    <n v="20"/>
    <x v="9"/>
    <n v="18"/>
    <n v="490.36"/>
  </r>
  <r>
    <x v="45"/>
    <s v="South"/>
    <s v="Tamil Nadu"/>
    <x v="8"/>
    <x v="0"/>
    <n v="17"/>
    <x v="0"/>
    <n v="47"/>
    <n v="578.88"/>
  </r>
  <r>
    <x v="155"/>
    <s v="South"/>
    <s v="Karnataka"/>
    <x v="12"/>
    <x v="0"/>
    <n v="5"/>
    <x v="8"/>
    <n v="28"/>
    <n v="1991.64"/>
  </r>
  <r>
    <x v="148"/>
    <s v="West"/>
    <s v="Gujarat"/>
    <x v="9"/>
    <x v="2"/>
    <n v="5"/>
    <x v="8"/>
    <n v="55"/>
    <n v="1997.76"/>
  </r>
  <r>
    <x v="152"/>
    <s v="South"/>
    <s v="Tamil Nadu"/>
    <x v="8"/>
    <x v="4"/>
    <n v="2"/>
    <x v="4"/>
    <n v="34"/>
    <n v="4997.2299999999996"/>
  </r>
  <r>
    <x v="222"/>
    <s v="South"/>
    <s v="Karnataka"/>
    <x v="12"/>
    <x v="2"/>
    <n v="12"/>
    <x v="5"/>
    <n v="54"/>
    <n v="835.83"/>
  </r>
  <r>
    <x v="223"/>
    <s v="South"/>
    <s v="Karnataka"/>
    <x v="12"/>
    <x v="2"/>
    <n v="12"/>
    <x v="10"/>
    <n v="54"/>
    <n v="835.83"/>
  </r>
  <r>
    <x v="191"/>
    <s v="West"/>
    <s v="Gujarat"/>
    <x v="1"/>
    <x v="4"/>
    <n v="4"/>
    <x v="9"/>
    <n v="25"/>
    <n v="2514.88"/>
  </r>
  <r>
    <x v="171"/>
    <s v="North"/>
    <s v="Delhi"/>
    <x v="4"/>
    <x v="2"/>
    <n v="3"/>
    <x v="3"/>
    <n v="23"/>
    <n v="3366.66"/>
  </r>
  <r>
    <x v="43"/>
    <s v="South"/>
    <s v="Tamil Nadu"/>
    <x v="8"/>
    <x v="0"/>
    <n v="11"/>
    <x v="0"/>
    <n v="29"/>
    <n v="920.95"/>
  </r>
  <r>
    <x v="224"/>
    <s v="West"/>
    <s v="Maharashtra"/>
    <x v="11"/>
    <x v="3"/>
    <n v="11"/>
    <x v="7"/>
    <n v="16"/>
    <n v="923.59"/>
  </r>
  <r>
    <x v="180"/>
    <s v="West"/>
    <s v="Maharashtra"/>
    <x v="5"/>
    <x v="1"/>
    <n v="7"/>
    <x v="2"/>
    <n v="37"/>
    <n v="1458"/>
  </r>
  <r>
    <x v="125"/>
    <s v="West"/>
    <s v="Maharashtra"/>
    <x v="5"/>
    <x v="1"/>
    <n v="6"/>
    <x v="0"/>
    <n v="25"/>
    <n v="1701.04"/>
  </r>
  <r>
    <x v="225"/>
    <s v="South"/>
    <s v="Karnataka"/>
    <x v="2"/>
    <x v="2"/>
    <n v="3"/>
    <x v="4"/>
    <n v="38"/>
    <n v="3445.08"/>
  </r>
  <r>
    <x v="26"/>
    <s v="South"/>
    <s v="Tamil Nadu"/>
    <x v="8"/>
    <x v="0"/>
    <n v="19"/>
    <x v="7"/>
    <n v="27"/>
    <n v="548.70000000000005"/>
  </r>
  <r>
    <x v="226"/>
    <s v="North"/>
    <s v="Delhi"/>
    <x v="13"/>
    <x v="4"/>
    <n v="13"/>
    <x v="3"/>
    <n v="22"/>
    <n v="802.18"/>
  </r>
  <r>
    <x v="227"/>
    <s v="North"/>
    <s v="Delhi"/>
    <x v="4"/>
    <x v="3"/>
    <n v="9"/>
    <x v="5"/>
    <n v="31"/>
    <n v="1161.02"/>
  </r>
  <r>
    <x v="228"/>
    <s v="North"/>
    <s v="Delhi"/>
    <x v="4"/>
    <x v="3"/>
    <n v="9"/>
    <x v="10"/>
    <n v="31"/>
    <n v="1161.02"/>
  </r>
  <r>
    <x v="209"/>
    <s v="South"/>
    <s v="Karnataka"/>
    <x v="2"/>
    <x v="1"/>
    <n v="4"/>
    <x v="9"/>
    <n v="55"/>
    <n v="2625.31"/>
  </r>
  <r>
    <x v="132"/>
    <s v="West"/>
    <s v="Gujarat"/>
    <x v="1"/>
    <x v="0"/>
    <n v="7"/>
    <x v="6"/>
    <n v="40"/>
    <n v="1500.87"/>
  </r>
  <r>
    <x v="229"/>
    <s v="North"/>
    <s v="Delhi"/>
    <x v="13"/>
    <x v="3"/>
    <n v="7"/>
    <x v="5"/>
    <n v="22"/>
    <n v="1501.06"/>
  </r>
  <r>
    <x v="124"/>
    <s v="North"/>
    <s v="Delhi"/>
    <x v="13"/>
    <x v="4"/>
    <n v="8"/>
    <x v="9"/>
    <n v="22"/>
    <n v="1314.71"/>
  </r>
  <r>
    <x v="173"/>
    <s v="South"/>
    <s v="Tamil Nadu"/>
    <x v="0"/>
    <x v="4"/>
    <n v="3"/>
    <x v="3"/>
    <n v="23"/>
    <n v="3533.3"/>
  </r>
  <r>
    <x v="230"/>
    <s v="South"/>
    <s v="Tamil Nadu"/>
    <x v="8"/>
    <x v="2"/>
    <n v="13"/>
    <x v="9"/>
    <n v="50"/>
    <n v="818.58"/>
  </r>
  <r>
    <x v="231"/>
    <s v="South"/>
    <s v="Tamil Nadu"/>
    <x v="6"/>
    <x v="4"/>
    <n v="11"/>
    <x v="2"/>
    <n v="55"/>
    <n v="968.17"/>
  </r>
  <r>
    <x v="219"/>
    <s v="South"/>
    <s v="Karnataka"/>
    <x v="12"/>
    <x v="4"/>
    <n v="4"/>
    <x v="2"/>
    <n v="33"/>
    <n v="2689.7"/>
  </r>
  <r>
    <x v="62"/>
    <s v="South"/>
    <s v="Tamil Nadu"/>
    <x v="0"/>
    <x v="3"/>
    <n v="14"/>
    <x v="8"/>
    <n v="19"/>
    <n v="771.61"/>
  </r>
  <r>
    <x v="48"/>
    <s v="South"/>
    <s v="Tamil Nadu"/>
    <x v="6"/>
    <x v="4"/>
    <n v="4"/>
    <x v="9"/>
    <n v="17"/>
    <n v="2701.93"/>
  </r>
  <r>
    <x v="78"/>
    <s v="West"/>
    <s v="Gujarat"/>
    <x v="14"/>
    <x v="3"/>
    <n v="5"/>
    <x v="8"/>
    <n v="53"/>
    <n v="2162.08"/>
  </r>
  <r>
    <x v="232"/>
    <s v="South"/>
    <s v="Karnataka"/>
    <x v="2"/>
    <x v="4"/>
    <n v="8"/>
    <x v="9"/>
    <n v="33"/>
    <n v="1366.18"/>
  </r>
  <r>
    <x v="94"/>
    <s v="South"/>
    <s v="Tamil Nadu"/>
    <x v="6"/>
    <x v="0"/>
    <n v="4"/>
    <x v="7"/>
    <n v="18"/>
    <n v="2740.14"/>
  </r>
  <r>
    <x v="233"/>
    <s v="West"/>
    <s v="Maharashtra"/>
    <x v="11"/>
    <x v="3"/>
    <n v="8"/>
    <x v="9"/>
    <n v="44"/>
    <n v="1371.28"/>
  </r>
  <r>
    <x v="15"/>
    <s v="West"/>
    <s v="Maharashtra"/>
    <x v="3"/>
    <x v="1"/>
    <n v="7"/>
    <x v="0"/>
    <n v="31"/>
    <n v="1576.4"/>
  </r>
  <r>
    <x v="234"/>
    <s v="South"/>
    <s v="Karnataka"/>
    <x v="12"/>
    <x v="2"/>
    <n v="7"/>
    <x v="2"/>
    <n v="52"/>
    <n v="1590.73"/>
  </r>
  <r>
    <x v="235"/>
    <s v="South"/>
    <s v="Tamil Nadu"/>
    <x v="0"/>
    <x v="2"/>
    <n v="13"/>
    <x v="9"/>
    <n v="36"/>
    <n v="857.86"/>
  </r>
  <r>
    <x v="115"/>
    <s v="West"/>
    <s v="Maharashtra"/>
    <x v="3"/>
    <x v="4"/>
    <n v="4"/>
    <x v="4"/>
    <n v="43"/>
    <n v="2792.23"/>
  </r>
  <r>
    <x v="147"/>
    <s v="South"/>
    <s v="Karnataka"/>
    <x v="7"/>
    <x v="4"/>
    <n v="6"/>
    <x v="6"/>
    <n v="44"/>
    <n v="1872.18"/>
  </r>
  <r>
    <x v="236"/>
    <s v="North"/>
    <s v="Delhi"/>
    <x v="13"/>
    <x v="0"/>
    <n v="13"/>
    <x v="2"/>
    <n v="37"/>
    <n v="864.09"/>
  </r>
  <r>
    <x v="219"/>
    <s v="West"/>
    <s v="Gujarat"/>
    <x v="9"/>
    <x v="0"/>
    <n v="16"/>
    <x v="9"/>
    <n v="44"/>
    <n v="704.88"/>
  </r>
  <r>
    <x v="154"/>
    <s v="South"/>
    <s v="Tamil Nadu"/>
    <x v="8"/>
    <x v="4"/>
    <n v="8"/>
    <x v="0"/>
    <n v="22"/>
    <n v="1410.46"/>
  </r>
  <r>
    <x v="1"/>
    <s v="West"/>
    <s v="Maharashtra"/>
    <x v="5"/>
    <x v="4"/>
    <n v="8"/>
    <x v="8"/>
    <n v="32"/>
    <n v="1412.48"/>
  </r>
  <r>
    <x v="74"/>
    <s v="South"/>
    <s v="Tamil Nadu"/>
    <x v="6"/>
    <x v="3"/>
    <n v="4"/>
    <x v="0"/>
    <n v="23"/>
    <n v="2830.6"/>
  </r>
  <r>
    <x v="237"/>
    <s v="West"/>
    <s v="Maharashtra"/>
    <x v="3"/>
    <x v="1"/>
    <n v="9"/>
    <x v="9"/>
    <n v="50"/>
    <n v="1280.74"/>
  </r>
  <r>
    <x v="238"/>
    <s v="North"/>
    <s v="Delhi"/>
    <x v="4"/>
    <x v="2"/>
    <n v="19"/>
    <x v="6"/>
    <n v="53"/>
    <n v="609.63"/>
  </r>
  <r>
    <x v="239"/>
    <s v="West"/>
    <s v="Gujarat"/>
    <x v="1"/>
    <x v="1"/>
    <n v="3"/>
    <x v="2"/>
    <n v="35"/>
    <n v="3861.09"/>
  </r>
  <r>
    <x v="125"/>
    <s v="West"/>
    <s v="Maharashtra"/>
    <x v="11"/>
    <x v="2"/>
    <n v="8"/>
    <x v="9"/>
    <n v="42"/>
    <n v="1461.31"/>
  </r>
  <r>
    <x v="240"/>
    <s v="West"/>
    <s v="Maharashtra"/>
    <x v="11"/>
    <x v="2"/>
    <n v="8"/>
    <x v="9"/>
    <n v="42"/>
    <n v="1461.31"/>
  </r>
  <r>
    <x v="241"/>
    <s v="West"/>
    <s v="Gujarat"/>
    <x v="14"/>
    <x v="3"/>
    <n v="18"/>
    <x v="6"/>
    <n v="21"/>
    <n v="651.22"/>
  </r>
  <r>
    <x v="174"/>
    <s v="North"/>
    <s v="Delhi"/>
    <x v="13"/>
    <x v="1"/>
    <n v="11"/>
    <x v="9"/>
    <n v="53"/>
    <n v="1065.6400000000001"/>
  </r>
  <r>
    <x v="70"/>
    <s v="South"/>
    <s v="Tamil Nadu"/>
    <x v="8"/>
    <x v="4"/>
    <n v="9"/>
    <x v="0"/>
    <n v="47"/>
    <n v="1302.45"/>
  </r>
  <r>
    <x v="51"/>
    <s v="North"/>
    <s v="Delhi"/>
    <x v="10"/>
    <x v="1"/>
    <n v="11"/>
    <x v="2"/>
    <n v="47"/>
    <n v="1069.3900000000001"/>
  </r>
  <r>
    <x v="242"/>
    <s v="South"/>
    <s v="Tamil Nadu"/>
    <x v="6"/>
    <x v="2"/>
    <n v="8"/>
    <x v="2"/>
    <n v="17"/>
    <n v="1481.04"/>
  </r>
  <r>
    <x v="140"/>
    <s v="West"/>
    <s v="Maharashtra"/>
    <x v="5"/>
    <x v="4"/>
    <n v="3"/>
    <x v="10"/>
    <n v="25"/>
    <n v="3957.38"/>
  </r>
  <r>
    <x v="196"/>
    <s v="South"/>
    <s v="Tamil Nadu"/>
    <x v="0"/>
    <x v="3"/>
    <n v="6"/>
    <x v="8"/>
    <n v="22"/>
    <n v="1979"/>
  </r>
  <r>
    <x v="243"/>
    <s v="West"/>
    <s v="Gujarat"/>
    <x v="1"/>
    <x v="0"/>
    <n v="8"/>
    <x v="6"/>
    <n v="33"/>
    <n v="1484.56"/>
  </r>
  <r>
    <x v="151"/>
    <s v="South"/>
    <s v="Karnataka"/>
    <x v="7"/>
    <x v="4"/>
    <n v="13"/>
    <x v="3"/>
    <n v="54"/>
    <n v="914.82"/>
  </r>
  <r>
    <x v="58"/>
    <s v="West"/>
    <s v="Maharashtra"/>
    <x v="3"/>
    <x v="0"/>
    <n v="12"/>
    <x v="4"/>
    <n v="26"/>
    <n v="992.16"/>
  </r>
  <r>
    <x v="169"/>
    <s v="North"/>
    <s v="Delhi"/>
    <x v="10"/>
    <x v="3"/>
    <n v="4"/>
    <x v="3"/>
    <n v="37"/>
    <n v="2978.87"/>
  </r>
  <r>
    <x v="62"/>
    <s v="West"/>
    <s v="Gujarat"/>
    <x v="9"/>
    <x v="0"/>
    <n v="6"/>
    <x v="5"/>
    <n v="32"/>
    <n v="1985.97"/>
  </r>
  <r>
    <x v="244"/>
    <s v="North"/>
    <s v="Delhi"/>
    <x v="13"/>
    <x v="2"/>
    <n v="4"/>
    <x v="8"/>
    <n v="47"/>
    <n v="2984.27"/>
  </r>
  <r>
    <x v="175"/>
    <s v="West"/>
    <s v="Maharashtra"/>
    <x v="11"/>
    <x v="3"/>
    <n v="7"/>
    <x v="6"/>
    <n v="31"/>
    <n v="1711.81"/>
  </r>
  <r>
    <x v="11"/>
    <s v="North"/>
    <s v="Delhi"/>
    <x v="10"/>
    <x v="1"/>
    <n v="3"/>
    <x v="0"/>
    <n v="22"/>
    <n v="4020.68"/>
  </r>
  <r>
    <x v="102"/>
    <s v="South"/>
    <s v="Karnataka"/>
    <x v="7"/>
    <x v="4"/>
    <n v="20"/>
    <x v="7"/>
    <n v="50"/>
    <n v="603.49"/>
  </r>
  <r>
    <x v="106"/>
    <s v="South"/>
    <s v="Karnataka"/>
    <x v="7"/>
    <x v="2"/>
    <n v="19"/>
    <x v="1"/>
    <n v="44"/>
    <n v="636.20000000000005"/>
  </r>
  <r>
    <x v="245"/>
    <s v="South"/>
    <s v="Tamil Nadu"/>
    <x v="0"/>
    <x v="1"/>
    <n v="4"/>
    <x v="10"/>
    <n v="49"/>
    <n v="3022.72"/>
  </r>
  <r>
    <x v="246"/>
    <s v="West"/>
    <s v="Gujarat"/>
    <x v="9"/>
    <x v="1"/>
    <n v="7"/>
    <x v="2"/>
    <n v="35"/>
    <n v="1729.24"/>
  </r>
  <r>
    <x v="64"/>
    <s v="North"/>
    <s v="Delhi"/>
    <x v="10"/>
    <x v="0"/>
    <n v="20"/>
    <x v="5"/>
    <n v="43"/>
    <n v="605.86"/>
  </r>
  <r>
    <x v="166"/>
    <s v="North"/>
    <s v="Delhi"/>
    <x v="4"/>
    <x v="4"/>
    <n v="5"/>
    <x v="9"/>
    <n v="32"/>
    <n v="2423.83"/>
  </r>
  <r>
    <x v="247"/>
    <s v="West"/>
    <s v="Gujarat"/>
    <x v="9"/>
    <x v="2"/>
    <n v="3"/>
    <x v="8"/>
    <n v="20"/>
    <n v="4059.76"/>
  </r>
  <r>
    <x v="71"/>
    <s v="South"/>
    <s v="Karnataka"/>
    <x v="2"/>
    <x v="1"/>
    <n v="18"/>
    <x v="9"/>
    <n v="23"/>
    <n v="678.76"/>
  </r>
  <r>
    <x v="248"/>
    <s v="West"/>
    <s v="Gujarat"/>
    <x v="1"/>
    <x v="1"/>
    <n v="3"/>
    <x v="9"/>
    <n v="54"/>
    <n v="4083.59"/>
  </r>
  <r>
    <x v="249"/>
    <s v="North"/>
    <s v="Delhi"/>
    <x v="4"/>
    <x v="2"/>
    <n v="5"/>
    <x v="7"/>
    <n v="31"/>
    <n v="2463.9499999999998"/>
  </r>
  <r>
    <x v="161"/>
    <s v="South"/>
    <s v="Tamil Nadu"/>
    <x v="0"/>
    <x v="1"/>
    <n v="3"/>
    <x v="9"/>
    <n v="45"/>
    <n v="4132.17"/>
  </r>
  <r>
    <x v="250"/>
    <s v="South"/>
    <s v="Tamil Nadu"/>
    <x v="0"/>
    <x v="1"/>
    <n v="3"/>
    <x v="0"/>
    <n v="45"/>
    <n v="4132.17"/>
  </r>
  <r>
    <x v="190"/>
    <s v="South"/>
    <s v="Tamil Nadu"/>
    <x v="8"/>
    <x v="4"/>
    <n v="5"/>
    <x v="9"/>
    <n v="29"/>
    <n v="2481.2199999999998"/>
  </r>
  <r>
    <x v="120"/>
    <s v="South"/>
    <s v="Tamil Nadu"/>
    <x v="6"/>
    <x v="3"/>
    <n v="9"/>
    <x v="9"/>
    <n v="41"/>
    <n v="1378.65"/>
  </r>
  <r>
    <x v="251"/>
    <s v="South"/>
    <s v="Tamil Nadu"/>
    <x v="6"/>
    <x v="3"/>
    <n v="9"/>
    <x v="0"/>
    <n v="41"/>
    <n v="1378.65"/>
  </r>
  <r>
    <x v="252"/>
    <s v="South"/>
    <s v="Karnataka"/>
    <x v="7"/>
    <x v="3"/>
    <n v="7"/>
    <x v="9"/>
    <n v="36"/>
    <n v="1774.74"/>
  </r>
  <r>
    <x v="216"/>
    <s v="North"/>
    <s v="Delhi"/>
    <x v="10"/>
    <x v="0"/>
    <n v="3"/>
    <x v="8"/>
    <n v="26"/>
    <n v="4171.91"/>
  </r>
  <r>
    <x v="198"/>
    <s v="South"/>
    <s v="Karnataka"/>
    <x v="2"/>
    <x v="1"/>
    <n v="18"/>
    <x v="0"/>
    <n v="27"/>
    <n v="696.83"/>
  </r>
  <r>
    <x v="253"/>
    <s v="South"/>
    <s v="Karnataka"/>
    <x v="7"/>
    <x v="2"/>
    <n v="13"/>
    <x v="7"/>
    <n v="20"/>
    <n v="968.18"/>
  </r>
  <r>
    <x v="112"/>
    <s v="West"/>
    <s v="Gujarat"/>
    <x v="14"/>
    <x v="3"/>
    <n v="3"/>
    <x v="7"/>
    <n v="20"/>
    <n v="4195.66"/>
  </r>
  <r>
    <x v="254"/>
    <s v="North"/>
    <s v="Delhi"/>
    <x v="4"/>
    <x v="1"/>
    <n v="3"/>
    <x v="8"/>
    <n v="51"/>
    <n v="4201.09"/>
  </r>
  <r>
    <x v="52"/>
    <s v="West"/>
    <s v="Maharashtra"/>
    <x v="3"/>
    <x v="2"/>
    <n v="7"/>
    <x v="9"/>
    <n v="18"/>
    <n v="1801.74"/>
  </r>
  <r>
    <x v="255"/>
    <s v="West"/>
    <s v="Maharashtra"/>
    <x v="5"/>
    <x v="3"/>
    <n v="3"/>
    <x v="9"/>
    <n v="43"/>
    <n v="4210.7700000000004"/>
  </r>
  <r>
    <x v="256"/>
    <s v="West"/>
    <s v="Maharashtra"/>
    <x v="5"/>
    <x v="3"/>
    <n v="3"/>
    <x v="9"/>
    <n v="43"/>
    <n v="4210.7700000000004"/>
  </r>
  <r>
    <x v="257"/>
    <s v="West"/>
    <s v="Gujarat"/>
    <x v="9"/>
    <x v="3"/>
    <n v="20"/>
    <x v="8"/>
    <n v="41"/>
    <n v="633.87"/>
  </r>
  <r>
    <x v="258"/>
    <s v="North"/>
    <s v="Delhi"/>
    <x v="4"/>
    <x v="1"/>
    <n v="3"/>
    <x v="9"/>
    <n v="22"/>
    <n v="4229.84"/>
  </r>
  <r>
    <x v="259"/>
    <s v="North"/>
    <s v="Delhi"/>
    <x v="4"/>
    <x v="1"/>
    <n v="3"/>
    <x v="0"/>
    <n v="22"/>
    <n v="4229.84"/>
  </r>
  <r>
    <x v="20"/>
    <s v="South"/>
    <s v="Karnataka"/>
    <x v="7"/>
    <x v="0"/>
    <n v="16"/>
    <x v="4"/>
    <n v="25"/>
    <n v="795.17"/>
  </r>
  <r>
    <x v="243"/>
    <s v="West"/>
    <s v="Maharashtra"/>
    <x v="3"/>
    <x v="3"/>
    <n v="5"/>
    <x v="2"/>
    <n v="52"/>
    <n v="2545.9299999999998"/>
  </r>
  <r>
    <x v="38"/>
    <s v="South"/>
    <s v="Karnataka"/>
    <x v="2"/>
    <x v="1"/>
    <n v="12"/>
    <x v="10"/>
    <n v="17"/>
    <n v="1061.49"/>
  </r>
  <r>
    <x v="25"/>
    <s v="West"/>
    <s v="Gujarat"/>
    <x v="1"/>
    <x v="1"/>
    <n v="16"/>
    <x v="5"/>
    <n v="26"/>
    <n v="796.69"/>
  </r>
  <r>
    <x v="143"/>
    <s v="South"/>
    <s v="Tamil Nadu"/>
    <x v="6"/>
    <x v="2"/>
    <n v="8"/>
    <x v="1"/>
    <n v="54"/>
    <n v="1595.76"/>
  </r>
  <r>
    <x v="154"/>
    <s v="South"/>
    <s v="Karnataka"/>
    <x v="12"/>
    <x v="1"/>
    <n v="11"/>
    <x v="8"/>
    <n v="29"/>
    <n v="1169.3"/>
  </r>
  <r>
    <x v="37"/>
    <s v="North"/>
    <s v="Delhi"/>
    <x v="4"/>
    <x v="4"/>
    <n v="17"/>
    <x v="5"/>
    <n v="42"/>
    <n v="758.19"/>
  </r>
  <r>
    <x v="86"/>
    <s v="North"/>
    <s v="Delhi"/>
    <x v="13"/>
    <x v="2"/>
    <n v="13"/>
    <x v="2"/>
    <n v="44"/>
    <n v="993.43"/>
  </r>
  <r>
    <x v="260"/>
    <s v="West"/>
    <s v="Maharashtra"/>
    <x v="11"/>
    <x v="0"/>
    <n v="5"/>
    <x v="9"/>
    <n v="40"/>
    <n v="2583.81"/>
  </r>
  <r>
    <x v="261"/>
    <s v="South"/>
    <s v="Karnataka"/>
    <x v="12"/>
    <x v="2"/>
    <n v="7"/>
    <x v="4"/>
    <n v="55"/>
    <n v="1849.17"/>
  </r>
  <r>
    <x v="262"/>
    <s v="West"/>
    <s v="Gujarat"/>
    <x v="14"/>
    <x v="3"/>
    <n v="15"/>
    <x v="1"/>
    <n v="49"/>
    <n v="866.62"/>
  </r>
  <r>
    <x v="43"/>
    <s v="South"/>
    <s v="Tamil Nadu"/>
    <x v="6"/>
    <x v="4"/>
    <n v="3"/>
    <x v="5"/>
    <n v="50"/>
    <n v="4363.3"/>
  </r>
  <r>
    <x v="84"/>
    <s v="South"/>
    <s v="Karnataka"/>
    <x v="7"/>
    <x v="0"/>
    <n v="6"/>
    <x v="7"/>
    <n v="51"/>
    <n v="2207.64"/>
  </r>
  <r>
    <x v="58"/>
    <s v="South"/>
    <s v="Karnataka"/>
    <x v="2"/>
    <x v="1"/>
    <n v="12"/>
    <x v="3"/>
    <n v="47"/>
    <n v="1104.74"/>
  </r>
  <r>
    <x v="242"/>
    <s v="West"/>
    <s v="Maharashtra"/>
    <x v="3"/>
    <x v="3"/>
    <n v="9"/>
    <x v="10"/>
    <n v="35"/>
    <n v="1474.56"/>
  </r>
  <r>
    <x v="253"/>
    <s v="West"/>
    <s v="Gujarat"/>
    <x v="9"/>
    <x v="4"/>
    <n v="14"/>
    <x v="2"/>
    <n v="20"/>
    <n v="948.05"/>
  </r>
  <r>
    <x v="234"/>
    <s v="West"/>
    <s v="Maharashtra"/>
    <x v="3"/>
    <x v="4"/>
    <n v="7"/>
    <x v="6"/>
    <n v="40"/>
    <n v="1905.14"/>
  </r>
  <r>
    <x v="70"/>
    <s v="South"/>
    <s v="Tamil Nadu"/>
    <x v="6"/>
    <x v="2"/>
    <n v="8"/>
    <x v="7"/>
    <n v="42"/>
    <n v="1670.31"/>
  </r>
  <r>
    <x v="135"/>
    <s v="South"/>
    <s v="Karnataka"/>
    <x v="2"/>
    <x v="0"/>
    <n v="13"/>
    <x v="5"/>
    <n v="19"/>
    <n v="1030.9000000000001"/>
  </r>
  <r>
    <x v="183"/>
    <s v="North"/>
    <s v="Delhi"/>
    <x v="10"/>
    <x v="2"/>
    <n v="5"/>
    <x v="1"/>
    <n v="19"/>
    <n v="2681.34"/>
  </r>
  <r>
    <x v="112"/>
    <s v="West"/>
    <s v="Gujarat"/>
    <x v="1"/>
    <x v="0"/>
    <n v="4"/>
    <x v="6"/>
    <n v="39"/>
    <n v="3377.27"/>
  </r>
  <r>
    <x v="15"/>
    <s v="West"/>
    <s v="Gujarat"/>
    <x v="14"/>
    <x v="4"/>
    <n v="19"/>
    <x v="0"/>
    <n v="46"/>
    <n v="713.8"/>
  </r>
  <r>
    <x v="263"/>
    <s v="West"/>
    <s v="Gujarat"/>
    <x v="14"/>
    <x v="3"/>
    <n v="15"/>
    <x v="7"/>
    <n v="38"/>
    <n v="916.75"/>
  </r>
  <r>
    <x v="196"/>
    <s v="North"/>
    <s v="Delhi"/>
    <x v="4"/>
    <x v="1"/>
    <n v="3"/>
    <x v="7"/>
    <n v="16"/>
    <n v="4608.8900000000003"/>
  </r>
  <r>
    <x v="183"/>
    <s v="South"/>
    <s v="Tamil Nadu"/>
    <x v="6"/>
    <x v="2"/>
    <n v="16"/>
    <x v="9"/>
    <n v="41"/>
    <n v="874.99"/>
  </r>
  <r>
    <x v="221"/>
    <s v="West"/>
    <s v="Gujarat"/>
    <x v="14"/>
    <x v="2"/>
    <n v="3"/>
    <x v="2"/>
    <n v="39"/>
    <n v="4678.38"/>
  </r>
  <r>
    <x v="264"/>
    <s v="West"/>
    <s v="Gujarat"/>
    <x v="14"/>
    <x v="2"/>
    <n v="12"/>
    <x v="1"/>
    <n v="55"/>
    <n v="1169.8399999999999"/>
  </r>
  <r>
    <x v="117"/>
    <s v="West"/>
    <s v="Gujarat"/>
    <x v="14"/>
    <x v="3"/>
    <n v="11"/>
    <x v="4"/>
    <n v="44"/>
    <n v="1278.32"/>
  </r>
  <r>
    <x v="30"/>
    <s v="South"/>
    <s v="Karnataka"/>
    <x v="12"/>
    <x v="3"/>
    <n v="7"/>
    <x v="2"/>
    <n v="44"/>
    <n v="2016.03"/>
  </r>
  <r>
    <x v="48"/>
    <s v="North"/>
    <s v="Delhi"/>
    <x v="4"/>
    <x v="2"/>
    <n v="5"/>
    <x v="1"/>
    <n v="19"/>
    <n v="2846.34"/>
  </r>
  <r>
    <x v="17"/>
    <s v="West"/>
    <s v="Gujarat"/>
    <x v="1"/>
    <x v="1"/>
    <n v="4"/>
    <x v="7"/>
    <n v="50"/>
    <n v="3561.12"/>
  </r>
  <r>
    <x v="265"/>
    <s v="South"/>
    <s v="Karnataka"/>
    <x v="7"/>
    <x v="0"/>
    <n v="7"/>
    <x v="3"/>
    <n v="40"/>
    <n v="2048.48"/>
  </r>
  <r>
    <x v="32"/>
    <s v="South"/>
    <s v="Karnataka"/>
    <x v="2"/>
    <x v="2"/>
    <n v="8"/>
    <x v="2"/>
    <n v="19"/>
    <n v="1794.45"/>
  </r>
  <r>
    <x v="132"/>
    <s v="West"/>
    <s v="Gujarat"/>
    <x v="14"/>
    <x v="4"/>
    <n v="15"/>
    <x v="10"/>
    <n v="35"/>
    <n v="961.23"/>
  </r>
  <r>
    <x v="244"/>
    <s v="South"/>
    <s v="Karnataka"/>
    <x v="2"/>
    <x v="4"/>
    <n v="20"/>
    <x v="9"/>
    <n v="39"/>
    <n v="722.13"/>
  </r>
  <r>
    <x v="266"/>
    <s v="West"/>
    <s v="Maharashtra"/>
    <x v="5"/>
    <x v="3"/>
    <n v="11"/>
    <x v="2"/>
    <n v="48"/>
    <n v="1316.18"/>
  </r>
  <r>
    <x v="267"/>
    <s v="South"/>
    <s v="Karnataka"/>
    <x v="7"/>
    <x v="4"/>
    <n v="3"/>
    <x v="2"/>
    <n v="38"/>
    <n v="4876.51"/>
  </r>
  <r>
    <x v="48"/>
    <s v="West"/>
    <s v="Gujarat"/>
    <x v="14"/>
    <x v="3"/>
    <n v="3"/>
    <x v="10"/>
    <n v="18"/>
    <n v="4888.03"/>
  </r>
  <r>
    <x v="268"/>
    <s v="West"/>
    <s v="Gujarat"/>
    <x v="1"/>
    <x v="4"/>
    <n v="18"/>
    <x v="10"/>
    <n v="38"/>
    <n v="814.69"/>
  </r>
  <r>
    <x v="269"/>
    <s v="South"/>
    <s v="Tamil Nadu"/>
    <x v="8"/>
    <x v="2"/>
    <n v="6"/>
    <x v="6"/>
    <n v="25"/>
    <n v="2463.6799999999998"/>
  </r>
  <r>
    <x v="270"/>
    <s v="South"/>
    <s v="Tamil Nadu"/>
    <x v="8"/>
    <x v="2"/>
    <n v="6"/>
    <x v="0"/>
    <n v="25"/>
    <n v="2463.6799999999998"/>
  </r>
  <r>
    <x v="32"/>
    <s v="North"/>
    <s v="Delhi"/>
    <x v="4"/>
    <x v="4"/>
    <n v="5"/>
    <x v="6"/>
    <n v="36"/>
    <n v="2957.2"/>
  </r>
  <r>
    <x v="263"/>
    <s v="West"/>
    <s v="Maharashtra"/>
    <x v="5"/>
    <x v="1"/>
    <n v="4"/>
    <x v="0"/>
    <n v="44"/>
    <n v="3725.78"/>
  </r>
  <r>
    <x v="211"/>
    <s v="South"/>
    <s v="Tamil Nadu"/>
    <x v="6"/>
    <x v="2"/>
    <n v="3"/>
    <x v="9"/>
    <n v="32"/>
    <n v="4999.6899999999996"/>
  </r>
  <r>
    <x v="271"/>
    <s v="North"/>
    <s v="Delhi"/>
    <x v="4"/>
    <x v="3"/>
    <n v="9"/>
    <x v="8"/>
    <n v="41"/>
    <n v="1667.06"/>
  </r>
  <r>
    <x v="272"/>
    <s v="South"/>
    <s v="Tamil Nadu"/>
    <x v="6"/>
    <x v="0"/>
    <n v="11"/>
    <x v="6"/>
    <n v="28"/>
    <n v="1389.59"/>
  </r>
  <r>
    <x v="273"/>
    <s v="North"/>
    <s v="Delhi"/>
    <x v="13"/>
    <x v="4"/>
    <n v="14"/>
    <x v="7"/>
    <n v="24"/>
    <n v="1094.1400000000001"/>
  </r>
  <r>
    <x v="102"/>
    <s v="West"/>
    <s v="Gujarat"/>
    <x v="1"/>
    <x v="1"/>
    <n v="8"/>
    <x v="10"/>
    <n v="20"/>
    <n v="1916.14"/>
  </r>
  <r>
    <x v="125"/>
    <s v="West"/>
    <s v="Gujarat"/>
    <x v="9"/>
    <x v="0"/>
    <n v="8"/>
    <x v="2"/>
    <n v="46"/>
    <n v="1927.88"/>
  </r>
  <r>
    <x v="178"/>
    <s v="South"/>
    <s v="Tamil Nadu"/>
    <x v="8"/>
    <x v="1"/>
    <n v="20"/>
    <x v="9"/>
    <n v="44"/>
    <n v="774.07"/>
  </r>
  <r>
    <x v="215"/>
    <s v="South"/>
    <s v="Karnataka"/>
    <x v="2"/>
    <x v="4"/>
    <n v="5"/>
    <x v="9"/>
    <n v="32"/>
    <n v="3103.12"/>
  </r>
  <r>
    <x v="169"/>
    <s v="South"/>
    <s v="Karnataka"/>
    <x v="7"/>
    <x v="4"/>
    <n v="16"/>
    <x v="9"/>
    <n v="25"/>
    <n v="971.39"/>
  </r>
  <r>
    <x v="274"/>
    <s v="West"/>
    <s v="Maharashtra"/>
    <x v="3"/>
    <x v="2"/>
    <n v="13"/>
    <x v="9"/>
    <n v="30"/>
    <n v="1198.5"/>
  </r>
  <r>
    <x v="193"/>
    <s v="North"/>
    <s v="Delhi"/>
    <x v="10"/>
    <x v="0"/>
    <n v="7"/>
    <x v="6"/>
    <n v="33"/>
    <n v="2227.0700000000002"/>
  </r>
  <r>
    <x v="275"/>
    <s v="North"/>
    <s v="Delhi"/>
    <x v="10"/>
    <x v="3"/>
    <n v="11"/>
    <x v="10"/>
    <n v="28"/>
    <n v="1418.67"/>
  </r>
  <r>
    <x v="276"/>
    <s v="North"/>
    <s v="Delhi"/>
    <x v="4"/>
    <x v="2"/>
    <n v="14"/>
    <x v="1"/>
    <n v="55"/>
    <n v="1116.79"/>
  </r>
  <r>
    <x v="201"/>
    <s v="North"/>
    <s v="Delhi"/>
    <x v="13"/>
    <x v="1"/>
    <n v="12"/>
    <x v="2"/>
    <n v="16"/>
    <n v="1304.81"/>
  </r>
  <r>
    <x v="161"/>
    <s v="West"/>
    <s v="Gujarat"/>
    <x v="9"/>
    <x v="1"/>
    <n v="6"/>
    <x v="9"/>
    <n v="44"/>
    <n v="2609.65"/>
  </r>
  <r>
    <x v="277"/>
    <s v="South"/>
    <s v="Karnataka"/>
    <x v="7"/>
    <x v="3"/>
    <n v="8"/>
    <x v="5"/>
    <n v="41"/>
    <n v="1968.58"/>
  </r>
  <r>
    <x v="203"/>
    <s v="West"/>
    <s v="Maharashtra"/>
    <x v="5"/>
    <x v="2"/>
    <n v="5"/>
    <x v="7"/>
    <n v="38"/>
    <n v="3156.9"/>
  </r>
  <r>
    <x v="278"/>
    <s v="West"/>
    <s v="Gujarat"/>
    <x v="14"/>
    <x v="0"/>
    <n v="11"/>
    <x v="10"/>
    <n v="25"/>
    <n v="1435.18"/>
  </r>
  <r>
    <x v="148"/>
    <s v="South"/>
    <s v="Tamil Nadu"/>
    <x v="6"/>
    <x v="1"/>
    <n v="13"/>
    <x v="8"/>
    <n v="55"/>
    <n v="1220.76"/>
  </r>
  <r>
    <x v="279"/>
    <s v="South"/>
    <s v="Karnataka"/>
    <x v="2"/>
    <x v="4"/>
    <n v="18"/>
    <x v="5"/>
    <n v="35"/>
    <n v="883.32"/>
  </r>
  <r>
    <x v="56"/>
    <s v="North"/>
    <s v="Delhi"/>
    <x v="10"/>
    <x v="2"/>
    <n v="5"/>
    <x v="3"/>
    <n v="21"/>
    <n v="3181.48"/>
  </r>
  <r>
    <x v="237"/>
    <s v="West"/>
    <s v="Maharashtra"/>
    <x v="3"/>
    <x v="1"/>
    <n v="12"/>
    <x v="9"/>
    <n v="23"/>
    <n v="1333.81"/>
  </r>
  <r>
    <x v="280"/>
    <s v="West"/>
    <s v="Maharashtra"/>
    <x v="3"/>
    <x v="2"/>
    <n v="4"/>
    <x v="3"/>
    <n v="51"/>
    <n v="4020.65"/>
  </r>
  <r>
    <x v="145"/>
    <s v="South"/>
    <s v="Tamil Nadu"/>
    <x v="6"/>
    <x v="4"/>
    <n v="17"/>
    <x v="9"/>
    <n v="47"/>
    <n v="947.7"/>
  </r>
  <r>
    <x v="281"/>
    <s v="North"/>
    <s v="Delhi"/>
    <x v="4"/>
    <x v="1"/>
    <n v="8"/>
    <x v="2"/>
    <n v="41"/>
    <n v="2019.04"/>
  </r>
  <r>
    <x v="63"/>
    <s v="South"/>
    <s v="Tamil Nadu"/>
    <x v="0"/>
    <x v="4"/>
    <n v="4"/>
    <x v="6"/>
    <n v="45"/>
    <n v="4058.48"/>
  </r>
  <r>
    <x v="71"/>
    <s v="West"/>
    <s v="Maharashtra"/>
    <x v="5"/>
    <x v="3"/>
    <n v="12"/>
    <x v="0"/>
    <n v="33"/>
    <n v="1352.89"/>
  </r>
  <r>
    <x v="9"/>
    <s v="South"/>
    <s v="Tamil Nadu"/>
    <x v="0"/>
    <x v="4"/>
    <n v="9"/>
    <x v="4"/>
    <n v="32"/>
    <n v="1805.32"/>
  </r>
  <r>
    <x v="73"/>
    <s v="West"/>
    <s v="Maharashtra"/>
    <x v="3"/>
    <x v="3"/>
    <n v="5"/>
    <x v="1"/>
    <n v="25"/>
    <n v="3259.3"/>
  </r>
  <r>
    <x v="255"/>
    <s v="West"/>
    <s v="Gujarat"/>
    <x v="14"/>
    <x v="4"/>
    <n v="16"/>
    <x v="6"/>
    <n v="28"/>
    <n v="1023.78"/>
  </r>
  <r>
    <x v="155"/>
    <s v="West"/>
    <s v="Gujarat"/>
    <x v="9"/>
    <x v="2"/>
    <n v="16"/>
    <x v="9"/>
    <n v="50"/>
    <n v="1025.8"/>
  </r>
  <r>
    <x v="282"/>
    <s v="South"/>
    <s v="Tamil Nadu"/>
    <x v="6"/>
    <x v="2"/>
    <n v="18"/>
    <x v="0"/>
    <n v="23"/>
    <n v="913.13"/>
  </r>
  <r>
    <x v="215"/>
    <s v="West"/>
    <s v="Maharashtra"/>
    <x v="5"/>
    <x v="2"/>
    <n v="5"/>
    <x v="10"/>
    <n v="19"/>
    <n v="3288.58"/>
  </r>
  <r>
    <x v="271"/>
    <s v="West"/>
    <s v="Gujarat"/>
    <x v="14"/>
    <x v="3"/>
    <n v="15"/>
    <x v="3"/>
    <n v="55"/>
    <n v="1098.31"/>
  </r>
  <r>
    <x v="216"/>
    <s v="North"/>
    <s v="Delhi"/>
    <x v="4"/>
    <x v="4"/>
    <n v="12"/>
    <x v="4"/>
    <n v="16"/>
    <n v="1377.41"/>
  </r>
  <r>
    <x v="283"/>
    <s v="North"/>
    <s v="Delhi"/>
    <x v="4"/>
    <x v="4"/>
    <n v="12"/>
    <x v="4"/>
    <n v="16"/>
    <n v="1377.41"/>
  </r>
  <r>
    <x v="284"/>
    <s v="North"/>
    <s v="Delhi"/>
    <x v="13"/>
    <x v="2"/>
    <n v="6"/>
    <x v="7"/>
    <n v="26"/>
    <n v="2772.51"/>
  </r>
  <r>
    <x v="285"/>
    <s v="West"/>
    <s v="Maharashtra"/>
    <x v="3"/>
    <x v="2"/>
    <n v="7"/>
    <x v="4"/>
    <n v="39"/>
    <n v="2384.5100000000002"/>
  </r>
  <r>
    <x v="215"/>
    <s v="West"/>
    <s v="Maharashtra"/>
    <x v="5"/>
    <x v="1"/>
    <n v="15"/>
    <x v="9"/>
    <n v="49"/>
    <n v="1113.76"/>
  </r>
  <r>
    <x v="42"/>
    <s v="West"/>
    <s v="Maharashtra"/>
    <x v="3"/>
    <x v="0"/>
    <n v="5"/>
    <x v="9"/>
    <n v="37"/>
    <n v="3342.48"/>
  </r>
  <r>
    <x v="284"/>
    <s v="South"/>
    <s v="Karnataka"/>
    <x v="7"/>
    <x v="3"/>
    <n v="8"/>
    <x v="0"/>
    <n v="46"/>
    <n v="2112.66"/>
  </r>
  <r>
    <x v="286"/>
    <s v="West"/>
    <s v="Maharashtra"/>
    <x v="3"/>
    <x v="4"/>
    <n v="4"/>
    <x v="1"/>
    <n v="28"/>
    <n v="4245.67"/>
  </r>
  <r>
    <x v="226"/>
    <s v="West"/>
    <s v="Gujarat"/>
    <x v="1"/>
    <x v="1"/>
    <n v="14"/>
    <x v="2"/>
    <n v="18"/>
    <n v="1215.6199999999999"/>
  </r>
  <r>
    <x v="286"/>
    <s v="North"/>
    <s v="Delhi"/>
    <x v="4"/>
    <x v="4"/>
    <n v="5"/>
    <x v="6"/>
    <n v="47"/>
    <n v="3404.87"/>
  </r>
  <r>
    <x v="136"/>
    <s v="West"/>
    <s v="Gujarat"/>
    <x v="9"/>
    <x v="0"/>
    <n v="4"/>
    <x v="8"/>
    <n v="50"/>
    <n v="4317.2"/>
  </r>
  <r>
    <x v="101"/>
    <s v="South"/>
    <s v="Karnataka"/>
    <x v="7"/>
    <x v="3"/>
    <n v="4"/>
    <x v="4"/>
    <n v="51"/>
    <n v="4337.09"/>
  </r>
  <r>
    <x v="74"/>
    <s v="West"/>
    <s v="Maharashtra"/>
    <x v="11"/>
    <x v="4"/>
    <n v="4"/>
    <x v="5"/>
    <n v="32"/>
    <n v="4368.46"/>
  </r>
  <r>
    <x v="287"/>
    <s v="West"/>
    <s v="Maharashtra"/>
    <x v="5"/>
    <x v="3"/>
    <n v="4"/>
    <x v="9"/>
    <n v="18"/>
    <n v="4386.54"/>
  </r>
  <r>
    <x v="269"/>
    <s v="South"/>
    <s v="Tamil Nadu"/>
    <x v="8"/>
    <x v="3"/>
    <n v="14"/>
    <x v="9"/>
    <n v="50"/>
    <n v="1273.8399999999999"/>
  </r>
  <r>
    <x v="288"/>
    <s v="South"/>
    <s v="Tamil Nadu"/>
    <x v="8"/>
    <x v="4"/>
    <n v="7"/>
    <x v="2"/>
    <n v="37"/>
    <n v="2557.77"/>
  </r>
  <r>
    <x v="177"/>
    <s v="South"/>
    <s v="Karnataka"/>
    <x v="12"/>
    <x v="0"/>
    <n v="7"/>
    <x v="1"/>
    <n v="44"/>
    <n v="2560.5"/>
  </r>
  <r>
    <x v="236"/>
    <s v="West"/>
    <s v="Gujarat"/>
    <x v="14"/>
    <x v="1"/>
    <n v="5"/>
    <x v="5"/>
    <n v="55"/>
    <n v="3619.58"/>
  </r>
  <r>
    <x v="29"/>
    <s v="South"/>
    <s v="Tamil Nadu"/>
    <x v="0"/>
    <x v="1"/>
    <n v="14"/>
    <x v="6"/>
    <n v="16"/>
    <n v="1293.27"/>
  </r>
  <r>
    <x v="289"/>
    <s v="West"/>
    <s v="Gujarat"/>
    <x v="9"/>
    <x v="3"/>
    <n v="5"/>
    <x v="1"/>
    <n v="25"/>
    <n v="3631.01"/>
  </r>
  <r>
    <x v="56"/>
    <s v="South"/>
    <s v="Karnataka"/>
    <x v="2"/>
    <x v="3"/>
    <n v="17"/>
    <x v="0"/>
    <n v="49"/>
    <n v="1071.3"/>
  </r>
  <r>
    <x v="138"/>
    <s v="West"/>
    <s v="Gujarat"/>
    <x v="9"/>
    <x v="4"/>
    <n v="6"/>
    <x v="2"/>
    <n v="55"/>
    <n v="3051.1"/>
  </r>
  <r>
    <x v="121"/>
    <s v="South"/>
    <s v="Karnataka"/>
    <x v="12"/>
    <x v="3"/>
    <n v="5"/>
    <x v="6"/>
    <n v="16"/>
    <n v="3701.17"/>
  </r>
  <r>
    <x v="260"/>
    <s v="West"/>
    <s v="Maharashtra"/>
    <x v="3"/>
    <x v="2"/>
    <n v="5"/>
    <x v="4"/>
    <n v="40"/>
    <n v="3732.82"/>
  </r>
  <r>
    <x v="290"/>
    <s v="West"/>
    <s v="Maharashtra"/>
    <x v="3"/>
    <x v="2"/>
    <n v="5"/>
    <x v="4"/>
    <n v="40"/>
    <n v="3732.82"/>
  </r>
  <r>
    <x v="291"/>
    <s v="South"/>
    <s v="Karnataka"/>
    <x v="7"/>
    <x v="0"/>
    <n v="6"/>
    <x v="9"/>
    <n v="19"/>
    <n v="3116.12"/>
  </r>
  <r>
    <x v="292"/>
    <s v="South"/>
    <s v="Tamil Nadu"/>
    <x v="6"/>
    <x v="2"/>
    <n v="11"/>
    <x v="4"/>
    <n v="42"/>
    <n v="1703.12"/>
  </r>
  <r>
    <x v="293"/>
    <s v="South"/>
    <s v="Karnataka"/>
    <x v="7"/>
    <x v="0"/>
    <n v="8"/>
    <x v="6"/>
    <n v="23"/>
    <n v="2342.02"/>
  </r>
  <r>
    <x v="294"/>
    <s v="South"/>
    <s v="Karnataka"/>
    <x v="7"/>
    <x v="0"/>
    <n v="8"/>
    <x v="0"/>
    <n v="23"/>
    <n v="2342.02"/>
  </r>
  <r>
    <x v="45"/>
    <s v="North"/>
    <s v="Delhi"/>
    <x v="10"/>
    <x v="2"/>
    <n v="6"/>
    <x v="8"/>
    <n v="26"/>
    <n v="3125.31"/>
  </r>
  <r>
    <x v="170"/>
    <s v="West"/>
    <s v="Gujarat"/>
    <x v="9"/>
    <x v="2"/>
    <n v="4"/>
    <x v="1"/>
    <n v="17"/>
    <n v="4697.07"/>
  </r>
  <r>
    <x v="254"/>
    <s v="West"/>
    <s v="Maharashtra"/>
    <x v="5"/>
    <x v="1"/>
    <n v="11"/>
    <x v="10"/>
    <n v="53"/>
    <n v="1708.99"/>
  </r>
  <r>
    <x v="191"/>
    <s v="West"/>
    <s v="Gujarat"/>
    <x v="14"/>
    <x v="0"/>
    <n v="5"/>
    <x v="4"/>
    <n v="29"/>
    <n v="3770.46"/>
  </r>
  <r>
    <x v="60"/>
    <s v="South"/>
    <s v="Karnataka"/>
    <x v="12"/>
    <x v="0"/>
    <n v="15"/>
    <x v="0"/>
    <n v="21"/>
    <n v="1259.1600000000001"/>
  </r>
  <r>
    <x v="254"/>
    <s v="South"/>
    <s v="Tamil Nadu"/>
    <x v="8"/>
    <x v="2"/>
    <n v="5"/>
    <x v="0"/>
    <n v="28"/>
    <n v="3786.28"/>
  </r>
  <r>
    <x v="295"/>
    <s v="South"/>
    <s v="Tamil Nadu"/>
    <x v="6"/>
    <x v="4"/>
    <n v="7"/>
    <x v="2"/>
    <n v="50"/>
    <n v="2706.33"/>
  </r>
  <r>
    <x v="236"/>
    <s v="North"/>
    <s v="Delhi"/>
    <x v="13"/>
    <x v="2"/>
    <n v="6"/>
    <x v="10"/>
    <n v="36"/>
    <n v="3175.44"/>
  </r>
  <r>
    <x v="139"/>
    <s v="South"/>
    <s v="Tamil Nadu"/>
    <x v="6"/>
    <x v="4"/>
    <n v="13"/>
    <x v="3"/>
    <n v="39"/>
    <n v="1466.66"/>
  </r>
  <r>
    <x v="296"/>
    <s v="North"/>
    <s v="Delhi"/>
    <x v="4"/>
    <x v="1"/>
    <n v="16"/>
    <x v="3"/>
    <n v="54"/>
    <n v="1192.3800000000001"/>
  </r>
  <r>
    <x v="110"/>
    <s v="South"/>
    <s v="Tamil Nadu"/>
    <x v="8"/>
    <x v="1"/>
    <n v="4"/>
    <x v="5"/>
    <n v="24"/>
    <n v="4782.74"/>
  </r>
  <r>
    <x v="135"/>
    <s v="South"/>
    <s v="Tamil Nadu"/>
    <x v="0"/>
    <x v="0"/>
    <n v="12"/>
    <x v="6"/>
    <n v="31"/>
    <n v="1608.11"/>
  </r>
  <r>
    <x v="66"/>
    <s v="West"/>
    <s v="Gujarat"/>
    <x v="9"/>
    <x v="2"/>
    <n v="5"/>
    <x v="6"/>
    <n v="25"/>
    <n v="3860.73"/>
  </r>
  <r>
    <x v="297"/>
    <s v="West"/>
    <s v="Gujarat"/>
    <x v="9"/>
    <x v="2"/>
    <n v="5"/>
    <x v="0"/>
    <n v="25"/>
    <n v="3860.73"/>
  </r>
  <r>
    <x v="38"/>
    <s v="South"/>
    <s v="Karnataka"/>
    <x v="12"/>
    <x v="0"/>
    <n v="18"/>
    <x v="8"/>
    <n v="28"/>
    <n v="1073"/>
  </r>
  <r>
    <x v="298"/>
    <s v="South"/>
    <s v="Karnataka"/>
    <x v="2"/>
    <x v="0"/>
    <n v="5"/>
    <x v="9"/>
    <n v="32"/>
    <n v="3898.88"/>
  </r>
  <r>
    <x v="189"/>
    <s v="North"/>
    <s v="Delhi"/>
    <x v="10"/>
    <x v="4"/>
    <n v="5"/>
    <x v="2"/>
    <n v="50"/>
    <n v="3900.9"/>
  </r>
  <r>
    <x v="185"/>
    <s v="South"/>
    <s v="Tamil Nadu"/>
    <x v="8"/>
    <x v="0"/>
    <n v="4"/>
    <x v="10"/>
    <n v="31"/>
    <n v="4878.16"/>
  </r>
  <r>
    <x v="299"/>
    <s v="West"/>
    <s v="Maharashtra"/>
    <x v="5"/>
    <x v="2"/>
    <n v="5"/>
    <x v="0"/>
    <n v="26"/>
    <n v="3926.26"/>
  </r>
  <r>
    <x v="135"/>
    <s v="South"/>
    <s v="Karnataka"/>
    <x v="7"/>
    <x v="3"/>
    <n v="6"/>
    <x v="7"/>
    <n v="52"/>
    <n v="3277.95"/>
  </r>
  <r>
    <x v="300"/>
    <s v="West"/>
    <s v="Maharashtra"/>
    <x v="3"/>
    <x v="2"/>
    <n v="6"/>
    <x v="8"/>
    <n v="36"/>
    <n v="3279.45"/>
  </r>
  <r>
    <x v="301"/>
    <s v="West"/>
    <s v="Gujarat"/>
    <x v="14"/>
    <x v="1"/>
    <n v="11"/>
    <x v="10"/>
    <n v="19"/>
    <n v="1798.54"/>
  </r>
  <r>
    <x v="302"/>
    <s v="West"/>
    <s v="Gujarat"/>
    <x v="9"/>
    <x v="0"/>
    <n v="10"/>
    <x v="5"/>
    <n v="30"/>
    <n v="1979.32"/>
  </r>
  <r>
    <x v="303"/>
    <s v="South"/>
    <s v="Tamil Nadu"/>
    <x v="8"/>
    <x v="2"/>
    <n v="4"/>
    <x v="5"/>
    <n v="38"/>
    <n v="4961.01"/>
  </r>
  <r>
    <x v="295"/>
    <s v="North"/>
    <s v="Delhi"/>
    <x v="10"/>
    <x v="1"/>
    <n v="12"/>
    <x v="9"/>
    <n v="39"/>
    <n v="1673.01"/>
  </r>
  <r>
    <x v="304"/>
    <s v="West"/>
    <s v="Gujarat"/>
    <x v="14"/>
    <x v="1"/>
    <n v="6"/>
    <x v="10"/>
    <n v="25"/>
    <n v="3350.51"/>
  </r>
  <r>
    <x v="296"/>
    <s v="West"/>
    <s v="Maharashtra"/>
    <x v="3"/>
    <x v="3"/>
    <n v="5"/>
    <x v="8"/>
    <n v="45"/>
    <n v="4035.07"/>
  </r>
  <r>
    <x v="201"/>
    <s v="West"/>
    <s v="Maharashtra"/>
    <x v="5"/>
    <x v="3"/>
    <n v="6"/>
    <x v="10"/>
    <n v="29"/>
    <n v="3363.77"/>
  </r>
  <r>
    <x v="48"/>
    <s v="North"/>
    <s v="Delhi"/>
    <x v="13"/>
    <x v="3"/>
    <n v="10"/>
    <x v="9"/>
    <n v="35"/>
    <n v="2027.97"/>
  </r>
  <r>
    <x v="286"/>
    <s v="West"/>
    <s v="Gujarat"/>
    <x v="14"/>
    <x v="0"/>
    <n v="19"/>
    <x v="8"/>
    <n v="20"/>
    <n v="1067.6199999999999"/>
  </r>
  <r>
    <x v="266"/>
    <s v="South"/>
    <s v="Karnataka"/>
    <x v="12"/>
    <x v="1"/>
    <n v="17"/>
    <x v="3"/>
    <n v="32"/>
    <n v="1194.33"/>
  </r>
  <r>
    <x v="287"/>
    <s v="South"/>
    <s v="Karnataka"/>
    <x v="7"/>
    <x v="4"/>
    <n v="18"/>
    <x v="9"/>
    <n v="50"/>
    <n v="1132.04"/>
  </r>
  <r>
    <x v="269"/>
    <s v="West"/>
    <s v="Maharashtra"/>
    <x v="11"/>
    <x v="3"/>
    <n v="9"/>
    <x v="2"/>
    <n v="25"/>
    <n v="2267.7199999999998"/>
  </r>
  <r>
    <x v="305"/>
    <s v="South"/>
    <s v="Tamil Nadu"/>
    <x v="0"/>
    <x v="3"/>
    <n v="18"/>
    <x v="0"/>
    <n v="52"/>
    <n v="1134.8800000000001"/>
  </r>
  <r>
    <x v="156"/>
    <s v="West"/>
    <s v="Gujarat"/>
    <x v="1"/>
    <x v="4"/>
    <n v="18"/>
    <x v="4"/>
    <n v="54"/>
    <n v="1137.05"/>
  </r>
  <r>
    <x v="306"/>
    <s v="South"/>
    <s v="Karnataka"/>
    <x v="12"/>
    <x v="3"/>
    <n v="6"/>
    <x v="1"/>
    <n v="53"/>
    <n v="3439.83"/>
  </r>
  <r>
    <x v="177"/>
    <s v="West"/>
    <s v="Gujarat"/>
    <x v="14"/>
    <x v="0"/>
    <n v="17"/>
    <x v="8"/>
    <n v="17"/>
    <n v="1217.48"/>
  </r>
  <r>
    <x v="158"/>
    <s v="South"/>
    <s v="Karnataka"/>
    <x v="2"/>
    <x v="0"/>
    <n v="6"/>
    <x v="10"/>
    <n v="32"/>
    <n v="3457.43"/>
  </r>
  <r>
    <x v="248"/>
    <s v="North"/>
    <s v="Delhi"/>
    <x v="13"/>
    <x v="3"/>
    <n v="19"/>
    <x v="1"/>
    <n v="20"/>
    <n v="1093.8900000000001"/>
  </r>
  <r>
    <x v="68"/>
    <s v="South"/>
    <s v="Karnataka"/>
    <x v="2"/>
    <x v="0"/>
    <n v="6"/>
    <x v="1"/>
    <n v="40"/>
    <n v="3466.7"/>
  </r>
  <r>
    <x v="262"/>
    <s v="South"/>
    <s v="Karnataka"/>
    <x v="12"/>
    <x v="3"/>
    <n v="18"/>
    <x v="1"/>
    <n v="38"/>
    <n v="1156.17"/>
  </r>
  <r>
    <x v="149"/>
    <s v="South"/>
    <s v="Tamil Nadu"/>
    <x v="6"/>
    <x v="3"/>
    <n v="14"/>
    <x v="7"/>
    <n v="40"/>
    <n v="1487.12"/>
  </r>
  <r>
    <x v="275"/>
    <s v="North"/>
    <s v="Delhi"/>
    <x v="10"/>
    <x v="1"/>
    <n v="5"/>
    <x v="10"/>
    <n v="33"/>
    <n v="4165.41"/>
  </r>
  <r>
    <x v="307"/>
    <s v="North"/>
    <s v="Delhi"/>
    <x v="4"/>
    <x v="1"/>
    <n v="8"/>
    <x v="9"/>
    <n v="22"/>
    <n v="2606.36"/>
  </r>
  <r>
    <x v="277"/>
    <s v="West"/>
    <s v="Gujarat"/>
    <x v="9"/>
    <x v="2"/>
    <n v="5"/>
    <x v="2"/>
    <n v="16"/>
    <n v="4182.07"/>
  </r>
  <r>
    <x v="308"/>
    <s v="West"/>
    <s v="Gujarat"/>
    <x v="1"/>
    <x v="2"/>
    <n v="18"/>
    <x v="3"/>
    <n v="48"/>
    <n v="1164.29"/>
  </r>
  <r>
    <x v="309"/>
    <s v="South"/>
    <s v="Karnataka"/>
    <x v="12"/>
    <x v="4"/>
    <n v="11"/>
    <x v="5"/>
    <n v="47"/>
    <n v="1905.7"/>
  </r>
  <r>
    <x v="189"/>
    <s v="South"/>
    <s v="Karnataka"/>
    <x v="2"/>
    <x v="0"/>
    <n v="12"/>
    <x v="9"/>
    <n v="30"/>
    <n v="1748.6"/>
  </r>
  <r>
    <x v="140"/>
    <s v="West"/>
    <s v="Maharashtra"/>
    <x v="11"/>
    <x v="4"/>
    <n v="5"/>
    <x v="7"/>
    <n v="29"/>
    <n v="4198.97"/>
  </r>
  <r>
    <x v="310"/>
    <s v="North"/>
    <s v="Delhi"/>
    <x v="10"/>
    <x v="2"/>
    <n v="8"/>
    <x v="7"/>
    <n v="45"/>
    <n v="2628.31"/>
  </r>
  <r>
    <x v="311"/>
    <s v="South"/>
    <s v="Tamil Nadu"/>
    <x v="8"/>
    <x v="4"/>
    <n v="14"/>
    <x v="5"/>
    <n v="38"/>
    <n v="1507.19"/>
  </r>
  <r>
    <x v="245"/>
    <s v="West"/>
    <s v="Maharashtra"/>
    <x v="11"/>
    <x v="1"/>
    <n v="18"/>
    <x v="2"/>
    <n v="23"/>
    <n v="1177.8"/>
  </r>
  <r>
    <x v="312"/>
    <s v="South"/>
    <s v="Karnataka"/>
    <x v="2"/>
    <x v="4"/>
    <n v="7"/>
    <x v="6"/>
    <n v="24"/>
    <n v="3052.99"/>
  </r>
  <r>
    <x v="313"/>
    <s v="West"/>
    <s v="Maharashtra"/>
    <x v="5"/>
    <x v="3"/>
    <n v="9"/>
    <x v="9"/>
    <n v="53"/>
    <n v="2376.12"/>
  </r>
  <r>
    <x v="314"/>
    <s v="South"/>
    <s v="Tamil Nadu"/>
    <x v="8"/>
    <x v="2"/>
    <n v="5"/>
    <x v="2"/>
    <n v="38"/>
    <n v="4281.1499999999996"/>
  </r>
  <r>
    <x v="315"/>
    <s v="South"/>
    <s v="Tamil Nadu"/>
    <x v="8"/>
    <x v="1"/>
    <n v="13"/>
    <x v="0"/>
    <n v="40"/>
    <n v="1647.87"/>
  </r>
  <r>
    <x v="46"/>
    <s v="North"/>
    <s v="Delhi"/>
    <x v="4"/>
    <x v="2"/>
    <n v="7"/>
    <x v="6"/>
    <n v="28"/>
    <n v="3063.53"/>
  </r>
  <r>
    <x v="316"/>
    <s v="South"/>
    <s v="Karnataka"/>
    <x v="2"/>
    <x v="2"/>
    <n v="7"/>
    <x v="7"/>
    <n v="16"/>
    <n v="3070.09"/>
  </r>
  <r>
    <x v="258"/>
    <s v="South"/>
    <s v="Karnataka"/>
    <x v="7"/>
    <x v="3"/>
    <n v="5"/>
    <x v="7"/>
    <n v="16"/>
    <n v="4300.7"/>
  </r>
  <r>
    <x v="76"/>
    <s v="South"/>
    <s v="Tamil Nadu"/>
    <x v="6"/>
    <x v="1"/>
    <n v="9"/>
    <x v="6"/>
    <n v="40"/>
    <n v="2427.88"/>
  </r>
  <r>
    <x v="317"/>
    <s v="West"/>
    <s v="Maharashtra"/>
    <x v="3"/>
    <x v="4"/>
    <n v="5"/>
    <x v="1"/>
    <n v="24"/>
    <n v="4386.2"/>
  </r>
  <r>
    <x v="138"/>
    <s v="South"/>
    <s v="Karnataka"/>
    <x v="12"/>
    <x v="2"/>
    <n v="9"/>
    <x v="8"/>
    <n v="52"/>
    <n v="2438.9899999999998"/>
  </r>
  <r>
    <x v="92"/>
    <s v="West"/>
    <s v="Maharashtra"/>
    <x v="5"/>
    <x v="0"/>
    <n v="20"/>
    <x v="10"/>
    <n v="45"/>
    <n v="1100.3800000000001"/>
  </r>
  <r>
    <x v="187"/>
    <s v="North"/>
    <s v="Delhi"/>
    <x v="4"/>
    <x v="4"/>
    <n v="6"/>
    <x v="9"/>
    <n v="30"/>
    <n v="3671.84"/>
  </r>
  <r>
    <x v="318"/>
    <s v="West"/>
    <s v="Maharashtra"/>
    <x v="5"/>
    <x v="3"/>
    <n v="7"/>
    <x v="5"/>
    <n v="33"/>
    <n v="3163.37"/>
  </r>
  <r>
    <x v="316"/>
    <s v="West"/>
    <s v="Maharashtra"/>
    <x v="5"/>
    <x v="3"/>
    <n v="7"/>
    <x v="10"/>
    <n v="33"/>
    <n v="3163.37"/>
  </r>
  <r>
    <x v="90"/>
    <s v="West"/>
    <s v="Maharashtra"/>
    <x v="11"/>
    <x v="2"/>
    <n v="17"/>
    <x v="5"/>
    <n v="19"/>
    <n v="1307.24"/>
  </r>
  <r>
    <x v="133"/>
    <s v="North"/>
    <s v="Delhi"/>
    <x v="4"/>
    <x v="4"/>
    <n v="14"/>
    <x v="4"/>
    <n v="26"/>
    <n v="1598.93"/>
  </r>
  <r>
    <x v="170"/>
    <s v="South"/>
    <s v="Tamil Nadu"/>
    <x v="0"/>
    <x v="0"/>
    <n v="5"/>
    <x v="6"/>
    <n v="34"/>
    <n v="4499.88"/>
  </r>
  <r>
    <x v="20"/>
    <s v="West"/>
    <s v="Maharashtra"/>
    <x v="11"/>
    <x v="4"/>
    <n v="17"/>
    <x v="9"/>
    <n v="47"/>
    <n v="1333.71"/>
  </r>
  <r>
    <x v="319"/>
    <s v="West"/>
    <s v="Maharashtra"/>
    <x v="11"/>
    <x v="4"/>
    <n v="17"/>
    <x v="9"/>
    <n v="47"/>
    <n v="1333.71"/>
  </r>
  <r>
    <x v="308"/>
    <s v="West"/>
    <s v="Gujarat"/>
    <x v="1"/>
    <x v="0"/>
    <n v="19"/>
    <x v="1"/>
    <n v="44"/>
    <n v="1199.24"/>
  </r>
  <r>
    <x v="320"/>
    <s v="West"/>
    <s v="Gujarat"/>
    <x v="1"/>
    <x v="1"/>
    <n v="13"/>
    <x v="1"/>
    <n v="51"/>
    <n v="1753.48"/>
  </r>
  <r>
    <x v="21"/>
    <s v="West"/>
    <s v="Gujarat"/>
    <x v="9"/>
    <x v="0"/>
    <n v="17"/>
    <x v="10"/>
    <n v="21"/>
    <n v="1340.98"/>
  </r>
  <r>
    <x v="16"/>
    <s v="West"/>
    <s v="Gujarat"/>
    <x v="14"/>
    <x v="3"/>
    <n v="13"/>
    <x v="0"/>
    <n v="40"/>
    <n v="1767.86"/>
  </r>
  <r>
    <x v="122"/>
    <s v="South"/>
    <s v="Tamil Nadu"/>
    <x v="0"/>
    <x v="1"/>
    <n v="18"/>
    <x v="1"/>
    <n v="23"/>
    <n v="1279.4100000000001"/>
  </r>
  <r>
    <x v="291"/>
    <s v="West"/>
    <s v="Gujarat"/>
    <x v="1"/>
    <x v="4"/>
    <n v="17"/>
    <x v="0"/>
    <n v="24"/>
    <n v="1356.25"/>
  </r>
  <r>
    <x v="321"/>
    <s v="West"/>
    <s v="Maharashtra"/>
    <x v="5"/>
    <x v="2"/>
    <n v="11"/>
    <x v="10"/>
    <n v="47"/>
    <n v="2097.48"/>
  </r>
  <r>
    <x v="192"/>
    <s v="South"/>
    <s v="Tamil Nadu"/>
    <x v="0"/>
    <x v="3"/>
    <n v="5"/>
    <x v="9"/>
    <n v="25"/>
    <n v="4619.16"/>
  </r>
  <r>
    <x v="63"/>
    <s v="North"/>
    <s v="Delhi"/>
    <x v="4"/>
    <x v="1"/>
    <n v="15"/>
    <x v="0"/>
    <n v="39"/>
    <n v="1543.85"/>
  </r>
  <r>
    <x v="68"/>
    <s v="South"/>
    <s v="Karnataka"/>
    <x v="2"/>
    <x v="4"/>
    <n v="14"/>
    <x v="4"/>
    <n v="35"/>
    <n v="1658.39"/>
  </r>
  <r>
    <x v="295"/>
    <s v="South"/>
    <s v="Tamil Nadu"/>
    <x v="6"/>
    <x v="0"/>
    <n v="12"/>
    <x v="9"/>
    <n v="27"/>
    <n v="1947.14"/>
  </r>
  <r>
    <x v="184"/>
    <s v="South"/>
    <s v="Tamil Nadu"/>
    <x v="0"/>
    <x v="4"/>
    <n v="10"/>
    <x v="2"/>
    <n v="34"/>
    <n v="2349.2399999999998"/>
  </r>
  <r>
    <x v="308"/>
    <s v="West"/>
    <s v="Maharashtra"/>
    <x v="3"/>
    <x v="0"/>
    <n v="18"/>
    <x v="5"/>
    <n v="31"/>
    <n v="1306.19"/>
  </r>
  <r>
    <x v="211"/>
    <s v="West"/>
    <s v="Maharashtra"/>
    <x v="11"/>
    <x v="3"/>
    <n v="5"/>
    <x v="8"/>
    <n v="21"/>
    <n v="4716.38"/>
  </r>
  <r>
    <x v="275"/>
    <s v="North"/>
    <s v="Delhi"/>
    <x v="4"/>
    <x v="3"/>
    <n v="12"/>
    <x v="4"/>
    <n v="39"/>
    <n v="1973.14"/>
  </r>
  <r>
    <x v="322"/>
    <s v="South"/>
    <s v="Tamil Nadu"/>
    <x v="6"/>
    <x v="3"/>
    <n v="16"/>
    <x v="4"/>
    <n v="54"/>
    <n v="1480.7"/>
  </r>
  <r>
    <x v="119"/>
    <s v="West"/>
    <s v="Maharashtra"/>
    <x v="3"/>
    <x v="0"/>
    <n v="14"/>
    <x v="3"/>
    <n v="38"/>
    <n v="1694.59"/>
  </r>
  <r>
    <x v="120"/>
    <s v="South"/>
    <s v="Karnataka"/>
    <x v="2"/>
    <x v="4"/>
    <n v="7"/>
    <x v="5"/>
    <n v="20"/>
    <n v="3402.48"/>
  </r>
  <r>
    <x v="27"/>
    <s v="North"/>
    <s v="Delhi"/>
    <x v="13"/>
    <x v="2"/>
    <n v="7"/>
    <x v="1"/>
    <n v="24"/>
    <n v="3415.15"/>
  </r>
  <r>
    <x v="4"/>
    <s v="West"/>
    <s v="Maharashtra"/>
    <x v="11"/>
    <x v="0"/>
    <n v="9"/>
    <x v="10"/>
    <n v="24"/>
    <n v="2660.79"/>
  </r>
  <r>
    <x v="228"/>
    <s v="West"/>
    <s v="Gujarat"/>
    <x v="14"/>
    <x v="3"/>
    <n v="14"/>
    <x v="2"/>
    <n v="24"/>
    <n v="1720"/>
  </r>
  <r>
    <x v="238"/>
    <s v="West"/>
    <s v="Gujarat"/>
    <x v="1"/>
    <x v="3"/>
    <n v="9"/>
    <x v="6"/>
    <n v="35"/>
    <n v="2677.7"/>
  </r>
  <r>
    <x v="2"/>
    <s v="West"/>
    <s v="Gujarat"/>
    <x v="1"/>
    <x v="0"/>
    <n v="16"/>
    <x v="6"/>
    <n v="49"/>
    <n v="1514.31"/>
  </r>
  <r>
    <x v="313"/>
    <s v="West"/>
    <s v="Gujarat"/>
    <x v="9"/>
    <x v="0"/>
    <n v="6"/>
    <x v="9"/>
    <n v="52"/>
    <n v="4042.16"/>
  </r>
  <r>
    <x v="260"/>
    <s v="West"/>
    <s v="Maharashtra"/>
    <x v="5"/>
    <x v="2"/>
    <n v="20"/>
    <x v="7"/>
    <n v="19"/>
    <n v="1222.92"/>
  </r>
  <r>
    <x v="237"/>
    <s v="North"/>
    <s v="Delhi"/>
    <x v="4"/>
    <x v="2"/>
    <n v="6"/>
    <x v="3"/>
    <n v="26"/>
    <n v="4100.9799999999996"/>
  </r>
  <r>
    <x v="3"/>
    <s v="West"/>
    <s v="Maharashtra"/>
    <x v="3"/>
    <x v="1"/>
    <n v="17"/>
    <x v="5"/>
    <n v="38"/>
    <n v="1457.07"/>
  </r>
  <r>
    <x v="263"/>
    <s v="West"/>
    <s v="Gujarat"/>
    <x v="1"/>
    <x v="4"/>
    <n v="18"/>
    <x v="10"/>
    <n v="30"/>
    <n v="1376.52"/>
  </r>
  <r>
    <x v="194"/>
    <s v="South"/>
    <s v="Tamil Nadu"/>
    <x v="8"/>
    <x v="2"/>
    <n v="14"/>
    <x v="6"/>
    <n v="29"/>
    <n v="1770.36"/>
  </r>
  <r>
    <x v="323"/>
    <s v="South"/>
    <s v="Tamil Nadu"/>
    <x v="6"/>
    <x v="2"/>
    <n v="19"/>
    <x v="1"/>
    <n v="31"/>
    <n v="1309.6500000000001"/>
  </r>
  <r>
    <x v="173"/>
    <s v="South"/>
    <s v="Karnataka"/>
    <x v="2"/>
    <x v="2"/>
    <n v="9"/>
    <x v="5"/>
    <n v="48"/>
    <n v="2770.27"/>
  </r>
  <r>
    <x v="324"/>
    <s v="West"/>
    <s v="Maharashtra"/>
    <x v="5"/>
    <x v="3"/>
    <n v="5"/>
    <x v="5"/>
    <n v="21"/>
    <n v="4987.7"/>
  </r>
  <r>
    <x v="325"/>
    <s v="West"/>
    <s v="Maharashtra"/>
    <x v="5"/>
    <x v="3"/>
    <n v="5"/>
    <x v="4"/>
    <n v="21"/>
    <n v="4987.7"/>
  </r>
  <r>
    <x v="326"/>
    <s v="South"/>
    <s v="Tamil Nadu"/>
    <x v="8"/>
    <x v="3"/>
    <n v="5"/>
    <x v="8"/>
    <n v="51"/>
    <n v="4987.84"/>
  </r>
  <r>
    <x v="20"/>
    <s v="South"/>
    <s v="Karnataka"/>
    <x v="12"/>
    <x v="2"/>
    <n v="8"/>
    <x v="9"/>
    <n v="55"/>
    <n v="3120.6"/>
  </r>
  <r>
    <x v="54"/>
    <s v="North"/>
    <s v="Delhi"/>
    <x v="4"/>
    <x v="2"/>
    <n v="5"/>
    <x v="10"/>
    <n v="50"/>
    <n v="4993.87"/>
  </r>
  <r>
    <x v="228"/>
    <s v="South"/>
    <s v="Karnataka"/>
    <x v="2"/>
    <x v="2"/>
    <n v="13"/>
    <x v="7"/>
    <n v="31"/>
    <n v="1929.55"/>
  </r>
  <r>
    <x v="327"/>
    <s v="West"/>
    <s v="Maharashtra"/>
    <x v="3"/>
    <x v="1"/>
    <n v="20"/>
    <x v="2"/>
    <n v="43"/>
    <n v="1260.25"/>
  </r>
  <r>
    <x v="328"/>
    <s v="West"/>
    <s v="Maharashtra"/>
    <x v="11"/>
    <x v="0"/>
    <n v="16"/>
    <x v="8"/>
    <n v="28"/>
    <n v="1575.89"/>
  </r>
  <r>
    <x v="185"/>
    <s v="North"/>
    <s v="Delhi"/>
    <x v="4"/>
    <x v="0"/>
    <n v="6"/>
    <x v="10"/>
    <n v="36"/>
    <n v="4219.6099999999997"/>
  </r>
  <r>
    <x v="255"/>
    <s v="South"/>
    <s v="Karnataka"/>
    <x v="7"/>
    <x v="0"/>
    <n v="10"/>
    <x v="10"/>
    <n v="21"/>
    <n v="2539.6799999999998"/>
  </r>
  <r>
    <x v="329"/>
    <s v="North"/>
    <s v="Delhi"/>
    <x v="4"/>
    <x v="3"/>
    <n v="13"/>
    <x v="9"/>
    <n v="22"/>
    <n v="1965.63"/>
  </r>
  <r>
    <x v="330"/>
    <s v="North"/>
    <s v="Delhi"/>
    <x v="4"/>
    <x v="3"/>
    <n v="13"/>
    <x v="9"/>
    <n v="22"/>
    <n v="1965.63"/>
  </r>
  <r>
    <x v="243"/>
    <s v="West"/>
    <s v="Gujarat"/>
    <x v="14"/>
    <x v="1"/>
    <n v="6"/>
    <x v="6"/>
    <n v="23"/>
    <n v="4265.8599999999997"/>
  </r>
  <r>
    <x v="164"/>
    <s v="South"/>
    <s v="Karnataka"/>
    <x v="2"/>
    <x v="2"/>
    <n v="15"/>
    <x v="10"/>
    <n v="33"/>
    <n v="1712.05"/>
  </r>
  <r>
    <x v="265"/>
    <s v="South"/>
    <s v="Karnataka"/>
    <x v="12"/>
    <x v="0"/>
    <n v="13"/>
    <x v="9"/>
    <n v="30"/>
    <n v="1976.63"/>
  </r>
  <r>
    <x v="102"/>
    <s v="North"/>
    <s v="Delhi"/>
    <x v="10"/>
    <x v="4"/>
    <n v="17"/>
    <x v="8"/>
    <n v="23"/>
    <n v="1538.4"/>
  </r>
  <r>
    <x v="248"/>
    <s v="North"/>
    <s v="Delhi"/>
    <x v="13"/>
    <x v="0"/>
    <n v="6"/>
    <x v="9"/>
    <n v="34"/>
    <n v="4364.67"/>
  </r>
  <r>
    <x v="331"/>
    <s v="South"/>
    <s v="Karnataka"/>
    <x v="2"/>
    <x v="4"/>
    <n v="20"/>
    <x v="6"/>
    <n v="30"/>
    <n v="1310.3699999999999"/>
  </r>
  <r>
    <x v="22"/>
    <s v="West"/>
    <s v="Gujarat"/>
    <x v="9"/>
    <x v="3"/>
    <n v="12"/>
    <x v="10"/>
    <n v="22"/>
    <n v="2208.4899999999998"/>
  </r>
  <r>
    <x v="332"/>
    <s v="South"/>
    <s v="Karnataka"/>
    <x v="12"/>
    <x v="4"/>
    <n v="19"/>
    <x v="9"/>
    <n v="18"/>
    <n v="1398.49"/>
  </r>
  <r>
    <x v="311"/>
    <s v="South"/>
    <s v="Tamil Nadu"/>
    <x v="8"/>
    <x v="3"/>
    <n v="11"/>
    <x v="1"/>
    <n v="23"/>
    <n v="2426.48"/>
  </r>
  <r>
    <x v="264"/>
    <s v="West"/>
    <s v="Gujarat"/>
    <x v="9"/>
    <x v="2"/>
    <n v="12"/>
    <x v="10"/>
    <n v="38"/>
    <n v="2232.4899999999998"/>
  </r>
  <r>
    <x v="333"/>
    <s v="West"/>
    <s v="Maharashtra"/>
    <x v="3"/>
    <x v="1"/>
    <n v="15"/>
    <x v="0"/>
    <n v="34"/>
    <n v="1790.03"/>
  </r>
  <r>
    <x v="119"/>
    <s v="North"/>
    <s v="Delhi"/>
    <x v="4"/>
    <x v="3"/>
    <n v="19"/>
    <x v="8"/>
    <n v="26"/>
    <n v="1414.78"/>
  </r>
  <r>
    <x v="188"/>
    <s v="West"/>
    <s v="Maharashtra"/>
    <x v="5"/>
    <x v="0"/>
    <n v="10"/>
    <x v="2"/>
    <n v="43"/>
    <n v="2691.21"/>
  </r>
  <r>
    <x v="303"/>
    <s v="West"/>
    <s v="Maharashtra"/>
    <x v="3"/>
    <x v="0"/>
    <n v="8"/>
    <x v="0"/>
    <n v="35"/>
    <n v="3372.86"/>
  </r>
  <r>
    <x v="162"/>
    <s v="West"/>
    <s v="Gujarat"/>
    <x v="14"/>
    <x v="4"/>
    <n v="20"/>
    <x v="8"/>
    <n v="50"/>
    <n v="1353.54"/>
  </r>
  <r>
    <x v="109"/>
    <s v="West"/>
    <s v="Gujarat"/>
    <x v="9"/>
    <x v="1"/>
    <n v="6"/>
    <x v="4"/>
    <n v="26"/>
    <n v="4541.92"/>
  </r>
  <r>
    <x v="334"/>
    <s v="South"/>
    <s v="Tamil Nadu"/>
    <x v="6"/>
    <x v="1"/>
    <n v="11"/>
    <x v="5"/>
    <n v="28"/>
    <n v="2491.8000000000002"/>
  </r>
  <r>
    <x v="164"/>
    <s v="West"/>
    <s v="Maharashtra"/>
    <x v="11"/>
    <x v="2"/>
    <n v="7"/>
    <x v="8"/>
    <n v="23"/>
    <n v="3931.73"/>
  </r>
  <r>
    <x v="210"/>
    <s v="West"/>
    <s v="Maharashtra"/>
    <x v="5"/>
    <x v="2"/>
    <n v="18"/>
    <x v="3"/>
    <n v="31"/>
    <n v="1533.77"/>
  </r>
  <r>
    <x v="44"/>
    <s v="South"/>
    <s v="Tamil Nadu"/>
    <x v="6"/>
    <x v="3"/>
    <n v="14"/>
    <x v="10"/>
    <n v="54"/>
    <n v="1972.22"/>
  </r>
  <r>
    <x v="335"/>
    <s v="West"/>
    <s v="Gujarat"/>
    <x v="14"/>
    <x v="4"/>
    <n v="11"/>
    <x v="3"/>
    <n v="26"/>
    <n v="2522.63"/>
  </r>
  <r>
    <x v="124"/>
    <s v="North"/>
    <s v="Delhi"/>
    <x v="13"/>
    <x v="4"/>
    <n v="9"/>
    <x v="5"/>
    <n v="40"/>
    <n v="3095.35"/>
  </r>
  <r>
    <x v="94"/>
    <s v="North"/>
    <s v="Delhi"/>
    <x v="10"/>
    <x v="2"/>
    <n v="17"/>
    <x v="2"/>
    <n v="55"/>
    <n v="1645.97"/>
  </r>
  <r>
    <x v="38"/>
    <s v="North"/>
    <s v="Delhi"/>
    <x v="10"/>
    <x v="3"/>
    <n v="6"/>
    <x v="5"/>
    <n v="36"/>
    <n v="4673.01"/>
  </r>
  <r>
    <x v="332"/>
    <s v="West"/>
    <s v="Gujarat"/>
    <x v="14"/>
    <x v="1"/>
    <n v="13"/>
    <x v="2"/>
    <n v="54"/>
    <n v="2163.4"/>
  </r>
  <r>
    <x v="29"/>
    <s v="North"/>
    <s v="Delhi"/>
    <x v="13"/>
    <x v="0"/>
    <n v="9"/>
    <x v="5"/>
    <n v="17"/>
    <n v="3137.87"/>
  </r>
  <r>
    <x v="242"/>
    <s v="West"/>
    <s v="Maharashtra"/>
    <x v="3"/>
    <x v="2"/>
    <n v="7"/>
    <x v="7"/>
    <n v="51"/>
    <n v="4046.34"/>
  </r>
  <r>
    <x v="336"/>
    <s v="South"/>
    <s v="Karnataka"/>
    <x v="12"/>
    <x v="0"/>
    <n v="8"/>
    <x v="7"/>
    <n v="41"/>
    <n v="3547.38"/>
  </r>
  <r>
    <x v="337"/>
    <s v="South"/>
    <s v="Karnataka"/>
    <x v="2"/>
    <x v="2"/>
    <n v="18"/>
    <x v="9"/>
    <n v="47"/>
    <n v="1576.88"/>
  </r>
  <r>
    <x v="4"/>
    <s v="West"/>
    <s v="Maharashtra"/>
    <x v="3"/>
    <x v="2"/>
    <n v="10"/>
    <x v="0"/>
    <n v="33"/>
    <n v="2853.88"/>
  </r>
  <r>
    <x v="100"/>
    <s v="South"/>
    <s v="Karnataka"/>
    <x v="7"/>
    <x v="3"/>
    <n v="7"/>
    <x v="1"/>
    <n v="29"/>
    <n v="4083.1"/>
  </r>
  <r>
    <x v="338"/>
    <s v="West"/>
    <s v="Gujarat"/>
    <x v="1"/>
    <x v="1"/>
    <n v="12"/>
    <x v="0"/>
    <n v="24"/>
    <n v="2384.1"/>
  </r>
  <r>
    <x v="22"/>
    <s v="West"/>
    <s v="Gujarat"/>
    <x v="1"/>
    <x v="1"/>
    <n v="12"/>
    <x v="1"/>
    <n v="24"/>
    <n v="2384.1"/>
  </r>
  <r>
    <x v="21"/>
    <s v="South"/>
    <s v="Tamil Nadu"/>
    <x v="6"/>
    <x v="4"/>
    <n v="10"/>
    <x v="8"/>
    <n v="29"/>
    <n v="2861.62"/>
  </r>
  <r>
    <x v="339"/>
    <s v="South"/>
    <s v="Karnataka"/>
    <x v="7"/>
    <x v="4"/>
    <n v="9"/>
    <x v="3"/>
    <n v="40"/>
    <n v="3193.9"/>
  </r>
  <r>
    <x v="32"/>
    <s v="North"/>
    <s v="Delhi"/>
    <x v="10"/>
    <x v="1"/>
    <n v="18"/>
    <x v="2"/>
    <n v="48"/>
    <n v="1601.74"/>
  </r>
  <r>
    <x v="340"/>
    <s v="West"/>
    <s v="Gujarat"/>
    <x v="9"/>
    <x v="0"/>
    <n v="9"/>
    <x v="2"/>
    <n v="35"/>
    <n v="3209.83"/>
  </r>
  <r>
    <x v="220"/>
    <s v="West"/>
    <s v="Maharashtra"/>
    <x v="3"/>
    <x v="1"/>
    <n v="8"/>
    <x v="0"/>
    <n v="51"/>
    <n v="3615.06"/>
  </r>
  <r>
    <x v="28"/>
    <s v="South"/>
    <s v="Karnataka"/>
    <x v="7"/>
    <x v="1"/>
    <n v="13"/>
    <x v="9"/>
    <n v="36"/>
    <n v="2238.96"/>
  </r>
  <r>
    <x v="91"/>
    <s v="West"/>
    <s v="Gujarat"/>
    <x v="9"/>
    <x v="0"/>
    <n v="12"/>
    <x v="6"/>
    <n v="22"/>
    <n v="2438.6799999999998"/>
  </r>
  <r>
    <x v="271"/>
    <s v="South"/>
    <s v="Karnataka"/>
    <x v="7"/>
    <x v="2"/>
    <n v="6"/>
    <x v="7"/>
    <n v="45"/>
    <n v="4894.41"/>
  </r>
  <r>
    <x v="295"/>
    <s v="South"/>
    <s v="Karnataka"/>
    <x v="2"/>
    <x v="1"/>
    <n v="11"/>
    <x v="4"/>
    <n v="17"/>
    <n v="2677.03"/>
  </r>
  <r>
    <x v="189"/>
    <s v="West"/>
    <s v="Maharashtra"/>
    <x v="3"/>
    <x v="2"/>
    <n v="6"/>
    <x v="5"/>
    <n v="41"/>
    <n v="4908.9799999999996"/>
  </r>
  <r>
    <x v="85"/>
    <s v="West"/>
    <s v="Gujarat"/>
    <x v="9"/>
    <x v="3"/>
    <n v="9"/>
    <x v="5"/>
    <n v="41"/>
    <n v="3276.04"/>
  </r>
  <r>
    <x v="238"/>
    <s v="South"/>
    <s v="Karnataka"/>
    <x v="12"/>
    <x v="0"/>
    <n v="15"/>
    <x v="0"/>
    <n v="53"/>
    <n v="1972.75"/>
  </r>
  <r>
    <x v="109"/>
    <s v="North"/>
    <s v="Delhi"/>
    <x v="10"/>
    <x v="0"/>
    <n v="6"/>
    <x v="9"/>
    <n v="48"/>
    <n v="4939.09"/>
  </r>
  <r>
    <x v="44"/>
    <s v="West"/>
    <s v="Maharashtra"/>
    <x v="3"/>
    <x v="4"/>
    <n v="7"/>
    <x v="3"/>
    <n v="27"/>
    <n v="4238.07"/>
  </r>
  <r>
    <x v="103"/>
    <s v="North"/>
    <s v="Delhi"/>
    <x v="13"/>
    <x v="3"/>
    <n v="7"/>
    <x v="5"/>
    <n v="54"/>
    <n v="4243.95"/>
  </r>
  <r>
    <x v="31"/>
    <s v="South"/>
    <s v="Karnataka"/>
    <x v="12"/>
    <x v="3"/>
    <n v="19"/>
    <x v="5"/>
    <n v="35"/>
    <n v="1564.94"/>
  </r>
  <r>
    <x v="242"/>
    <s v="West"/>
    <s v="Maharashtra"/>
    <x v="3"/>
    <x v="3"/>
    <n v="9"/>
    <x v="7"/>
    <n v="47"/>
    <n v="3318.1"/>
  </r>
  <r>
    <x v="341"/>
    <s v="West"/>
    <s v="Maharashtra"/>
    <x v="3"/>
    <x v="3"/>
    <n v="9"/>
    <x v="4"/>
    <n v="47"/>
    <n v="3318.1"/>
  </r>
  <r>
    <x v="183"/>
    <s v="North"/>
    <s v="Delhi"/>
    <x v="4"/>
    <x v="2"/>
    <n v="6"/>
    <x v="10"/>
    <n v="26"/>
    <n v="4984.92"/>
  </r>
  <r>
    <x v="155"/>
    <s v="West"/>
    <s v="Maharashtra"/>
    <x v="11"/>
    <x v="2"/>
    <n v="17"/>
    <x v="3"/>
    <n v="53"/>
    <n v="1759.91"/>
  </r>
  <r>
    <x v="314"/>
    <s v="West"/>
    <s v="Gujarat"/>
    <x v="14"/>
    <x v="4"/>
    <n v="15"/>
    <x v="10"/>
    <n v="33"/>
    <n v="2006.04"/>
  </r>
  <r>
    <x v="272"/>
    <s v="West"/>
    <s v="Maharashtra"/>
    <x v="5"/>
    <x v="2"/>
    <n v="20"/>
    <x v="9"/>
    <n v="18"/>
    <n v="1507.52"/>
  </r>
  <r>
    <x v="185"/>
    <s v="South"/>
    <s v="Karnataka"/>
    <x v="2"/>
    <x v="3"/>
    <n v="17"/>
    <x v="8"/>
    <n v="16"/>
    <n v="1777.42"/>
  </r>
  <r>
    <x v="262"/>
    <s v="North"/>
    <s v="Delhi"/>
    <x v="13"/>
    <x v="3"/>
    <n v="13"/>
    <x v="1"/>
    <n v="32"/>
    <n v="2327.81"/>
  </r>
  <r>
    <x v="291"/>
    <s v="South"/>
    <s v="Karnataka"/>
    <x v="2"/>
    <x v="3"/>
    <n v="20"/>
    <x v="1"/>
    <n v="52"/>
    <n v="1514.3"/>
  </r>
  <r>
    <x v="104"/>
    <s v="West"/>
    <s v="Gujarat"/>
    <x v="1"/>
    <x v="3"/>
    <n v="17"/>
    <x v="8"/>
    <n v="25"/>
    <n v="1793.43"/>
  </r>
  <r>
    <x v="342"/>
    <s v="South"/>
    <s v="Tamil Nadu"/>
    <x v="6"/>
    <x v="0"/>
    <n v="13"/>
    <x v="4"/>
    <n v="38"/>
    <n v="2347.66"/>
  </r>
  <r>
    <x v="23"/>
    <s v="West"/>
    <s v="Gujarat"/>
    <x v="9"/>
    <x v="0"/>
    <n v="16"/>
    <x v="9"/>
    <n v="31"/>
    <n v="1907.95"/>
  </r>
  <r>
    <x v="243"/>
    <s v="South"/>
    <s v="Tamil Nadu"/>
    <x v="8"/>
    <x v="0"/>
    <n v="9"/>
    <x v="3"/>
    <n v="29"/>
    <n v="3395.02"/>
  </r>
  <r>
    <x v="158"/>
    <s v="West"/>
    <s v="Gujarat"/>
    <x v="9"/>
    <x v="4"/>
    <n v="13"/>
    <x v="6"/>
    <n v="22"/>
    <n v="2351.59"/>
  </r>
  <r>
    <x v="335"/>
    <s v="South"/>
    <s v="Tamil Nadu"/>
    <x v="0"/>
    <x v="2"/>
    <n v="12"/>
    <x v="4"/>
    <n v="52"/>
    <n v="2557.5700000000002"/>
  </r>
  <r>
    <x v="47"/>
    <s v="West"/>
    <s v="Maharashtra"/>
    <x v="11"/>
    <x v="3"/>
    <n v="20"/>
    <x v="9"/>
    <n v="21"/>
    <n v="1536.73"/>
  </r>
  <r>
    <x v="76"/>
    <s v="West"/>
    <s v="Maharashtra"/>
    <x v="11"/>
    <x v="4"/>
    <n v="16"/>
    <x v="10"/>
    <n v="51"/>
    <n v="1933.33"/>
  </r>
  <r>
    <x v="198"/>
    <s v="North"/>
    <s v="Delhi"/>
    <x v="13"/>
    <x v="1"/>
    <n v="12"/>
    <x v="9"/>
    <n v="20"/>
    <n v="2581.09"/>
  </r>
  <r>
    <x v="170"/>
    <s v="North"/>
    <s v="Delhi"/>
    <x v="4"/>
    <x v="0"/>
    <n v="9"/>
    <x v="7"/>
    <n v="54"/>
    <n v="3458"/>
  </r>
  <r>
    <x v="214"/>
    <s v="West"/>
    <s v="Gujarat"/>
    <x v="9"/>
    <x v="2"/>
    <n v="19"/>
    <x v="5"/>
    <n v="55"/>
    <n v="1641.98"/>
  </r>
  <r>
    <x v="197"/>
    <s v="South"/>
    <s v="Karnataka"/>
    <x v="2"/>
    <x v="3"/>
    <n v="15"/>
    <x v="9"/>
    <n v="25"/>
    <n v="2081.27"/>
  </r>
  <r>
    <x v="181"/>
    <s v="South"/>
    <s v="Tamil Nadu"/>
    <x v="8"/>
    <x v="0"/>
    <n v="10"/>
    <x v="4"/>
    <n v="43"/>
    <n v="3122.59"/>
  </r>
  <r>
    <x v="343"/>
    <s v="South"/>
    <s v="Tamil Nadu"/>
    <x v="6"/>
    <x v="1"/>
    <n v="11"/>
    <x v="5"/>
    <n v="16"/>
    <n v="2852.22"/>
  </r>
  <r>
    <x v="91"/>
    <s v="South"/>
    <s v="Tamil Nadu"/>
    <x v="6"/>
    <x v="1"/>
    <n v="11"/>
    <x v="3"/>
    <n v="16"/>
    <n v="2852.22"/>
  </r>
  <r>
    <x v="344"/>
    <s v="West"/>
    <s v="Gujarat"/>
    <x v="1"/>
    <x v="3"/>
    <n v="7"/>
    <x v="9"/>
    <n v="45"/>
    <n v="4508.28"/>
  </r>
  <r>
    <x v="288"/>
    <s v="West"/>
    <s v="Gujarat"/>
    <x v="9"/>
    <x v="2"/>
    <n v="14"/>
    <x v="3"/>
    <n v="49"/>
    <n v="2260.17"/>
  </r>
  <r>
    <x v="345"/>
    <s v="South"/>
    <s v="Tamil Nadu"/>
    <x v="8"/>
    <x v="3"/>
    <n v="7"/>
    <x v="0"/>
    <n v="20"/>
    <n v="4530.8100000000004"/>
  </r>
  <r>
    <x v="254"/>
    <s v="North"/>
    <s v="Delhi"/>
    <x v="10"/>
    <x v="0"/>
    <n v="7"/>
    <x v="1"/>
    <n v="45"/>
    <n v="4541.83"/>
  </r>
  <r>
    <x v="295"/>
    <s v="North"/>
    <s v="Delhi"/>
    <x v="13"/>
    <x v="4"/>
    <n v="20"/>
    <x v="6"/>
    <n v="24"/>
    <n v="1592.52"/>
  </r>
  <r>
    <x v="340"/>
    <s v="North"/>
    <s v="Delhi"/>
    <x v="4"/>
    <x v="3"/>
    <n v="9"/>
    <x v="0"/>
    <n v="26"/>
    <n v="3552.02"/>
  </r>
  <r>
    <x v="346"/>
    <s v="West"/>
    <s v="Gujarat"/>
    <x v="9"/>
    <x v="2"/>
    <n v="10"/>
    <x v="4"/>
    <n v="18"/>
    <n v="3205.57"/>
  </r>
  <r>
    <x v="226"/>
    <s v="West"/>
    <s v="Gujarat"/>
    <x v="1"/>
    <x v="3"/>
    <n v="8"/>
    <x v="3"/>
    <n v="35"/>
    <n v="4009.51"/>
  </r>
  <r>
    <x v="347"/>
    <s v="West"/>
    <s v="Gujarat"/>
    <x v="14"/>
    <x v="2"/>
    <n v="13"/>
    <x v="0"/>
    <n v="24"/>
    <n v="2475.98"/>
  </r>
  <r>
    <x v="140"/>
    <s v="West"/>
    <s v="Gujarat"/>
    <x v="14"/>
    <x v="2"/>
    <n v="13"/>
    <x v="1"/>
    <n v="24"/>
    <n v="2475.98"/>
  </r>
  <r>
    <x v="114"/>
    <s v="West"/>
    <s v="Maharashtra"/>
    <x v="3"/>
    <x v="2"/>
    <n v="15"/>
    <x v="8"/>
    <n v="43"/>
    <n v="2148.0100000000002"/>
  </r>
  <r>
    <x v="281"/>
    <s v="West"/>
    <s v="Gujarat"/>
    <x v="9"/>
    <x v="4"/>
    <n v="15"/>
    <x v="4"/>
    <n v="26"/>
    <n v="2167.91"/>
  </r>
  <r>
    <x v="305"/>
    <s v="South"/>
    <s v="Tamil Nadu"/>
    <x v="6"/>
    <x v="2"/>
    <n v="15"/>
    <x v="6"/>
    <n v="42"/>
    <n v="2174.4499999999998"/>
  </r>
  <r>
    <x v="348"/>
    <s v="North"/>
    <s v="Delhi"/>
    <x v="10"/>
    <x v="3"/>
    <n v="12"/>
    <x v="7"/>
    <n v="28"/>
    <n v="2726.43"/>
  </r>
  <r>
    <x v="215"/>
    <s v="South"/>
    <s v="Tamil Nadu"/>
    <x v="6"/>
    <x v="1"/>
    <n v="9"/>
    <x v="1"/>
    <n v="45"/>
    <n v="3643.26"/>
  </r>
  <r>
    <x v="349"/>
    <s v="South"/>
    <s v="Tamil Nadu"/>
    <x v="6"/>
    <x v="3"/>
    <n v="12"/>
    <x v="3"/>
    <n v="20"/>
    <n v="2733.87"/>
  </r>
  <r>
    <x v="309"/>
    <s v="South"/>
    <s v="Tamil Nadu"/>
    <x v="6"/>
    <x v="4"/>
    <n v="7"/>
    <x v="1"/>
    <n v="37"/>
    <n v="4720.63"/>
  </r>
  <r>
    <x v="93"/>
    <s v="West"/>
    <s v="Maharashtra"/>
    <x v="3"/>
    <x v="4"/>
    <n v="9"/>
    <x v="9"/>
    <n v="48"/>
    <n v="3678.86"/>
  </r>
  <r>
    <x v="267"/>
    <s v="North"/>
    <s v="Delhi"/>
    <x v="13"/>
    <x v="0"/>
    <n v="11"/>
    <x v="4"/>
    <n v="47"/>
    <n v="3011.73"/>
  </r>
  <r>
    <x v="334"/>
    <s v="West"/>
    <s v="Maharashtra"/>
    <x v="11"/>
    <x v="0"/>
    <n v="8"/>
    <x v="1"/>
    <n v="41"/>
    <n v="4146.82"/>
  </r>
  <r>
    <x v="191"/>
    <s v="North"/>
    <s v="Delhi"/>
    <x v="10"/>
    <x v="2"/>
    <n v="14"/>
    <x v="4"/>
    <n v="26"/>
    <n v="2371.85"/>
  </r>
  <r>
    <x v="190"/>
    <s v="West"/>
    <s v="Gujarat"/>
    <x v="14"/>
    <x v="4"/>
    <n v="8"/>
    <x v="1"/>
    <n v="49"/>
    <n v="4169.8999999999996"/>
  </r>
  <r>
    <x v="88"/>
    <s v="West"/>
    <s v="Gujarat"/>
    <x v="9"/>
    <x v="1"/>
    <n v="8"/>
    <x v="7"/>
    <n v="41"/>
    <n v="4197.6400000000003"/>
  </r>
  <r>
    <x v="82"/>
    <s v="South"/>
    <s v="Karnataka"/>
    <x v="12"/>
    <x v="3"/>
    <n v="8"/>
    <x v="5"/>
    <n v="53"/>
    <n v="4201.6899999999996"/>
  </r>
  <r>
    <x v="65"/>
    <s v="North"/>
    <s v="Delhi"/>
    <x v="13"/>
    <x v="4"/>
    <n v="7"/>
    <x v="8"/>
    <n v="47"/>
    <n v="4803.62"/>
  </r>
  <r>
    <x v="120"/>
    <s v="North"/>
    <s v="Delhi"/>
    <x v="4"/>
    <x v="3"/>
    <n v="7"/>
    <x v="9"/>
    <n v="37"/>
    <n v="4813.28"/>
  </r>
  <r>
    <x v="104"/>
    <s v="West"/>
    <s v="Gujarat"/>
    <x v="14"/>
    <x v="3"/>
    <n v="11"/>
    <x v="4"/>
    <n v="23"/>
    <n v="3072.59"/>
  </r>
  <r>
    <x v="40"/>
    <s v="South"/>
    <s v="Tamil Nadu"/>
    <x v="0"/>
    <x v="3"/>
    <n v="12"/>
    <x v="9"/>
    <n v="53"/>
    <n v="2821.2"/>
  </r>
  <r>
    <x v="152"/>
    <s v="North"/>
    <s v="Delhi"/>
    <x v="10"/>
    <x v="4"/>
    <n v="14"/>
    <x v="10"/>
    <n v="50"/>
    <n v="2429.23"/>
  </r>
  <r>
    <x v="194"/>
    <s v="North"/>
    <s v="Delhi"/>
    <x v="4"/>
    <x v="1"/>
    <n v="10"/>
    <x v="9"/>
    <n v="19"/>
    <n v="3411.13"/>
  </r>
  <r>
    <x v="144"/>
    <s v="West"/>
    <s v="Maharashtra"/>
    <x v="3"/>
    <x v="3"/>
    <n v="8"/>
    <x v="4"/>
    <n v="49"/>
    <n v="4290.04"/>
  </r>
  <r>
    <x v="153"/>
    <s v="West"/>
    <s v="Gujarat"/>
    <x v="14"/>
    <x v="1"/>
    <n v="19"/>
    <x v="2"/>
    <n v="25"/>
    <n v="1809.9"/>
  </r>
  <r>
    <x v="350"/>
    <s v="South"/>
    <s v="Karnataka"/>
    <x v="12"/>
    <x v="2"/>
    <n v="10"/>
    <x v="1"/>
    <n v="50"/>
    <n v="3439.35"/>
  </r>
  <r>
    <x v="202"/>
    <s v="West"/>
    <s v="Maharashtra"/>
    <x v="3"/>
    <x v="0"/>
    <n v="17"/>
    <x v="7"/>
    <n v="17"/>
    <n v="2031.75"/>
  </r>
  <r>
    <x v="89"/>
    <s v="South"/>
    <s v="Tamil Nadu"/>
    <x v="6"/>
    <x v="2"/>
    <n v="12"/>
    <x v="7"/>
    <n v="18"/>
    <n v="2882.46"/>
  </r>
  <r>
    <x v="185"/>
    <s v="West"/>
    <s v="Gujarat"/>
    <x v="1"/>
    <x v="3"/>
    <n v="13"/>
    <x v="6"/>
    <n v="20"/>
    <n v="2665.15"/>
  </r>
  <r>
    <x v="305"/>
    <s v="North"/>
    <s v="Delhi"/>
    <x v="13"/>
    <x v="3"/>
    <n v="8"/>
    <x v="9"/>
    <n v="30"/>
    <n v="4334.41"/>
  </r>
  <r>
    <x v="211"/>
    <s v="North"/>
    <s v="Delhi"/>
    <x v="4"/>
    <x v="2"/>
    <n v="17"/>
    <x v="9"/>
    <n v="50"/>
    <n v="2045.39"/>
  </r>
  <r>
    <x v="351"/>
    <s v="North"/>
    <s v="Delhi"/>
    <x v="4"/>
    <x v="4"/>
    <n v="16"/>
    <x v="0"/>
    <n v="30"/>
    <n v="2178.7800000000002"/>
  </r>
  <r>
    <x v="287"/>
    <s v="North"/>
    <s v="Delhi"/>
    <x v="4"/>
    <x v="4"/>
    <n v="16"/>
    <x v="1"/>
    <n v="30"/>
    <n v="2178.7800000000002"/>
  </r>
  <r>
    <x v="192"/>
    <s v="West"/>
    <s v="Maharashtra"/>
    <x v="5"/>
    <x v="3"/>
    <n v="15"/>
    <x v="8"/>
    <n v="46"/>
    <n v="2330.62"/>
  </r>
  <r>
    <x v="106"/>
    <s v="South"/>
    <s v="Tamil Nadu"/>
    <x v="0"/>
    <x v="1"/>
    <n v="13"/>
    <x v="5"/>
    <n v="36"/>
    <n v="2693.09"/>
  </r>
  <r>
    <x v="309"/>
    <s v="South"/>
    <s v="Karnataka"/>
    <x v="2"/>
    <x v="0"/>
    <n v="15"/>
    <x v="7"/>
    <n v="21"/>
    <n v="2346.4"/>
  </r>
  <r>
    <x v="12"/>
    <s v="South"/>
    <s v="Karnataka"/>
    <x v="7"/>
    <x v="1"/>
    <n v="8"/>
    <x v="6"/>
    <n v="35"/>
    <n v="4402.3599999999997"/>
  </r>
  <r>
    <x v="172"/>
    <s v="South"/>
    <s v="Karnataka"/>
    <x v="7"/>
    <x v="0"/>
    <n v="10"/>
    <x v="3"/>
    <n v="28"/>
    <n v="3540.6"/>
  </r>
  <r>
    <x v="211"/>
    <s v="South"/>
    <s v="Karnataka"/>
    <x v="12"/>
    <x v="3"/>
    <n v="18"/>
    <x v="4"/>
    <n v="45"/>
    <n v="1968.87"/>
  </r>
  <r>
    <x v="257"/>
    <s v="West"/>
    <s v="Maharashtra"/>
    <x v="11"/>
    <x v="2"/>
    <n v="13"/>
    <x v="3"/>
    <n v="27"/>
    <n v="2745.75"/>
  </r>
  <r>
    <x v="352"/>
    <s v="South"/>
    <s v="Karnataka"/>
    <x v="7"/>
    <x v="0"/>
    <n v="16"/>
    <x v="1"/>
    <n v="37"/>
    <n v="2231.67"/>
  </r>
  <r>
    <x v="46"/>
    <s v="North"/>
    <s v="Delhi"/>
    <x v="10"/>
    <x v="2"/>
    <n v="18"/>
    <x v="7"/>
    <n v="16"/>
    <n v="1986.52"/>
  </r>
  <r>
    <x v="185"/>
    <s v="West"/>
    <s v="Gujarat"/>
    <x v="9"/>
    <x v="1"/>
    <n v="17"/>
    <x v="4"/>
    <n v="27"/>
    <n v="2107.36"/>
  </r>
  <r>
    <x v="70"/>
    <s v="South"/>
    <s v="Karnataka"/>
    <x v="12"/>
    <x v="3"/>
    <n v="8"/>
    <x v="5"/>
    <n v="19"/>
    <n v="4516.82"/>
  </r>
  <r>
    <x v="353"/>
    <s v="West"/>
    <s v="Maharashtra"/>
    <x v="3"/>
    <x v="3"/>
    <n v="12"/>
    <x v="8"/>
    <n v="48"/>
    <n v="3028.88"/>
  </r>
  <r>
    <x v="354"/>
    <s v="West"/>
    <s v="Maharashtra"/>
    <x v="5"/>
    <x v="2"/>
    <n v="13"/>
    <x v="9"/>
    <n v="38"/>
    <n v="2809.29"/>
  </r>
  <r>
    <x v="355"/>
    <s v="West"/>
    <s v="Maharashtra"/>
    <x v="5"/>
    <x v="1"/>
    <n v="8"/>
    <x v="8"/>
    <n v="46"/>
    <n v="4576.97"/>
  </r>
  <r>
    <x v="78"/>
    <s v="South"/>
    <s v="Tamil Nadu"/>
    <x v="6"/>
    <x v="2"/>
    <n v="13"/>
    <x v="9"/>
    <n v="21"/>
    <n v="2829.47"/>
  </r>
  <r>
    <x v="159"/>
    <s v="West"/>
    <s v="Maharashtra"/>
    <x v="5"/>
    <x v="4"/>
    <n v="12"/>
    <x v="10"/>
    <n v="32"/>
    <n v="3074.45"/>
  </r>
  <r>
    <x v="62"/>
    <s v="West"/>
    <s v="Maharashtra"/>
    <x v="11"/>
    <x v="2"/>
    <n v="12"/>
    <x v="3"/>
    <n v="52"/>
    <n v="3076.03"/>
  </r>
  <r>
    <x v="356"/>
    <s v="West"/>
    <s v="Maharashtra"/>
    <x v="5"/>
    <x v="4"/>
    <n v="8"/>
    <x v="5"/>
    <n v="26"/>
    <n v="4621.75"/>
  </r>
  <r>
    <x v="357"/>
    <s v="West"/>
    <s v="Maharashtra"/>
    <x v="5"/>
    <x v="4"/>
    <n v="8"/>
    <x v="4"/>
    <n v="26"/>
    <n v="4621.75"/>
  </r>
  <r>
    <x v="30"/>
    <s v="South"/>
    <s v="Karnataka"/>
    <x v="7"/>
    <x v="0"/>
    <n v="15"/>
    <x v="9"/>
    <n v="46"/>
    <n v="2477.09"/>
  </r>
  <r>
    <x v="300"/>
    <s v="South"/>
    <s v="Tamil Nadu"/>
    <x v="6"/>
    <x v="0"/>
    <n v="8"/>
    <x v="0"/>
    <n v="38"/>
    <n v="4651.3"/>
  </r>
  <r>
    <x v="302"/>
    <s v="West"/>
    <s v="Maharashtra"/>
    <x v="5"/>
    <x v="2"/>
    <n v="19"/>
    <x v="0"/>
    <n v="48"/>
    <n v="1965.12"/>
  </r>
  <r>
    <x v="358"/>
    <s v="West"/>
    <s v="Maharashtra"/>
    <x v="5"/>
    <x v="2"/>
    <n v="18"/>
    <x v="5"/>
    <n v="24"/>
    <n v="2074.52"/>
  </r>
  <r>
    <x v="63"/>
    <s v="North"/>
    <s v="Delhi"/>
    <x v="4"/>
    <x v="1"/>
    <n v="17"/>
    <x v="9"/>
    <n v="52"/>
    <n v="2216.38"/>
  </r>
  <r>
    <x v="359"/>
    <s v="West"/>
    <s v="Gujarat"/>
    <x v="1"/>
    <x v="1"/>
    <n v="15"/>
    <x v="2"/>
    <n v="32"/>
    <n v="2514.9499999999998"/>
  </r>
  <r>
    <x v="118"/>
    <s v="South"/>
    <s v="Tamil Nadu"/>
    <x v="6"/>
    <x v="1"/>
    <n v="13"/>
    <x v="1"/>
    <n v="23"/>
    <n v="2913.56"/>
  </r>
  <r>
    <x v="115"/>
    <s v="West"/>
    <s v="Gujarat"/>
    <x v="1"/>
    <x v="4"/>
    <n v="14"/>
    <x v="9"/>
    <n v="43"/>
    <n v="2715.54"/>
  </r>
  <r>
    <x v="315"/>
    <s v="West"/>
    <s v="Maharashtra"/>
    <x v="11"/>
    <x v="3"/>
    <n v="10"/>
    <x v="8"/>
    <n v="32"/>
    <n v="3806.67"/>
  </r>
  <r>
    <x v="243"/>
    <s v="West"/>
    <s v="Maharashtra"/>
    <x v="3"/>
    <x v="1"/>
    <n v="15"/>
    <x v="4"/>
    <n v="19"/>
    <n v="2551.6"/>
  </r>
  <r>
    <x v="155"/>
    <s v="West"/>
    <s v="Gujarat"/>
    <x v="1"/>
    <x v="0"/>
    <n v="20"/>
    <x v="9"/>
    <n v="24"/>
    <n v="1916.52"/>
  </r>
  <r>
    <x v="183"/>
    <s v="South"/>
    <s v="Karnataka"/>
    <x v="2"/>
    <x v="3"/>
    <n v="14"/>
    <x v="6"/>
    <n v="46"/>
    <n v="2746.27"/>
  </r>
  <r>
    <x v="59"/>
    <s v="North"/>
    <s v="Delhi"/>
    <x v="13"/>
    <x v="2"/>
    <n v="18"/>
    <x v="5"/>
    <n v="52"/>
    <n v="2149.9899999999998"/>
  </r>
  <r>
    <x v="360"/>
    <s v="West"/>
    <s v="Gujarat"/>
    <x v="14"/>
    <x v="0"/>
    <n v="15"/>
    <x v="8"/>
    <n v="39"/>
    <n v="2586.8000000000002"/>
  </r>
  <r>
    <x v="67"/>
    <s v="West"/>
    <s v="Maharashtra"/>
    <x v="3"/>
    <x v="4"/>
    <n v="10"/>
    <x v="0"/>
    <n v="37"/>
    <n v="3882.87"/>
  </r>
  <r>
    <x v="81"/>
    <s v="West"/>
    <s v="Maharashtra"/>
    <x v="5"/>
    <x v="1"/>
    <n v="14"/>
    <x v="7"/>
    <n v="31"/>
    <n v="2775.33"/>
  </r>
  <r>
    <x v="184"/>
    <s v="West"/>
    <s v="Gujarat"/>
    <x v="1"/>
    <x v="1"/>
    <n v="11"/>
    <x v="0"/>
    <n v="50"/>
    <n v="3538.83"/>
  </r>
  <r>
    <x v="174"/>
    <s v="North"/>
    <s v="Delhi"/>
    <x v="4"/>
    <x v="1"/>
    <n v="8"/>
    <x v="9"/>
    <n v="55"/>
    <n v="4866.58"/>
  </r>
  <r>
    <x v="219"/>
    <s v="West"/>
    <s v="Maharashtra"/>
    <x v="3"/>
    <x v="2"/>
    <n v="14"/>
    <x v="4"/>
    <n v="35"/>
    <n v="2785.95"/>
  </r>
  <r>
    <x v="226"/>
    <s v="West"/>
    <s v="Maharashtra"/>
    <x v="3"/>
    <x v="2"/>
    <n v="10"/>
    <x v="6"/>
    <n v="25"/>
    <n v="3907.49"/>
  </r>
  <r>
    <x v="119"/>
    <s v="South"/>
    <s v="Tamil Nadu"/>
    <x v="8"/>
    <x v="0"/>
    <n v="11"/>
    <x v="1"/>
    <n v="38"/>
    <n v="3561.4"/>
  </r>
  <r>
    <x v="194"/>
    <s v="South"/>
    <s v="Tamil Nadu"/>
    <x v="8"/>
    <x v="0"/>
    <n v="14"/>
    <x v="0"/>
    <n v="54"/>
    <n v="2808.58"/>
  </r>
  <r>
    <x v="160"/>
    <s v="South"/>
    <s v="Karnataka"/>
    <x v="12"/>
    <x v="3"/>
    <n v="17"/>
    <x v="2"/>
    <n v="43"/>
    <n v="2316.09"/>
  </r>
  <r>
    <x v="361"/>
    <s v="West"/>
    <s v="Maharashtra"/>
    <x v="3"/>
    <x v="1"/>
    <n v="11"/>
    <x v="2"/>
    <n v="19"/>
    <n v="3584.06"/>
  </r>
  <r>
    <x v="362"/>
    <s v="South"/>
    <s v="Karnataka"/>
    <x v="7"/>
    <x v="0"/>
    <n v="11"/>
    <x v="5"/>
    <n v="52"/>
    <n v="3590.89"/>
  </r>
  <r>
    <x v="130"/>
    <s v="South"/>
    <s v="Karnataka"/>
    <x v="7"/>
    <x v="2"/>
    <n v="10"/>
    <x v="1"/>
    <n v="44"/>
    <n v="3950.06"/>
  </r>
  <r>
    <x v="362"/>
    <s v="West"/>
    <s v="Maharashtra"/>
    <x v="5"/>
    <x v="2"/>
    <n v="20"/>
    <x v="9"/>
    <n v="38"/>
    <n v="1977"/>
  </r>
  <r>
    <x v="309"/>
    <s v="South"/>
    <s v="Karnataka"/>
    <x v="12"/>
    <x v="3"/>
    <n v="10"/>
    <x v="8"/>
    <n v="33"/>
    <n v="3964.05"/>
  </r>
  <r>
    <x v="128"/>
    <s v="North"/>
    <s v="Delhi"/>
    <x v="4"/>
    <x v="1"/>
    <n v="8"/>
    <x v="9"/>
    <n v="35"/>
    <n v="4986.3100000000004"/>
  </r>
  <r>
    <x v="89"/>
    <s v="North"/>
    <s v="Delhi"/>
    <x v="4"/>
    <x v="4"/>
    <n v="13"/>
    <x v="8"/>
    <n v="19"/>
    <n v="3069.28"/>
  </r>
  <r>
    <x v="79"/>
    <s v="North"/>
    <s v="Delhi"/>
    <x v="10"/>
    <x v="4"/>
    <n v="16"/>
    <x v="9"/>
    <n v="42"/>
    <n v="2502.5700000000002"/>
  </r>
  <r>
    <x v="335"/>
    <s v="West"/>
    <s v="Maharashtra"/>
    <x v="3"/>
    <x v="4"/>
    <n v="11"/>
    <x v="4"/>
    <n v="23"/>
    <n v="3646.35"/>
  </r>
  <r>
    <x v="363"/>
    <s v="South"/>
    <s v="Karnataka"/>
    <x v="12"/>
    <x v="1"/>
    <n v="12"/>
    <x v="5"/>
    <n v="46"/>
    <n v="3358.78"/>
  </r>
  <r>
    <x v="58"/>
    <s v="South"/>
    <s v="Karnataka"/>
    <x v="12"/>
    <x v="0"/>
    <n v="9"/>
    <x v="2"/>
    <n v="21"/>
    <n v="4485.21"/>
  </r>
  <r>
    <x v="128"/>
    <s v="West"/>
    <s v="Maharashtra"/>
    <x v="3"/>
    <x v="3"/>
    <n v="15"/>
    <x v="6"/>
    <n v="17"/>
    <n v="2706.66"/>
  </r>
  <r>
    <x v="242"/>
    <s v="West"/>
    <s v="Gujarat"/>
    <x v="1"/>
    <x v="2"/>
    <n v="19"/>
    <x v="1"/>
    <n v="29"/>
    <n v="2146.17"/>
  </r>
  <r>
    <x v="23"/>
    <s v="West"/>
    <s v="Maharashtra"/>
    <x v="5"/>
    <x v="2"/>
    <n v="12"/>
    <x v="4"/>
    <n v="32"/>
    <n v="3400.71"/>
  </r>
  <r>
    <x v="217"/>
    <s v="West"/>
    <s v="Maharashtra"/>
    <x v="5"/>
    <x v="4"/>
    <n v="14"/>
    <x v="2"/>
    <n v="40"/>
    <n v="2918.42"/>
  </r>
  <r>
    <x v="247"/>
    <s v="North"/>
    <s v="Delhi"/>
    <x v="4"/>
    <x v="0"/>
    <n v="10"/>
    <x v="1"/>
    <n v="30"/>
    <n v="4092.05"/>
  </r>
  <r>
    <x v="73"/>
    <s v="West"/>
    <s v="Maharashtra"/>
    <x v="5"/>
    <x v="3"/>
    <n v="16"/>
    <x v="9"/>
    <n v="41"/>
    <n v="2563.69"/>
  </r>
  <r>
    <x v="342"/>
    <s v="South"/>
    <s v="Karnataka"/>
    <x v="7"/>
    <x v="4"/>
    <n v="16"/>
    <x v="6"/>
    <n v="28"/>
    <n v="2573.33"/>
  </r>
  <r>
    <x v="364"/>
    <s v="West"/>
    <s v="Gujarat"/>
    <x v="9"/>
    <x v="1"/>
    <n v="12"/>
    <x v="9"/>
    <n v="55"/>
    <n v="3443.54"/>
  </r>
  <r>
    <x v="280"/>
    <s v="South"/>
    <s v="Tamil Nadu"/>
    <x v="8"/>
    <x v="1"/>
    <n v="13"/>
    <x v="10"/>
    <n v="52"/>
    <n v="3190.8"/>
  </r>
  <r>
    <x v="189"/>
    <s v="South"/>
    <s v="Karnataka"/>
    <x v="2"/>
    <x v="2"/>
    <n v="16"/>
    <x v="0"/>
    <n v="38"/>
    <n v="2600.48"/>
  </r>
  <r>
    <x v="78"/>
    <s v="South"/>
    <s v="Tamil Nadu"/>
    <x v="0"/>
    <x v="0"/>
    <n v="9"/>
    <x v="1"/>
    <n v="23"/>
    <n v="4638.57"/>
  </r>
  <r>
    <x v="339"/>
    <s v="South"/>
    <s v="Karnataka"/>
    <x v="2"/>
    <x v="0"/>
    <n v="16"/>
    <x v="2"/>
    <n v="18"/>
    <n v="2619.73"/>
  </r>
  <r>
    <x v="162"/>
    <s v="South"/>
    <s v="Karnataka"/>
    <x v="2"/>
    <x v="0"/>
    <n v="10"/>
    <x v="3"/>
    <n v="22"/>
    <n v="4196.24"/>
  </r>
  <r>
    <x v="361"/>
    <s v="South"/>
    <s v="Tamil Nadu"/>
    <x v="0"/>
    <x v="2"/>
    <n v="16"/>
    <x v="6"/>
    <n v="33"/>
    <n v="2640.08"/>
  </r>
  <r>
    <x v="129"/>
    <s v="South"/>
    <s v="Tamil Nadu"/>
    <x v="0"/>
    <x v="2"/>
    <n v="20"/>
    <x v="2"/>
    <n v="54"/>
    <n v="2123.15"/>
  </r>
  <r>
    <x v="25"/>
    <s v="West"/>
    <s v="Gujarat"/>
    <x v="9"/>
    <x v="2"/>
    <n v="16"/>
    <x v="3"/>
    <n v="44"/>
    <n v="2666.78"/>
  </r>
  <r>
    <x v="223"/>
    <s v="West"/>
    <s v="Gujarat"/>
    <x v="1"/>
    <x v="1"/>
    <n v="20"/>
    <x v="3"/>
    <n v="32"/>
    <n v="2133.5300000000002"/>
  </r>
  <r>
    <x v="76"/>
    <s v="West"/>
    <s v="Maharashtra"/>
    <x v="5"/>
    <x v="1"/>
    <n v="9"/>
    <x v="7"/>
    <n v="27"/>
    <n v="4757.53"/>
  </r>
  <r>
    <x v="223"/>
    <s v="South"/>
    <s v="Tamil Nadu"/>
    <x v="0"/>
    <x v="3"/>
    <n v="16"/>
    <x v="7"/>
    <n v="50"/>
    <n v="2682.3"/>
  </r>
  <r>
    <x v="291"/>
    <s v="North"/>
    <s v="Delhi"/>
    <x v="4"/>
    <x v="2"/>
    <n v="10"/>
    <x v="7"/>
    <n v="53"/>
    <n v="4298.32"/>
  </r>
  <r>
    <x v="31"/>
    <s v="South"/>
    <s v="Karnataka"/>
    <x v="2"/>
    <x v="3"/>
    <n v="9"/>
    <x v="9"/>
    <n v="49"/>
    <n v="4781.72"/>
  </r>
  <r>
    <x v="55"/>
    <s v="West"/>
    <s v="Maharashtra"/>
    <x v="3"/>
    <x v="0"/>
    <n v="15"/>
    <x v="9"/>
    <n v="52"/>
    <n v="2869.14"/>
  </r>
  <r>
    <x v="365"/>
    <s v="South"/>
    <s v="Tamil Nadu"/>
    <x v="0"/>
    <x v="0"/>
    <n v="15"/>
    <x v="3"/>
    <n v="23"/>
    <n v="2905.47"/>
  </r>
  <r>
    <x v="152"/>
    <s v="West"/>
    <s v="Maharashtra"/>
    <x v="5"/>
    <x v="4"/>
    <n v="11"/>
    <x v="7"/>
    <n v="52"/>
    <n v="3969.39"/>
  </r>
  <r>
    <x v="366"/>
    <s v="West"/>
    <s v="Maharashtra"/>
    <x v="5"/>
    <x v="3"/>
    <n v="9"/>
    <x v="7"/>
    <n v="27"/>
    <n v="4858.75"/>
  </r>
  <r>
    <x v="17"/>
    <s v="South"/>
    <s v="Tamil Nadu"/>
    <x v="8"/>
    <x v="2"/>
    <n v="19"/>
    <x v="6"/>
    <n v="20"/>
    <n v="2304.92"/>
  </r>
  <r>
    <x v="169"/>
    <s v="West"/>
    <s v="Gujarat"/>
    <x v="1"/>
    <x v="3"/>
    <n v="12"/>
    <x v="10"/>
    <n v="40"/>
    <n v="3650.3"/>
  </r>
  <r>
    <x v="367"/>
    <s v="South"/>
    <s v="Karnataka"/>
    <x v="7"/>
    <x v="3"/>
    <n v="15"/>
    <x v="9"/>
    <n v="19"/>
    <n v="2920.62"/>
  </r>
  <r>
    <x v="253"/>
    <s v="West"/>
    <s v="Gujarat"/>
    <x v="1"/>
    <x v="3"/>
    <n v="16"/>
    <x v="7"/>
    <n v="16"/>
    <n v="2747.36"/>
  </r>
  <r>
    <x v="123"/>
    <s v="South"/>
    <s v="Tamil Nadu"/>
    <x v="0"/>
    <x v="0"/>
    <n v="10"/>
    <x v="5"/>
    <n v="27"/>
    <n v="4413.5"/>
  </r>
  <r>
    <x v="142"/>
    <s v="West"/>
    <s v="Maharashtra"/>
    <x v="11"/>
    <x v="4"/>
    <n v="12"/>
    <x v="4"/>
    <n v="32"/>
    <n v="3686.27"/>
  </r>
  <r>
    <x v="119"/>
    <s v="South"/>
    <s v="Tamil Nadu"/>
    <x v="0"/>
    <x v="0"/>
    <n v="17"/>
    <x v="9"/>
    <n v="47"/>
    <n v="2603.4899999999998"/>
  </r>
  <r>
    <x v="107"/>
    <s v="South"/>
    <s v="Karnataka"/>
    <x v="2"/>
    <x v="3"/>
    <n v="12"/>
    <x v="7"/>
    <n v="49"/>
    <n v="3703.31"/>
  </r>
  <r>
    <x v="355"/>
    <s v="North"/>
    <s v="Delhi"/>
    <x v="13"/>
    <x v="3"/>
    <n v="13"/>
    <x v="10"/>
    <n v="43"/>
    <n v="3423.36"/>
  </r>
  <r>
    <x v="34"/>
    <s v="West"/>
    <s v="Maharashtra"/>
    <x v="3"/>
    <x v="1"/>
    <n v="9"/>
    <x v="3"/>
    <n v="34"/>
    <n v="4953.3999999999996"/>
  </r>
  <r>
    <x v="188"/>
    <s v="South"/>
    <s v="Tamil Nadu"/>
    <x v="8"/>
    <x v="4"/>
    <n v="16"/>
    <x v="0"/>
    <n v="25"/>
    <n v="2793.48"/>
  </r>
  <r>
    <x v="339"/>
    <s v="South"/>
    <s v="Karnataka"/>
    <x v="7"/>
    <x v="3"/>
    <n v="11"/>
    <x v="2"/>
    <n v="26"/>
    <n v="4066.2"/>
  </r>
  <r>
    <x v="228"/>
    <s v="West"/>
    <s v="Maharashtra"/>
    <x v="3"/>
    <x v="1"/>
    <n v="18"/>
    <x v="9"/>
    <n v="31"/>
    <n v="2494.9499999999998"/>
  </r>
  <r>
    <x v="71"/>
    <s v="South"/>
    <s v="Tamil Nadu"/>
    <x v="8"/>
    <x v="4"/>
    <n v="10"/>
    <x v="7"/>
    <n v="53"/>
    <n v="4496.3900000000003"/>
  </r>
  <r>
    <x v="353"/>
    <s v="South"/>
    <s v="Tamil Nadu"/>
    <x v="8"/>
    <x v="3"/>
    <n v="11"/>
    <x v="4"/>
    <n v="47"/>
    <n v="4089.16"/>
  </r>
  <r>
    <x v="181"/>
    <s v="West"/>
    <s v="Gujarat"/>
    <x v="9"/>
    <x v="1"/>
    <n v="15"/>
    <x v="4"/>
    <n v="37"/>
    <n v="3005.08"/>
  </r>
  <r>
    <x v="196"/>
    <s v="South"/>
    <s v="Tamil Nadu"/>
    <x v="8"/>
    <x v="1"/>
    <n v="17"/>
    <x v="4"/>
    <n v="43"/>
    <n v="2664.62"/>
  </r>
  <r>
    <x v="54"/>
    <s v="South"/>
    <s v="Karnataka"/>
    <x v="2"/>
    <x v="3"/>
    <n v="19"/>
    <x v="1"/>
    <n v="32"/>
    <n v="2386.59"/>
  </r>
  <r>
    <x v="360"/>
    <s v="South"/>
    <s v="Tamil Nadu"/>
    <x v="0"/>
    <x v="2"/>
    <n v="12"/>
    <x v="7"/>
    <n v="36"/>
    <n v="3785.29"/>
  </r>
  <r>
    <x v="155"/>
    <s v="West"/>
    <s v="Maharashtra"/>
    <x v="5"/>
    <x v="4"/>
    <n v="14"/>
    <x v="0"/>
    <n v="16"/>
    <n v="3259.64"/>
  </r>
  <r>
    <x v="368"/>
    <s v="South"/>
    <s v="Tamil Nadu"/>
    <x v="6"/>
    <x v="2"/>
    <n v="15"/>
    <x v="4"/>
    <n v="18"/>
    <n v="3048.36"/>
  </r>
  <r>
    <x v="32"/>
    <s v="West"/>
    <s v="Gujarat"/>
    <x v="14"/>
    <x v="4"/>
    <n v="11"/>
    <x v="4"/>
    <n v="53"/>
    <n v="4188.37"/>
  </r>
  <r>
    <x v="314"/>
    <s v="West"/>
    <s v="Maharashtra"/>
    <x v="11"/>
    <x v="4"/>
    <n v="16"/>
    <x v="5"/>
    <n v="34"/>
    <n v="2882.65"/>
  </r>
  <r>
    <x v="216"/>
    <s v="South"/>
    <s v="Tamil Nadu"/>
    <x v="0"/>
    <x v="3"/>
    <n v="13"/>
    <x v="8"/>
    <n v="34"/>
    <n v="3551.21"/>
  </r>
  <r>
    <x v="264"/>
    <s v="West"/>
    <s v="Gujarat"/>
    <x v="1"/>
    <x v="4"/>
    <n v="11"/>
    <x v="1"/>
    <n v="47"/>
    <n v="4205.55"/>
  </r>
  <r>
    <x v="8"/>
    <s v="South"/>
    <s v="Tamil Nadu"/>
    <x v="6"/>
    <x v="2"/>
    <n v="13"/>
    <x v="3"/>
    <n v="51"/>
    <n v="3568.86"/>
  </r>
  <r>
    <x v="71"/>
    <s v="West"/>
    <s v="Maharashtra"/>
    <x v="11"/>
    <x v="0"/>
    <n v="12"/>
    <x v="9"/>
    <n v="38"/>
    <n v="3895.88"/>
  </r>
  <r>
    <x v="44"/>
    <s v="North"/>
    <s v="Delhi"/>
    <x v="13"/>
    <x v="0"/>
    <n v="20"/>
    <x v="0"/>
    <n v="35"/>
    <n v="2344.7600000000002"/>
  </r>
  <r>
    <x v="51"/>
    <s v="West"/>
    <s v="Gujarat"/>
    <x v="9"/>
    <x v="2"/>
    <n v="10"/>
    <x v="7"/>
    <n v="39"/>
    <n v="4718.03"/>
  </r>
  <r>
    <x v="92"/>
    <s v="South"/>
    <s v="Tamil Nadu"/>
    <x v="8"/>
    <x v="0"/>
    <n v="12"/>
    <x v="2"/>
    <n v="16"/>
    <n v="3932.48"/>
  </r>
  <r>
    <x v="257"/>
    <s v="West"/>
    <s v="Maharashtra"/>
    <x v="5"/>
    <x v="1"/>
    <n v="16"/>
    <x v="9"/>
    <n v="35"/>
    <n v="2954.32"/>
  </r>
  <r>
    <x v="279"/>
    <s v="West"/>
    <s v="Gujarat"/>
    <x v="9"/>
    <x v="1"/>
    <n v="19"/>
    <x v="2"/>
    <n v="28"/>
    <n v="2493.0300000000002"/>
  </r>
  <r>
    <x v="146"/>
    <s v="South"/>
    <s v="Karnataka"/>
    <x v="7"/>
    <x v="0"/>
    <n v="10"/>
    <x v="0"/>
    <n v="47"/>
    <n v="4761.1899999999996"/>
  </r>
  <r>
    <x v="289"/>
    <s v="South"/>
    <s v="Karnataka"/>
    <x v="2"/>
    <x v="4"/>
    <n v="16"/>
    <x v="4"/>
    <n v="18"/>
    <n v="2976.17"/>
  </r>
  <r>
    <x v="224"/>
    <s v="South"/>
    <s v="Karnataka"/>
    <x v="12"/>
    <x v="0"/>
    <n v="19"/>
    <x v="10"/>
    <n v="23"/>
    <n v="2513.27"/>
  </r>
  <r>
    <x v="102"/>
    <s v="North"/>
    <s v="Delhi"/>
    <x v="10"/>
    <x v="1"/>
    <n v="12"/>
    <x v="3"/>
    <n v="36"/>
    <n v="3981.34"/>
  </r>
  <r>
    <x v="91"/>
    <s v="North"/>
    <s v="Delhi"/>
    <x v="10"/>
    <x v="0"/>
    <n v="16"/>
    <x v="3"/>
    <n v="32"/>
    <n v="2991.84"/>
  </r>
  <r>
    <x v="245"/>
    <s v="North"/>
    <s v="Delhi"/>
    <x v="13"/>
    <x v="0"/>
    <n v="12"/>
    <x v="5"/>
    <n v="41"/>
    <n v="4003.52"/>
  </r>
  <r>
    <x v="295"/>
    <s v="West"/>
    <s v="Gujarat"/>
    <x v="1"/>
    <x v="4"/>
    <n v="14"/>
    <x v="0"/>
    <n v="20"/>
    <n v="3433.55"/>
  </r>
  <r>
    <x v="159"/>
    <s v="North"/>
    <s v="Delhi"/>
    <x v="13"/>
    <x v="4"/>
    <n v="19"/>
    <x v="5"/>
    <n v="27"/>
    <n v="2532.7800000000002"/>
  </r>
  <r>
    <x v="29"/>
    <s v="North"/>
    <s v="Delhi"/>
    <x v="13"/>
    <x v="4"/>
    <n v="12"/>
    <x v="9"/>
    <n v="25"/>
    <n v="4011.85"/>
  </r>
  <r>
    <x v="302"/>
    <s v="North"/>
    <s v="Delhi"/>
    <x v="4"/>
    <x v="4"/>
    <n v="15"/>
    <x v="9"/>
    <n v="16"/>
    <n v="3218.59"/>
  </r>
  <r>
    <x v="307"/>
    <s v="West"/>
    <s v="Maharashtra"/>
    <x v="3"/>
    <x v="0"/>
    <n v="20"/>
    <x v="0"/>
    <n v="31"/>
    <n v="2415.86"/>
  </r>
  <r>
    <x v="178"/>
    <s v="North"/>
    <s v="Delhi"/>
    <x v="13"/>
    <x v="2"/>
    <n v="13"/>
    <x v="1"/>
    <n v="42"/>
    <n v="3724.27"/>
  </r>
  <r>
    <x v="34"/>
    <s v="North"/>
    <s v="Delhi"/>
    <x v="10"/>
    <x v="4"/>
    <n v="15"/>
    <x v="6"/>
    <n v="49"/>
    <n v="3256.2"/>
  </r>
  <r>
    <x v="314"/>
    <s v="South"/>
    <s v="Tamil Nadu"/>
    <x v="8"/>
    <x v="1"/>
    <n v="20"/>
    <x v="6"/>
    <n v="44"/>
    <n v="2446.31"/>
  </r>
  <r>
    <x v="369"/>
    <s v="South"/>
    <s v="Karnataka"/>
    <x v="12"/>
    <x v="1"/>
    <n v="15"/>
    <x v="0"/>
    <n v="38"/>
    <n v="3270.81"/>
  </r>
  <r>
    <x v="81"/>
    <s v="South"/>
    <s v="Karnataka"/>
    <x v="7"/>
    <x v="3"/>
    <n v="15"/>
    <x v="1"/>
    <n v="43"/>
    <n v="3285.68"/>
  </r>
  <r>
    <x v="309"/>
    <s v="West"/>
    <s v="Gujarat"/>
    <x v="1"/>
    <x v="3"/>
    <n v="16"/>
    <x v="8"/>
    <n v="51"/>
    <n v="3082.84"/>
  </r>
  <r>
    <x v="308"/>
    <s v="South"/>
    <s v="Karnataka"/>
    <x v="7"/>
    <x v="2"/>
    <n v="17"/>
    <x v="10"/>
    <n v="39"/>
    <n v="2924.72"/>
  </r>
  <r>
    <x v="90"/>
    <s v="South"/>
    <s v="Tamil Nadu"/>
    <x v="8"/>
    <x v="0"/>
    <n v="20"/>
    <x v="3"/>
    <n v="38"/>
    <n v="2487.65"/>
  </r>
  <r>
    <x v="306"/>
    <s v="West"/>
    <s v="Gujarat"/>
    <x v="1"/>
    <x v="4"/>
    <n v="11"/>
    <x v="8"/>
    <n v="32"/>
    <n v="4530.5600000000004"/>
  </r>
  <r>
    <x v="315"/>
    <s v="West"/>
    <s v="Maharashtra"/>
    <x v="11"/>
    <x v="3"/>
    <n v="10"/>
    <x v="9"/>
    <n v="52"/>
    <n v="4995.74"/>
  </r>
  <r>
    <x v="370"/>
    <s v="West"/>
    <s v="Maharashtra"/>
    <x v="11"/>
    <x v="2"/>
    <n v="18"/>
    <x v="4"/>
    <n v="22"/>
    <n v="2777.65"/>
  </r>
  <r>
    <x v="371"/>
    <s v="South"/>
    <s v="Karnataka"/>
    <x v="12"/>
    <x v="1"/>
    <n v="18"/>
    <x v="1"/>
    <n v="27"/>
    <n v="2784.49"/>
  </r>
  <r>
    <x v="339"/>
    <s v="South"/>
    <s v="Tamil Nadu"/>
    <x v="0"/>
    <x v="0"/>
    <n v="16"/>
    <x v="3"/>
    <n v="41"/>
    <n v="3155.43"/>
  </r>
  <r>
    <x v="324"/>
    <s v="West"/>
    <s v="Maharashtra"/>
    <x v="11"/>
    <x v="1"/>
    <n v="11"/>
    <x v="3"/>
    <n v="35"/>
    <n v="4681.04"/>
  </r>
  <r>
    <x v="8"/>
    <s v="North"/>
    <s v="Delhi"/>
    <x v="13"/>
    <x v="2"/>
    <n v="20"/>
    <x v="10"/>
    <n v="24"/>
    <n v="2580.02"/>
  </r>
  <r>
    <x v="70"/>
    <s v="North"/>
    <s v="Delhi"/>
    <x v="13"/>
    <x v="3"/>
    <n v="18"/>
    <x v="5"/>
    <n v="54"/>
    <n v="2880.41"/>
  </r>
  <r>
    <x v="63"/>
    <s v="West"/>
    <s v="Gujarat"/>
    <x v="1"/>
    <x v="0"/>
    <n v="19"/>
    <x v="4"/>
    <n v="32"/>
    <n v="2743.67"/>
  </r>
  <r>
    <x v="181"/>
    <s v="South"/>
    <s v="Tamil Nadu"/>
    <x v="0"/>
    <x v="2"/>
    <n v="13"/>
    <x v="7"/>
    <n v="30"/>
    <n v="4021.84"/>
  </r>
  <r>
    <x v="44"/>
    <s v="West"/>
    <s v="Gujarat"/>
    <x v="14"/>
    <x v="3"/>
    <n v="19"/>
    <x v="7"/>
    <n v="36"/>
    <n v="2753.24"/>
  </r>
  <r>
    <x v="96"/>
    <s v="South"/>
    <s v="Karnataka"/>
    <x v="7"/>
    <x v="2"/>
    <n v="11"/>
    <x v="9"/>
    <n v="52"/>
    <n v="4758.46"/>
  </r>
  <r>
    <x v="46"/>
    <s v="North"/>
    <s v="Delhi"/>
    <x v="10"/>
    <x v="0"/>
    <n v="12"/>
    <x v="7"/>
    <n v="26"/>
    <n v="4378.41"/>
  </r>
  <r>
    <x v="249"/>
    <s v="West"/>
    <s v="Maharashtra"/>
    <x v="5"/>
    <x v="2"/>
    <n v="20"/>
    <x v="0"/>
    <n v="50"/>
    <n v="2631.58"/>
  </r>
  <r>
    <x v="161"/>
    <s v="South"/>
    <s v="Tamil Nadu"/>
    <x v="8"/>
    <x v="0"/>
    <n v="12"/>
    <x v="3"/>
    <n v="27"/>
    <n v="4403.8500000000004"/>
  </r>
  <r>
    <x v="329"/>
    <s v="West"/>
    <s v="Gujarat"/>
    <x v="9"/>
    <x v="1"/>
    <n v="13"/>
    <x v="0"/>
    <n v="44"/>
    <n v="4076.94"/>
  </r>
  <r>
    <x v="212"/>
    <s v="North"/>
    <s v="Delhi"/>
    <x v="4"/>
    <x v="1"/>
    <n v="13"/>
    <x v="10"/>
    <n v="42"/>
    <n v="4084.32"/>
  </r>
  <r>
    <x v="304"/>
    <s v="West"/>
    <s v="Gujarat"/>
    <x v="14"/>
    <x v="0"/>
    <n v="15"/>
    <x v="10"/>
    <n v="20"/>
    <n v="3555.88"/>
  </r>
  <r>
    <x v="260"/>
    <s v="South"/>
    <s v="Tamil Nadu"/>
    <x v="6"/>
    <x v="2"/>
    <n v="19"/>
    <x v="7"/>
    <n v="53"/>
    <n v="2814.94"/>
  </r>
  <r>
    <x v="237"/>
    <s v="South"/>
    <s v="Karnataka"/>
    <x v="7"/>
    <x v="4"/>
    <n v="19"/>
    <x v="6"/>
    <n v="23"/>
    <n v="2848.96"/>
  </r>
  <r>
    <x v="358"/>
    <s v="South"/>
    <s v="Karnataka"/>
    <x v="7"/>
    <x v="2"/>
    <n v="15"/>
    <x v="8"/>
    <n v="36"/>
    <n v="3611.2"/>
  </r>
  <r>
    <x v="103"/>
    <s v="South"/>
    <s v="Karnataka"/>
    <x v="12"/>
    <x v="2"/>
    <n v="19"/>
    <x v="7"/>
    <n v="47"/>
    <n v="2873.83"/>
  </r>
  <r>
    <x v="372"/>
    <s v="South"/>
    <s v="Karnataka"/>
    <x v="12"/>
    <x v="2"/>
    <n v="19"/>
    <x v="4"/>
    <n v="47"/>
    <n v="2873.83"/>
  </r>
  <r>
    <x v="49"/>
    <s v="West"/>
    <s v="Maharashtra"/>
    <x v="11"/>
    <x v="0"/>
    <n v="18"/>
    <x v="9"/>
    <n v="37"/>
    <n v="3040.28"/>
  </r>
  <r>
    <x v="103"/>
    <s v="South"/>
    <s v="Karnataka"/>
    <x v="2"/>
    <x v="0"/>
    <n v="12"/>
    <x v="5"/>
    <n v="21"/>
    <n v="4572.79"/>
  </r>
  <r>
    <x v="10"/>
    <s v="South"/>
    <s v="Karnataka"/>
    <x v="2"/>
    <x v="0"/>
    <n v="13"/>
    <x v="0"/>
    <n v="31"/>
    <n v="4226.47"/>
  </r>
  <r>
    <x v="373"/>
    <s v="South"/>
    <s v="Karnataka"/>
    <x v="2"/>
    <x v="0"/>
    <n v="13"/>
    <x v="0"/>
    <n v="31"/>
    <n v="4226.47"/>
  </r>
  <r>
    <x v="261"/>
    <s v="South"/>
    <s v="Tamil Nadu"/>
    <x v="6"/>
    <x v="3"/>
    <n v="17"/>
    <x v="1"/>
    <n v="43"/>
    <n v="3233.82"/>
  </r>
  <r>
    <x v="11"/>
    <s v="South"/>
    <s v="Karnataka"/>
    <x v="12"/>
    <x v="2"/>
    <n v="20"/>
    <x v="2"/>
    <n v="47"/>
    <n v="2750.28"/>
  </r>
  <r>
    <x v="223"/>
    <s v="West"/>
    <s v="Gujarat"/>
    <x v="9"/>
    <x v="2"/>
    <n v="14"/>
    <x v="1"/>
    <n v="35"/>
    <n v="3931.74"/>
  </r>
  <r>
    <x v="282"/>
    <s v="South"/>
    <s v="Karnataka"/>
    <x v="7"/>
    <x v="1"/>
    <n v="19"/>
    <x v="10"/>
    <n v="48"/>
    <n v="2900.31"/>
  </r>
  <r>
    <x v="85"/>
    <s v="South"/>
    <s v="Karnataka"/>
    <x v="2"/>
    <x v="3"/>
    <n v="18"/>
    <x v="5"/>
    <n v="39"/>
    <n v="3102.47"/>
  </r>
  <r>
    <x v="85"/>
    <s v="South"/>
    <s v="Tamil Nadu"/>
    <x v="8"/>
    <x v="3"/>
    <n v="14"/>
    <x v="6"/>
    <n v="36"/>
    <n v="4009.33"/>
  </r>
  <r>
    <x v="53"/>
    <s v="South"/>
    <s v="Karnataka"/>
    <x v="12"/>
    <x v="2"/>
    <n v="13"/>
    <x v="5"/>
    <n v="42"/>
    <n v="4337.22"/>
  </r>
  <r>
    <x v="153"/>
    <s v="North"/>
    <s v="Delhi"/>
    <x v="4"/>
    <x v="1"/>
    <n v="13"/>
    <x v="1"/>
    <n v="42"/>
    <n v="4339.46"/>
  </r>
  <r>
    <x v="236"/>
    <s v="West"/>
    <s v="Maharashtra"/>
    <x v="3"/>
    <x v="1"/>
    <n v="12"/>
    <x v="9"/>
    <n v="19"/>
    <n v="4713.26"/>
  </r>
  <r>
    <x v="166"/>
    <s v="West"/>
    <s v="Maharashtra"/>
    <x v="3"/>
    <x v="3"/>
    <n v="13"/>
    <x v="0"/>
    <n v="53"/>
    <n v="4357.0200000000004"/>
  </r>
  <r>
    <x v="115"/>
    <s v="South"/>
    <s v="Karnataka"/>
    <x v="12"/>
    <x v="2"/>
    <n v="17"/>
    <x v="8"/>
    <n v="25"/>
    <n v="3342.49"/>
  </r>
  <r>
    <x v="288"/>
    <s v="West"/>
    <s v="Maharashtra"/>
    <x v="11"/>
    <x v="3"/>
    <n v="12"/>
    <x v="6"/>
    <n v="54"/>
    <n v="4765.33"/>
  </r>
  <r>
    <x v="269"/>
    <s v="South"/>
    <s v="Tamil Nadu"/>
    <x v="6"/>
    <x v="4"/>
    <n v="20"/>
    <x v="1"/>
    <n v="24"/>
    <n v="2860.11"/>
  </r>
  <r>
    <x v="123"/>
    <s v="South"/>
    <s v="Tamil Nadu"/>
    <x v="8"/>
    <x v="1"/>
    <n v="20"/>
    <x v="9"/>
    <n v="47"/>
    <n v="2860.96"/>
  </r>
  <r>
    <x v="336"/>
    <s v="West"/>
    <s v="Maharashtra"/>
    <x v="5"/>
    <x v="3"/>
    <n v="16"/>
    <x v="0"/>
    <n v="40"/>
    <n v="3580.79"/>
  </r>
  <r>
    <x v="363"/>
    <s v="South"/>
    <s v="Tamil Nadu"/>
    <x v="8"/>
    <x v="2"/>
    <n v="16"/>
    <x v="6"/>
    <n v="46"/>
    <n v="3586.87"/>
  </r>
  <r>
    <x v="14"/>
    <s v="West"/>
    <s v="Maharashtra"/>
    <x v="3"/>
    <x v="2"/>
    <n v="16"/>
    <x v="4"/>
    <n v="45"/>
    <n v="3599.32"/>
  </r>
  <r>
    <x v="374"/>
    <s v="South"/>
    <s v="Karnataka"/>
    <x v="12"/>
    <x v="4"/>
    <n v="19"/>
    <x v="5"/>
    <n v="53"/>
    <n v="3044.32"/>
  </r>
  <r>
    <x v="344"/>
    <s v="North"/>
    <s v="Delhi"/>
    <x v="4"/>
    <x v="1"/>
    <n v="16"/>
    <x v="5"/>
    <n v="29"/>
    <n v="3625.28"/>
  </r>
  <r>
    <x v="100"/>
    <s v="South"/>
    <s v="Tamil Nadu"/>
    <x v="8"/>
    <x v="4"/>
    <n v="19"/>
    <x v="7"/>
    <n v="16"/>
    <n v="3074.32"/>
  </r>
  <r>
    <x v="375"/>
    <s v="South"/>
    <s v="Tamil Nadu"/>
    <x v="6"/>
    <x v="3"/>
    <n v="15"/>
    <x v="9"/>
    <n v="25"/>
    <n v="3897.39"/>
  </r>
  <r>
    <x v="246"/>
    <s v="South"/>
    <s v="Tamil Nadu"/>
    <x v="0"/>
    <x v="3"/>
    <n v="15"/>
    <x v="2"/>
    <n v="21"/>
    <n v="3909.42"/>
  </r>
  <r>
    <x v="212"/>
    <s v="South"/>
    <s v="Karnataka"/>
    <x v="12"/>
    <x v="3"/>
    <n v="14"/>
    <x v="5"/>
    <n v="18"/>
    <n v="4192.8599999999997"/>
  </r>
  <r>
    <x v="187"/>
    <s v="South"/>
    <s v="Karnataka"/>
    <x v="7"/>
    <x v="2"/>
    <n v="14"/>
    <x v="2"/>
    <n v="42"/>
    <n v="4200.9799999999996"/>
  </r>
  <r>
    <x v="86"/>
    <s v="North"/>
    <s v="Delhi"/>
    <x v="13"/>
    <x v="1"/>
    <n v="13"/>
    <x v="10"/>
    <n v="29"/>
    <n v="4542.74"/>
  </r>
  <r>
    <x v="125"/>
    <s v="South"/>
    <s v="Karnataka"/>
    <x v="2"/>
    <x v="0"/>
    <n v="15"/>
    <x v="9"/>
    <n v="48"/>
    <n v="3943.63"/>
  </r>
  <r>
    <x v="217"/>
    <s v="North"/>
    <s v="Delhi"/>
    <x v="4"/>
    <x v="3"/>
    <n v="18"/>
    <x v="2"/>
    <n v="27"/>
    <n v="3287.05"/>
  </r>
  <r>
    <x v="117"/>
    <s v="West"/>
    <s v="Maharashtra"/>
    <x v="11"/>
    <x v="3"/>
    <n v="16"/>
    <x v="5"/>
    <n v="45"/>
    <n v="3702.43"/>
  </r>
  <r>
    <x v="22"/>
    <s v="West"/>
    <s v="Maharashtra"/>
    <x v="5"/>
    <x v="3"/>
    <n v="17"/>
    <x v="6"/>
    <n v="52"/>
    <n v="3490.72"/>
  </r>
  <r>
    <x v="31"/>
    <s v="South"/>
    <s v="Karnataka"/>
    <x v="2"/>
    <x v="4"/>
    <n v="12"/>
    <x v="0"/>
    <n v="53"/>
    <n v="4945.7700000000004"/>
  </r>
  <r>
    <x v="286"/>
    <s v="South"/>
    <s v="Karnataka"/>
    <x v="2"/>
    <x v="0"/>
    <n v="12"/>
    <x v="8"/>
    <n v="53"/>
    <n v="4964.87"/>
  </r>
  <r>
    <x v="42"/>
    <s v="South"/>
    <s v="Karnataka"/>
    <x v="7"/>
    <x v="4"/>
    <n v="13"/>
    <x v="3"/>
    <n v="50"/>
    <n v="4650.74"/>
  </r>
  <r>
    <x v="271"/>
    <s v="North"/>
    <s v="Delhi"/>
    <x v="10"/>
    <x v="0"/>
    <n v="16"/>
    <x v="7"/>
    <n v="51"/>
    <n v="3788.36"/>
  </r>
  <r>
    <x v="217"/>
    <s v="North"/>
    <s v="Delhi"/>
    <x v="10"/>
    <x v="0"/>
    <n v="16"/>
    <x v="9"/>
    <n v="37"/>
    <n v="3836.1"/>
  </r>
  <r>
    <x v="332"/>
    <s v="North"/>
    <s v="Delhi"/>
    <x v="4"/>
    <x v="3"/>
    <n v="20"/>
    <x v="7"/>
    <n v="40"/>
    <n v="3069.92"/>
  </r>
  <r>
    <x v="66"/>
    <s v="West"/>
    <s v="Maharashtra"/>
    <x v="5"/>
    <x v="1"/>
    <n v="14"/>
    <x v="0"/>
    <n v="34"/>
    <n v="4428"/>
  </r>
  <r>
    <x v="179"/>
    <s v="South"/>
    <s v="Karnataka"/>
    <x v="7"/>
    <x v="0"/>
    <n v="16"/>
    <x v="9"/>
    <n v="30"/>
    <n v="3895.18"/>
  </r>
  <r>
    <x v="326"/>
    <s v="South"/>
    <s v="Karnataka"/>
    <x v="12"/>
    <x v="1"/>
    <n v="16"/>
    <x v="6"/>
    <n v="54"/>
    <n v="3897.57"/>
  </r>
  <r>
    <x v="13"/>
    <s v="North"/>
    <s v="Delhi"/>
    <x v="4"/>
    <x v="0"/>
    <n v="14"/>
    <x v="5"/>
    <n v="23"/>
    <n v="4457.21"/>
  </r>
  <r>
    <x v="376"/>
    <s v="North"/>
    <s v="Delhi"/>
    <x v="4"/>
    <x v="0"/>
    <n v="14"/>
    <x v="4"/>
    <n v="23"/>
    <n v="4457.21"/>
  </r>
  <r>
    <x v="245"/>
    <s v="North"/>
    <s v="Delhi"/>
    <x v="4"/>
    <x v="2"/>
    <n v="17"/>
    <x v="10"/>
    <n v="36"/>
    <n v="3679.89"/>
  </r>
  <r>
    <x v="377"/>
    <s v="South"/>
    <s v="Karnataka"/>
    <x v="7"/>
    <x v="0"/>
    <n v="16"/>
    <x v="1"/>
    <n v="30"/>
    <n v="3931.95"/>
  </r>
  <r>
    <x v="261"/>
    <s v="West"/>
    <s v="Maharashtra"/>
    <x v="5"/>
    <x v="3"/>
    <n v="13"/>
    <x v="10"/>
    <n v="53"/>
    <n v="4850.17"/>
  </r>
  <r>
    <x v="378"/>
    <s v="West"/>
    <s v="Gujarat"/>
    <x v="9"/>
    <x v="0"/>
    <n v="19"/>
    <x v="0"/>
    <n v="25"/>
    <n v="3326.91"/>
  </r>
  <r>
    <x v="92"/>
    <s v="South"/>
    <s v="Tamil Nadu"/>
    <x v="8"/>
    <x v="1"/>
    <n v="19"/>
    <x v="8"/>
    <n v="17"/>
    <n v="3336.46"/>
  </r>
  <r>
    <x v="305"/>
    <s v="West"/>
    <s v="Gujarat"/>
    <x v="9"/>
    <x v="4"/>
    <n v="18"/>
    <x v="8"/>
    <n v="44"/>
    <n v="3524.11"/>
  </r>
  <r>
    <x v="246"/>
    <s v="South"/>
    <s v="Karnataka"/>
    <x v="7"/>
    <x v="3"/>
    <n v="16"/>
    <x v="2"/>
    <n v="24"/>
    <n v="3981.76"/>
  </r>
  <r>
    <x v="69"/>
    <s v="West"/>
    <s v="Maharashtra"/>
    <x v="3"/>
    <x v="4"/>
    <n v="16"/>
    <x v="5"/>
    <n v="34"/>
    <n v="3988.32"/>
  </r>
  <r>
    <x v="104"/>
    <s v="South"/>
    <s v="Tamil Nadu"/>
    <x v="6"/>
    <x v="4"/>
    <n v="13"/>
    <x v="10"/>
    <n v="55"/>
    <n v="4911.57"/>
  </r>
  <r>
    <x v="254"/>
    <s v="South"/>
    <s v="Karnataka"/>
    <x v="7"/>
    <x v="0"/>
    <n v="15"/>
    <x v="9"/>
    <n v="51"/>
    <n v="4262.53"/>
  </r>
  <r>
    <x v="219"/>
    <s v="South"/>
    <s v="Karnataka"/>
    <x v="12"/>
    <x v="0"/>
    <n v="15"/>
    <x v="1"/>
    <n v="27"/>
    <n v="4269.32"/>
  </r>
  <r>
    <x v="305"/>
    <s v="West"/>
    <s v="Gujarat"/>
    <x v="14"/>
    <x v="1"/>
    <n v="18"/>
    <x v="5"/>
    <n v="49"/>
    <n v="3561.06"/>
  </r>
  <r>
    <x v="198"/>
    <s v="West"/>
    <s v="Maharashtra"/>
    <x v="3"/>
    <x v="1"/>
    <n v="19"/>
    <x v="9"/>
    <n v="22"/>
    <n v="3374.33"/>
  </r>
  <r>
    <x v="261"/>
    <s v="South"/>
    <s v="Tamil Nadu"/>
    <x v="8"/>
    <x v="3"/>
    <n v="17"/>
    <x v="3"/>
    <n v="16"/>
    <n v="3771.79"/>
  </r>
  <r>
    <x v="84"/>
    <s v="West"/>
    <s v="Gujarat"/>
    <x v="1"/>
    <x v="4"/>
    <n v="17"/>
    <x v="10"/>
    <n v="54"/>
    <n v="3791.82"/>
  </r>
  <r>
    <x v="228"/>
    <s v="West"/>
    <s v="Maharashtra"/>
    <x v="11"/>
    <x v="3"/>
    <n v="13"/>
    <x v="4"/>
    <n v="41"/>
    <n v="4985.82"/>
  </r>
  <r>
    <x v="379"/>
    <s v="West"/>
    <s v="Maharashtra"/>
    <x v="11"/>
    <x v="3"/>
    <n v="13"/>
    <x v="4"/>
    <n v="41"/>
    <n v="4985.82"/>
  </r>
  <r>
    <x v="90"/>
    <s v="West"/>
    <s v="Gujarat"/>
    <x v="1"/>
    <x v="4"/>
    <n v="18"/>
    <x v="0"/>
    <n v="16"/>
    <n v="3602.65"/>
  </r>
  <r>
    <x v="217"/>
    <s v="North"/>
    <s v="Delhi"/>
    <x v="13"/>
    <x v="3"/>
    <n v="18"/>
    <x v="10"/>
    <n v="21"/>
    <n v="3614.6"/>
  </r>
  <r>
    <x v="232"/>
    <s v="West"/>
    <s v="Maharashtra"/>
    <x v="5"/>
    <x v="4"/>
    <n v="14"/>
    <x v="0"/>
    <n v="44"/>
    <n v="4649.53"/>
  </r>
  <r>
    <x v="380"/>
    <s v="West"/>
    <s v="Maharashtra"/>
    <x v="5"/>
    <x v="4"/>
    <n v="14"/>
    <x v="0"/>
    <n v="44"/>
    <n v="4649.53"/>
  </r>
  <r>
    <x v="311"/>
    <s v="South"/>
    <s v="Tamil Nadu"/>
    <x v="6"/>
    <x v="3"/>
    <n v="20"/>
    <x v="4"/>
    <n v="42"/>
    <n v="3280.87"/>
  </r>
  <r>
    <x v="381"/>
    <s v="North"/>
    <s v="Delhi"/>
    <x v="10"/>
    <x v="2"/>
    <n v="17"/>
    <x v="2"/>
    <n v="20"/>
    <n v="3878.66"/>
  </r>
  <r>
    <x v="210"/>
    <s v="South"/>
    <s v="Karnataka"/>
    <x v="2"/>
    <x v="4"/>
    <n v="15"/>
    <x v="2"/>
    <n v="55"/>
    <n v="4402.43"/>
  </r>
  <r>
    <x v="382"/>
    <s v="South"/>
    <s v="Karnataka"/>
    <x v="2"/>
    <x v="4"/>
    <n v="15"/>
    <x v="4"/>
    <n v="55"/>
    <n v="4402.43"/>
  </r>
  <r>
    <x v="96"/>
    <s v="South"/>
    <s v="Tamil Nadu"/>
    <x v="6"/>
    <x v="4"/>
    <n v="15"/>
    <x v="2"/>
    <n v="19"/>
    <n v="4426.4399999999996"/>
  </r>
  <r>
    <x v="328"/>
    <s v="South"/>
    <s v="Tamil Nadu"/>
    <x v="8"/>
    <x v="2"/>
    <n v="20"/>
    <x v="1"/>
    <n v="44"/>
    <n v="3331.04"/>
  </r>
  <r>
    <x v="188"/>
    <s v="South"/>
    <s v="Tamil Nadu"/>
    <x v="6"/>
    <x v="1"/>
    <n v="17"/>
    <x v="7"/>
    <n v="32"/>
    <n v="3933.92"/>
  </r>
  <r>
    <x v="31"/>
    <s v="West"/>
    <s v="Gujarat"/>
    <x v="1"/>
    <x v="4"/>
    <n v="17"/>
    <x v="1"/>
    <n v="33"/>
    <n v="3971.7"/>
  </r>
  <r>
    <x v="326"/>
    <s v="West"/>
    <s v="Gujarat"/>
    <x v="9"/>
    <x v="4"/>
    <n v="14"/>
    <x v="1"/>
    <n v="46"/>
    <n v="4839.1099999999997"/>
  </r>
  <r>
    <x v="54"/>
    <s v="South"/>
    <s v="Karnataka"/>
    <x v="12"/>
    <x v="3"/>
    <n v="15"/>
    <x v="0"/>
    <n v="20"/>
    <n v="4545.26"/>
  </r>
  <r>
    <x v="37"/>
    <s v="South"/>
    <s v="Karnataka"/>
    <x v="7"/>
    <x v="1"/>
    <n v="14"/>
    <x v="6"/>
    <n v="16"/>
    <n v="4894.84"/>
  </r>
  <r>
    <x v="263"/>
    <s v="North"/>
    <s v="Delhi"/>
    <x v="4"/>
    <x v="4"/>
    <n v="17"/>
    <x v="8"/>
    <n v="49"/>
    <n v="4033.84"/>
  </r>
  <r>
    <x v="203"/>
    <s v="South"/>
    <s v="Tamil Nadu"/>
    <x v="8"/>
    <x v="2"/>
    <n v="15"/>
    <x v="8"/>
    <n v="30"/>
    <n v="4579.29"/>
  </r>
  <r>
    <x v="5"/>
    <s v="North"/>
    <s v="Delhi"/>
    <x v="10"/>
    <x v="1"/>
    <n v="20"/>
    <x v="9"/>
    <n v="19"/>
    <n v="3438.25"/>
  </r>
  <r>
    <x v="383"/>
    <s v="South"/>
    <s v="Tamil Nadu"/>
    <x v="8"/>
    <x v="3"/>
    <n v="14"/>
    <x v="10"/>
    <n v="38"/>
    <n v="4935.34"/>
  </r>
  <r>
    <x v="2"/>
    <s v="West"/>
    <s v="Gujarat"/>
    <x v="14"/>
    <x v="2"/>
    <n v="19"/>
    <x v="9"/>
    <n v="18"/>
    <n v="3649.75"/>
  </r>
  <r>
    <x v="229"/>
    <s v="West"/>
    <s v="Maharashtra"/>
    <x v="3"/>
    <x v="2"/>
    <n v="17"/>
    <x v="9"/>
    <n v="46"/>
    <n v="4082.38"/>
  </r>
  <r>
    <x v="22"/>
    <s v="West"/>
    <s v="Gujarat"/>
    <x v="14"/>
    <x v="4"/>
    <n v="20"/>
    <x v="8"/>
    <n v="30"/>
    <n v="3470.23"/>
  </r>
  <r>
    <x v="178"/>
    <s v="West"/>
    <s v="Maharashtra"/>
    <x v="3"/>
    <x v="4"/>
    <n v="20"/>
    <x v="8"/>
    <n v="25"/>
    <n v="3474.05"/>
  </r>
  <r>
    <x v="4"/>
    <s v="South"/>
    <s v="Karnataka"/>
    <x v="7"/>
    <x v="2"/>
    <n v="17"/>
    <x v="0"/>
    <n v="44"/>
    <n v="4088.77"/>
  </r>
  <r>
    <x v="69"/>
    <s v="South"/>
    <s v="Karnataka"/>
    <x v="7"/>
    <x v="0"/>
    <n v="16"/>
    <x v="9"/>
    <n v="40"/>
    <n v="4354.03"/>
  </r>
  <r>
    <x v="144"/>
    <s v="West"/>
    <s v="Maharashtra"/>
    <x v="5"/>
    <x v="1"/>
    <n v="17"/>
    <x v="7"/>
    <n v="42"/>
    <n v="4100.2700000000004"/>
  </r>
  <r>
    <x v="146"/>
    <s v="North"/>
    <s v="Delhi"/>
    <x v="4"/>
    <x v="4"/>
    <n v="16"/>
    <x v="9"/>
    <n v="37"/>
    <n v="4364.8999999999996"/>
  </r>
  <r>
    <x v="114"/>
    <s v="West"/>
    <s v="Maharashtra"/>
    <x v="5"/>
    <x v="3"/>
    <n v="15"/>
    <x v="10"/>
    <n v="25"/>
    <n v="4657.82"/>
  </r>
  <r>
    <x v="89"/>
    <s v="South"/>
    <s v="Karnataka"/>
    <x v="7"/>
    <x v="0"/>
    <n v="15"/>
    <x v="10"/>
    <n v="52"/>
    <n v="4659.8"/>
  </r>
  <r>
    <x v="242"/>
    <s v="West"/>
    <s v="Maharashtra"/>
    <x v="11"/>
    <x v="2"/>
    <n v="19"/>
    <x v="3"/>
    <n v="50"/>
    <n v="3683.04"/>
  </r>
  <r>
    <x v="333"/>
    <s v="North"/>
    <s v="Delhi"/>
    <x v="4"/>
    <x v="1"/>
    <n v="15"/>
    <x v="1"/>
    <n v="44"/>
    <n v="4667.42"/>
  </r>
  <r>
    <x v="135"/>
    <s v="West"/>
    <s v="Gujarat"/>
    <x v="9"/>
    <x v="4"/>
    <n v="15"/>
    <x v="3"/>
    <n v="28"/>
    <n v="4678.57"/>
  </r>
  <r>
    <x v="249"/>
    <s v="North"/>
    <s v="Delhi"/>
    <x v="10"/>
    <x v="4"/>
    <n v="19"/>
    <x v="8"/>
    <n v="34"/>
    <n v="3694.62"/>
  </r>
  <r>
    <x v="117"/>
    <s v="West"/>
    <s v="Gujarat"/>
    <x v="1"/>
    <x v="3"/>
    <n v="17"/>
    <x v="9"/>
    <n v="39"/>
    <n v="4136.3100000000004"/>
  </r>
  <r>
    <x v="192"/>
    <s v="South"/>
    <s v="Karnataka"/>
    <x v="7"/>
    <x v="2"/>
    <n v="18"/>
    <x v="5"/>
    <n v="24"/>
    <n v="3913.42"/>
  </r>
  <r>
    <x v="272"/>
    <s v="West"/>
    <s v="Maharashtra"/>
    <x v="5"/>
    <x v="1"/>
    <n v="19"/>
    <x v="1"/>
    <n v="23"/>
    <n v="3718.59"/>
  </r>
  <r>
    <x v="9"/>
    <s v="South"/>
    <s v="Tamil Nadu"/>
    <x v="6"/>
    <x v="3"/>
    <n v="15"/>
    <x v="9"/>
    <n v="21"/>
    <n v="4724.91"/>
  </r>
  <r>
    <x v="296"/>
    <s v="West"/>
    <s v="Gujarat"/>
    <x v="1"/>
    <x v="0"/>
    <n v="18"/>
    <x v="10"/>
    <n v="32"/>
    <n v="3943.82"/>
  </r>
  <r>
    <x v="277"/>
    <s v="West"/>
    <s v="Gujarat"/>
    <x v="14"/>
    <x v="1"/>
    <n v="18"/>
    <x v="0"/>
    <n v="46"/>
    <n v="3982.89"/>
  </r>
  <r>
    <x v="59"/>
    <s v="West"/>
    <s v="Maharashtra"/>
    <x v="5"/>
    <x v="4"/>
    <n v="15"/>
    <x v="2"/>
    <n v="44"/>
    <n v="4785.6099999999997"/>
  </r>
  <r>
    <x v="349"/>
    <s v="West"/>
    <s v="Maharashtra"/>
    <x v="5"/>
    <x v="2"/>
    <n v="15"/>
    <x v="0"/>
    <n v="22"/>
    <n v="4822.26"/>
  </r>
  <r>
    <x v="337"/>
    <s v="West"/>
    <s v="Maharashtra"/>
    <x v="3"/>
    <x v="3"/>
    <n v="18"/>
    <x v="9"/>
    <n v="28"/>
    <n v="4022.66"/>
  </r>
  <r>
    <x v="36"/>
    <s v="North"/>
    <s v="Delhi"/>
    <x v="4"/>
    <x v="0"/>
    <n v="18"/>
    <x v="7"/>
    <n v="40"/>
    <n v="4059.82"/>
  </r>
  <r>
    <x v="302"/>
    <s v="South"/>
    <s v="Tamil Nadu"/>
    <x v="6"/>
    <x v="0"/>
    <n v="20"/>
    <x v="5"/>
    <n v="38"/>
    <n v="3684.86"/>
  </r>
  <r>
    <x v="384"/>
    <s v="West"/>
    <s v="Gujarat"/>
    <x v="9"/>
    <x v="4"/>
    <n v="16"/>
    <x v="10"/>
    <n v="25"/>
    <n v="4614.01"/>
  </r>
  <r>
    <x v="374"/>
    <s v="South"/>
    <s v="Tamil Nadu"/>
    <x v="0"/>
    <x v="3"/>
    <n v="18"/>
    <x v="10"/>
    <n v="54"/>
    <n v="4103.6099999999997"/>
  </r>
  <r>
    <x v="33"/>
    <s v="West"/>
    <s v="Gujarat"/>
    <x v="1"/>
    <x v="4"/>
    <n v="19"/>
    <x v="9"/>
    <n v="23"/>
    <n v="3907.56"/>
  </r>
  <r>
    <x v="231"/>
    <s v="South"/>
    <s v="Karnataka"/>
    <x v="2"/>
    <x v="1"/>
    <n v="20"/>
    <x v="5"/>
    <n v="20"/>
    <n v="3728.46"/>
  </r>
  <r>
    <x v="12"/>
    <s v="West"/>
    <s v="Maharashtra"/>
    <x v="11"/>
    <x v="3"/>
    <n v="19"/>
    <x v="9"/>
    <n v="49"/>
    <n v="3927.27"/>
  </r>
  <r>
    <x v="288"/>
    <s v="South"/>
    <s v="Tamil Nadu"/>
    <x v="8"/>
    <x v="2"/>
    <n v="20"/>
    <x v="9"/>
    <n v="19"/>
    <n v="3751.01"/>
  </r>
  <r>
    <x v="344"/>
    <s v="South"/>
    <s v="Tamil Nadu"/>
    <x v="6"/>
    <x v="2"/>
    <n v="18"/>
    <x v="3"/>
    <n v="32"/>
    <n v="4168.59"/>
  </r>
  <r>
    <x v="385"/>
    <s v="North"/>
    <s v="Delhi"/>
    <x v="10"/>
    <x v="4"/>
    <n v="20"/>
    <x v="9"/>
    <n v="38"/>
    <n v="3753.15"/>
  </r>
  <r>
    <x v="194"/>
    <s v="West"/>
    <s v="Gujarat"/>
    <x v="1"/>
    <x v="3"/>
    <n v="17"/>
    <x v="9"/>
    <n v="43"/>
    <n v="4427.79"/>
  </r>
  <r>
    <x v="31"/>
    <s v="South"/>
    <s v="Karnataka"/>
    <x v="2"/>
    <x v="1"/>
    <n v="16"/>
    <x v="3"/>
    <n v="49"/>
    <n v="4720.2299999999996"/>
  </r>
  <r>
    <x v="203"/>
    <s v="West"/>
    <s v="Maharashtra"/>
    <x v="3"/>
    <x v="2"/>
    <n v="16"/>
    <x v="4"/>
    <n v="28"/>
    <n v="4780.7700000000004"/>
  </r>
  <r>
    <x v="37"/>
    <s v="North"/>
    <s v="Delhi"/>
    <x v="4"/>
    <x v="4"/>
    <n v="17"/>
    <x v="3"/>
    <n v="18"/>
    <n v="4502.3900000000003"/>
  </r>
  <r>
    <x v="48"/>
    <s v="South"/>
    <s v="Tamil Nadu"/>
    <x v="0"/>
    <x v="2"/>
    <n v="17"/>
    <x v="8"/>
    <n v="44"/>
    <n v="4515.21"/>
  </r>
  <r>
    <x v="50"/>
    <s v="South"/>
    <s v="Karnataka"/>
    <x v="2"/>
    <x v="2"/>
    <n v="17"/>
    <x v="9"/>
    <n v="39"/>
    <n v="4517.78"/>
  </r>
  <r>
    <x v="76"/>
    <s v="West"/>
    <s v="Gujarat"/>
    <x v="1"/>
    <x v="0"/>
    <n v="16"/>
    <x v="2"/>
    <n v="34"/>
    <n v="4858.3100000000004"/>
  </r>
  <r>
    <x v="193"/>
    <s v="North"/>
    <s v="Delhi"/>
    <x v="4"/>
    <x v="1"/>
    <n v="16"/>
    <x v="4"/>
    <n v="34"/>
    <n v="4860.07"/>
  </r>
  <r>
    <x v="30"/>
    <s v="South"/>
    <s v="Tamil Nadu"/>
    <x v="8"/>
    <x v="0"/>
    <n v="20"/>
    <x v="10"/>
    <n v="26"/>
    <n v="3891.28"/>
  </r>
  <r>
    <x v="332"/>
    <s v="South"/>
    <s v="Tamil Nadu"/>
    <x v="8"/>
    <x v="3"/>
    <n v="19"/>
    <x v="10"/>
    <n v="21"/>
    <n v="4134.01"/>
  </r>
  <r>
    <x v="298"/>
    <s v="West"/>
    <s v="Maharashtra"/>
    <x v="5"/>
    <x v="2"/>
    <n v="19"/>
    <x v="5"/>
    <n v="39"/>
    <n v="4137.4399999999996"/>
  </r>
  <r>
    <x v="58"/>
    <s v="South"/>
    <s v="Karnataka"/>
    <x v="12"/>
    <x v="2"/>
    <n v="20"/>
    <x v="7"/>
    <n v="26"/>
    <n v="3937.67"/>
  </r>
  <r>
    <x v="216"/>
    <s v="South"/>
    <s v="Tamil Nadu"/>
    <x v="0"/>
    <x v="2"/>
    <n v="18"/>
    <x v="1"/>
    <n v="31"/>
    <n v="4403.6899999999996"/>
  </r>
  <r>
    <x v="112"/>
    <s v="South"/>
    <s v="Tamil Nadu"/>
    <x v="8"/>
    <x v="2"/>
    <n v="18"/>
    <x v="10"/>
    <n v="55"/>
    <n v="4422.21"/>
  </r>
  <r>
    <x v="143"/>
    <s v="South"/>
    <s v="Karnataka"/>
    <x v="12"/>
    <x v="1"/>
    <n v="16"/>
    <x v="2"/>
    <n v="21"/>
    <n v="4999.8999999999996"/>
  </r>
  <r>
    <x v="48"/>
    <s v="South"/>
    <s v="Karnataka"/>
    <x v="2"/>
    <x v="1"/>
    <n v="18"/>
    <x v="0"/>
    <n v="18"/>
    <n v="4450.2299999999996"/>
  </r>
  <r>
    <x v="386"/>
    <s v="West"/>
    <s v="Maharashtra"/>
    <x v="11"/>
    <x v="3"/>
    <n v="19"/>
    <x v="6"/>
    <n v="34"/>
    <n v="4229.42"/>
  </r>
  <r>
    <x v="17"/>
    <s v="North"/>
    <s v="Delhi"/>
    <x v="4"/>
    <x v="4"/>
    <n v="20"/>
    <x v="9"/>
    <n v="43"/>
    <n v="4035.61"/>
  </r>
  <r>
    <x v="342"/>
    <s v="West"/>
    <s v="Gujarat"/>
    <x v="14"/>
    <x v="4"/>
    <n v="20"/>
    <x v="3"/>
    <n v="45"/>
    <n v="4066.74"/>
  </r>
  <r>
    <x v="156"/>
    <s v="South"/>
    <s v="Karnataka"/>
    <x v="2"/>
    <x v="0"/>
    <n v="17"/>
    <x v="6"/>
    <n v="55"/>
    <n v="4825.24"/>
  </r>
  <r>
    <x v="243"/>
    <s v="West"/>
    <s v="Gujarat"/>
    <x v="1"/>
    <x v="4"/>
    <n v="19"/>
    <x v="7"/>
    <n v="28"/>
    <n v="4348.7299999999996"/>
  </r>
  <r>
    <x v="120"/>
    <s v="South"/>
    <s v="Tamil Nadu"/>
    <x v="6"/>
    <x v="4"/>
    <n v="17"/>
    <x v="6"/>
    <n v="16"/>
    <n v="4890.5"/>
  </r>
  <r>
    <x v="210"/>
    <s v="South"/>
    <s v="Karnataka"/>
    <x v="2"/>
    <x v="4"/>
    <n v="19"/>
    <x v="5"/>
    <n v="20"/>
    <n v="4411.57"/>
  </r>
  <r>
    <x v="30"/>
    <s v="South"/>
    <s v="Karnataka"/>
    <x v="12"/>
    <x v="4"/>
    <n v="19"/>
    <x v="1"/>
    <n v="40"/>
    <n v="4421.6899999999996"/>
  </r>
  <r>
    <x v="148"/>
    <s v="West"/>
    <s v="Gujarat"/>
    <x v="1"/>
    <x v="3"/>
    <n v="17"/>
    <x v="8"/>
    <n v="42"/>
    <n v="4953.04"/>
  </r>
  <r>
    <x v="342"/>
    <s v="West"/>
    <s v="Maharashtra"/>
    <x v="11"/>
    <x v="0"/>
    <n v="20"/>
    <x v="4"/>
    <n v="25"/>
    <n v="4226.93"/>
  </r>
  <r>
    <x v="146"/>
    <s v="West"/>
    <s v="Maharashtra"/>
    <x v="3"/>
    <x v="3"/>
    <n v="17"/>
    <x v="8"/>
    <n v="31"/>
    <n v="4982.8100000000004"/>
  </r>
  <r>
    <x v="370"/>
    <s v="West"/>
    <s v="Maharashtra"/>
    <x v="11"/>
    <x v="3"/>
    <n v="18"/>
    <x v="3"/>
    <n v="42"/>
    <n v="4721.4399999999996"/>
  </r>
  <r>
    <x v="345"/>
    <s v="West"/>
    <s v="Maharashtra"/>
    <x v="5"/>
    <x v="4"/>
    <n v="20"/>
    <x v="8"/>
    <n v="45"/>
    <n v="4270.08"/>
  </r>
  <r>
    <x v="26"/>
    <s v="North"/>
    <s v="Delhi"/>
    <x v="4"/>
    <x v="3"/>
    <n v="18"/>
    <x v="1"/>
    <n v="47"/>
    <n v="4861.3100000000004"/>
  </r>
  <r>
    <x v="335"/>
    <s v="West"/>
    <s v="Gujarat"/>
    <x v="1"/>
    <x v="3"/>
    <n v="18"/>
    <x v="6"/>
    <n v="18"/>
    <n v="4862.63"/>
  </r>
  <r>
    <x v="292"/>
    <s v="South"/>
    <s v="Tamil Nadu"/>
    <x v="0"/>
    <x v="2"/>
    <n v="20"/>
    <x v="2"/>
    <n v="26"/>
    <n v="4398.47"/>
  </r>
  <r>
    <x v="79"/>
    <s v="South"/>
    <s v="Karnataka"/>
    <x v="2"/>
    <x v="3"/>
    <n v="18"/>
    <x v="10"/>
    <n v="29"/>
    <n v="4888.0200000000004"/>
  </r>
  <r>
    <x v="119"/>
    <s v="South"/>
    <s v="Tamil Nadu"/>
    <x v="0"/>
    <x v="1"/>
    <n v="19"/>
    <x v="7"/>
    <n v="37"/>
    <n v="4642.84"/>
  </r>
  <r>
    <x v="305"/>
    <s v="South"/>
    <s v="Tamil Nadu"/>
    <x v="6"/>
    <x v="4"/>
    <n v="19"/>
    <x v="9"/>
    <n v="43"/>
    <n v="4771.5"/>
  </r>
  <r>
    <x v="286"/>
    <s v="West"/>
    <s v="Maharashtra"/>
    <x v="5"/>
    <x v="0"/>
    <n v="20"/>
    <x v="9"/>
    <n v="27"/>
    <n v="4638.2"/>
  </r>
  <r>
    <x v="221"/>
    <s v="West"/>
    <s v="Gujarat"/>
    <x v="1"/>
    <x v="3"/>
    <n v="19"/>
    <x v="3"/>
    <n v="28"/>
    <n v="4920.4399999999996"/>
  </r>
  <r>
    <x v="234"/>
    <s v="West"/>
    <s v="Maharashtra"/>
    <x v="3"/>
    <x v="1"/>
    <n v="19"/>
    <x v="9"/>
    <n v="52"/>
    <n v="4943.6899999999996"/>
  </r>
  <r>
    <x v="174"/>
    <s v="South"/>
    <s v="Tamil Nadu"/>
    <x v="0"/>
    <x v="1"/>
    <n v="20"/>
    <x v="9"/>
    <n v="37"/>
    <n v="4710.8500000000004"/>
  </r>
  <r>
    <x v="69"/>
    <s v="West"/>
    <s v="Gujarat"/>
    <x v="14"/>
    <x v="2"/>
    <n v="20"/>
    <x v="1"/>
    <n v="21"/>
    <n v="4712.7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5">
  <r>
    <x v="0"/>
    <s v="South"/>
    <s v="Tamil Nadu"/>
    <x v="0"/>
    <x v="0"/>
    <n v="10"/>
    <x v="0"/>
    <x v="0"/>
    <n v="267.32"/>
    <n v="2673.2"/>
  </r>
  <r>
    <x v="0"/>
    <s v="South"/>
    <s v="Tamil Nadu"/>
    <x v="0"/>
    <x v="0"/>
    <n v="1"/>
    <x v="0"/>
    <x v="0"/>
    <n v="267.32"/>
    <n v="267.32"/>
  </r>
  <r>
    <x v="1"/>
    <s v="South"/>
    <s v="Tamil Nadu"/>
    <x v="0"/>
    <x v="0"/>
    <n v="1"/>
    <x v="1"/>
    <x v="0"/>
    <n v="267.32"/>
    <n v="267.32"/>
  </r>
  <r>
    <x v="2"/>
    <s v="West"/>
    <s v="Gujarat"/>
    <x v="1"/>
    <x v="0"/>
    <n v="1"/>
    <x v="2"/>
    <x v="1"/>
    <n v="302.02"/>
    <n v="302.02"/>
  </r>
  <r>
    <x v="2"/>
    <s v="West"/>
    <s v="Gujarat"/>
    <x v="1"/>
    <x v="0"/>
    <n v="1"/>
    <x v="1"/>
    <x v="1"/>
    <n v="302.02"/>
    <n v="302.02"/>
  </r>
  <r>
    <x v="3"/>
    <s v="South"/>
    <s v="Karnataka"/>
    <x v="2"/>
    <x v="1"/>
    <n v="2"/>
    <x v="3"/>
    <x v="2"/>
    <n v="161.19"/>
    <n v="322.38"/>
  </r>
  <r>
    <x v="4"/>
    <s v="West"/>
    <s v="Maharashtra"/>
    <x v="3"/>
    <x v="2"/>
    <n v="3"/>
    <x v="4"/>
    <x v="3"/>
    <n v="116.58"/>
    <n v="349.74"/>
  </r>
  <r>
    <x v="5"/>
    <s v="South"/>
    <s v="Tamil Nadu"/>
    <x v="0"/>
    <x v="2"/>
    <n v="1"/>
    <x v="5"/>
    <x v="4"/>
    <n v="421.27"/>
    <n v="421.27"/>
  </r>
  <r>
    <x v="6"/>
    <s v="North"/>
    <s v="Delhi"/>
    <x v="4"/>
    <x v="2"/>
    <n v="3"/>
    <x v="5"/>
    <x v="5"/>
    <n v="144.38999999999999"/>
    <n v="433.16999999999996"/>
  </r>
  <r>
    <x v="7"/>
    <s v="North"/>
    <s v="Delhi"/>
    <x v="4"/>
    <x v="2"/>
    <n v="3"/>
    <x v="3"/>
    <x v="5"/>
    <n v="144.38999999999999"/>
    <n v="433.16999999999996"/>
  </r>
  <r>
    <x v="8"/>
    <s v="North"/>
    <s v="Delhi"/>
    <x v="4"/>
    <x v="2"/>
    <n v="2"/>
    <x v="2"/>
    <x v="6"/>
    <n v="233.75"/>
    <n v="467.5"/>
  </r>
  <r>
    <x v="8"/>
    <s v="North"/>
    <s v="Delhi"/>
    <x v="4"/>
    <x v="2"/>
    <n v="2"/>
    <x v="1"/>
    <x v="6"/>
    <n v="233.75"/>
    <n v="467.5"/>
  </r>
  <r>
    <x v="9"/>
    <s v="West"/>
    <s v="Maharashtra"/>
    <x v="5"/>
    <x v="1"/>
    <n v="1"/>
    <x v="6"/>
    <x v="7"/>
    <n v="568.54999999999995"/>
    <n v="568.54999999999995"/>
  </r>
  <r>
    <x v="10"/>
    <s v="South"/>
    <s v="Tamil Nadu"/>
    <x v="6"/>
    <x v="1"/>
    <n v="1"/>
    <x v="0"/>
    <x v="8"/>
    <n v="585.58000000000004"/>
    <n v="585.58000000000004"/>
  </r>
  <r>
    <x v="11"/>
    <s v="South"/>
    <s v="Karnataka"/>
    <x v="7"/>
    <x v="3"/>
    <n v="2"/>
    <x v="0"/>
    <x v="9"/>
    <n v="296.52999999999997"/>
    <n v="593.05999999999995"/>
  </r>
  <r>
    <x v="12"/>
    <s v="South"/>
    <s v="Tamil Nadu"/>
    <x v="8"/>
    <x v="4"/>
    <n v="1"/>
    <x v="7"/>
    <x v="10"/>
    <n v="632.39"/>
    <n v="632.39"/>
  </r>
  <r>
    <x v="12"/>
    <s v="South"/>
    <s v="Tamil Nadu"/>
    <x v="8"/>
    <x v="4"/>
    <n v="1"/>
    <x v="1"/>
    <x v="10"/>
    <n v="632.39"/>
    <n v="632.39"/>
  </r>
  <r>
    <x v="13"/>
    <s v="South"/>
    <s v="Tamil Nadu"/>
    <x v="6"/>
    <x v="3"/>
    <n v="1"/>
    <x v="8"/>
    <x v="11"/>
    <n v="648.88"/>
    <n v="648.88"/>
  </r>
  <r>
    <x v="14"/>
    <s v="South"/>
    <s v="Tamil Nadu"/>
    <x v="0"/>
    <x v="2"/>
    <n v="1"/>
    <x v="4"/>
    <x v="12"/>
    <n v="696.38"/>
    <n v="696.38"/>
  </r>
  <r>
    <x v="15"/>
    <s v="North"/>
    <s v="Delhi"/>
    <x v="4"/>
    <x v="0"/>
    <n v="5"/>
    <x v="3"/>
    <x v="10"/>
    <n v="143.78"/>
    <n v="718.9"/>
  </r>
  <r>
    <x v="16"/>
    <s v="West"/>
    <s v="Maharashtra"/>
    <x v="3"/>
    <x v="3"/>
    <n v="3"/>
    <x v="2"/>
    <x v="13"/>
    <n v="264.98"/>
    <n v="794.94"/>
  </r>
  <r>
    <x v="17"/>
    <s v="North"/>
    <s v="Delhi"/>
    <x v="4"/>
    <x v="0"/>
    <n v="1"/>
    <x v="6"/>
    <x v="7"/>
    <n v="840.65"/>
    <n v="840.65"/>
  </r>
  <r>
    <x v="18"/>
    <s v="West"/>
    <s v="Gujarat"/>
    <x v="1"/>
    <x v="4"/>
    <n v="5"/>
    <x v="2"/>
    <x v="14"/>
    <n v="172.99"/>
    <n v="864.95"/>
  </r>
  <r>
    <x v="19"/>
    <s v="South"/>
    <s v="Karnataka"/>
    <x v="2"/>
    <x v="1"/>
    <n v="1"/>
    <x v="6"/>
    <x v="15"/>
    <n v="979.17"/>
    <n v="979.17"/>
  </r>
  <r>
    <x v="20"/>
    <s v="West"/>
    <s v="Gujarat"/>
    <x v="9"/>
    <x v="1"/>
    <n v="1"/>
    <x v="5"/>
    <x v="3"/>
    <n v="983.24"/>
    <n v="983.24"/>
  </r>
  <r>
    <x v="21"/>
    <s v="North"/>
    <s v="Delhi"/>
    <x v="10"/>
    <x v="2"/>
    <n v="2"/>
    <x v="7"/>
    <x v="10"/>
    <n v="528.62"/>
    <n v="1057.24"/>
  </r>
  <r>
    <x v="20"/>
    <s v="West"/>
    <s v="Maharashtra"/>
    <x v="11"/>
    <x v="3"/>
    <n v="6"/>
    <x v="2"/>
    <x v="16"/>
    <n v="177.34"/>
    <n v="1064.04"/>
  </r>
  <r>
    <x v="22"/>
    <s v="North"/>
    <s v="Delhi"/>
    <x v="10"/>
    <x v="3"/>
    <n v="5"/>
    <x v="0"/>
    <x v="17"/>
    <n v="214.25"/>
    <n v="1071.25"/>
  </r>
  <r>
    <x v="23"/>
    <s v="South"/>
    <s v="Tamil Nadu"/>
    <x v="0"/>
    <x v="0"/>
    <n v="1"/>
    <x v="5"/>
    <x v="16"/>
    <n v="1094.8800000000001"/>
    <n v="1094.8800000000001"/>
  </r>
  <r>
    <x v="24"/>
    <s v="South"/>
    <s v="Karnataka"/>
    <x v="2"/>
    <x v="2"/>
    <n v="4"/>
    <x v="8"/>
    <x v="18"/>
    <n v="277.45"/>
    <n v="1109.8"/>
  </r>
  <r>
    <x v="25"/>
    <s v="West"/>
    <s v="Gujarat"/>
    <x v="9"/>
    <x v="1"/>
    <n v="3"/>
    <x v="3"/>
    <x v="16"/>
    <n v="403.5"/>
    <n v="1210.5"/>
  </r>
  <r>
    <x v="26"/>
    <s v="South"/>
    <s v="Karnataka"/>
    <x v="7"/>
    <x v="2"/>
    <n v="1"/>
    <x v="9"/>
    <x v="12"/>
    <n v="1219.0999999999999"/>
    <n v="1219.0999999999999"/>
  </r>
  <r>
    <x v="27"/>
    <s v="South"/>
    <s v="Tamil Nadu"/>
    <x v="6"/>
    <x v="0"/>
    <n v="1"/>
    <x v="1"/>
    <x v="19"/>
    <n v="1239.25"/>
    <n v="1239.25"/>
  </r>
  <r>
    <x v="28"/>
    <s v="West"/>
    <s v="Gujarat"/>
    <x v="1"/>
    <x v="0"/>
    <n v="1"/>
    <x v="8"/>
    <x v="20"/>
    <n v="1286.1099999999999"/>
    <n v="1286.1099999999999"/>
  </r>
  <r>
    <x v="29"/>
    <s v="South"/>
    <s v="Karnataka"/>
    <x v="12"/>
    <x v="1"/>
    <n v="2"/>
    <x v="3"/>
    <x v="21"/>
    <n v="659.83"/>
    <n v="1319.66"/>
  </r>
  <r>
    <x v="30"/>
    <s v="South"/>
    <s v="Tamil Nadu"/>
    <x v="8"/>
    <x v="1"/>
    <n v="1"/>
    <x v="0"/>
    <x v="2"/>
    <n v="1355.14"/>
    <n v="1355.14"/>
  </r>
  <r>
    <x v="31"/>
    <s v="North"/>
    <s v="Delhi"/>
    <x v="10"/>
    <x v="3"/>
    <n v="11"/>
    <x v="10"/>
    <x v="22"/>
    <n v="124.03"/>
    <n v="1364.33"/>
  </r>
  <r>
    <x v="32"/>
    <s v="South"/>
    <s v="Tamil Nadu"/>
    <x v="0"/>
    <x v="4"/>
    <n v="5"/>
    <x v="1"/>
    <x v="23"/>
    <n v="278.31"/>
    <n v="1391.55"/>
  </r>
  <r>
    <x v="33"/>
    <s v="South"/>
    <s v="Karnataka"/>
    <x v="7"/>
    <x v="2"/>
    <n v="3"/>
    <x v="4"/>
    <x v="24"/>
    <n v="468.7"/>
    <n v="1406.1"/>
  </r>
  <r>
    <x v="15"/>
    <s v="North"/>
    <s v="Delhi"/>
    <x v="4"/>
    <x v="4"/>
    <n v="1"/>
    <x v="1"/>
    <x v="2"/>
    <n v="1410.8"/>
    <n v="1410.8"/>
  </r>
  <r>
    <x v="34"/>
    <s v="South"/>
    <s v="Tamil Nadu"/>
    <x v="0"/>
    <x v="4"/>
    <n v="4"/>
    <x v="8"/>
    <x v="15"/>
    <n v="366.33"/>
    <n v="1465.32"/>
  </r>
  <r>
    <x v="35"/>
    <s v="West"/>
    <s v="Maharashtra"/>
    <x v="3"/>
    <x v="3"/>
    <n v="2"/>
    <x v="9"/>
    <x v="25"/>
    <n v="741.33"/>
    <n v="1482.66"/>
  </r>
  <r>
    <x v="19"/>
    <s v="West"/>
    <s v="Maharashtra"/>
    <x v="11"/>
    <x v="3"/>
    <n v="1"/>
    <x v="3"/>
    <x v="26"/>
    <n v="1520.22"/>
    <n v="1520.22"/>
  </r>
  <r>
    <x v="36"/>
    <s v="South"/>
    <s v="Tamil Nadu"/>
    <x v="0"/>
    <x v="2"/>
    <n v="1"/>
    <x v="3"/>
    <x v="27"/>
    <n v="1520.97"/>
    <n v="1520.97"/>
  </r>
  <r>
    <x v="37"/>
    <s v="South"/>
    <s v="Tamil Nadu"/>
    <x v="8"/>
    <x v="1"/>
    <n v="7"/>
    <x v="3"/>
    <x v="23"/>
    <n v="222.61"/>
    <n v="1558.27"/>
  </r>
  <r>
    <x v="38"/>
    <s v="South"/>
    <s v="Tamil Nadu"/>
    <x v="0"/>
    <x v="0"/>
    <n v="2"/>
    <x v="10"/>
    <x v="8"/>
    <n v="779.35"/>
    <n v="1558.7"/>
  </r>
  <r>
    <x v="39"/>
    <s v="North"/>
    <s v="Delhi"/>
    <x v="13"/>
    <x v="1"/>
    <n v="1"/>
    <x v="0"/>
    <x v="28"/>
    <n v="1591.88"/>
    <n v="1591.88"/>
  </r>
  <r>
    <x v="40"/>
    <s v="South"/>
    <s v="Karnataka"/>
    <x v="2"/>
    <x v="2"/>
    <n v="10"/>
    <x v="7"/>
    <x v="10"/>
    <n v="159.27000000000001"/>
    <n v="1592.7"/>
  </r>
  <r>
    <x v="41"/>
    <s v="South"/>
    <s v="Tamil Nadu"/>
    <x v="6"/>
    <x v="2"/>
    <n v="11"/>
    <x v="10"/>
    <x v="24"/>
    <n v="146.47"/>
    <n v="1611.17"/>
  </r>
  <r>
    <x v="42"/>
    <s v="West"/>
    <s v="Maharashtra"/>
    <x v="5"/>
    <x v="3"/>
    <n v="2"/>
    <x v="3"/>
    <x v="29"/>
    <n v="816.12"/>
    <n v="1632.24"/>
  </r>
  <r>
    <x v="43"/>
    <s v="North"/>
    <s v="Delhi"/>
    <x v="4"/>
    <x v="0"/>
    <n v="5"/>
    <x v="4"/>
    <x v="26"/>
    <n v="334.29"/>
    <n v="1671.45"/>
  </r>
  <r>
    <x v="44"/>
    <s v="South"/>
    <s v="Tamil Nadu"/>
    <x v="6"/>
    <x v="0"/>
    <n v="4"/>
    <x v="2"/>
    <x v="25"/>
    <n v="430.91"/>
    <n v="1723.64"/>
  </r>
  <r>
    <x v="45"/>
    <s v="North"/>
    <s v="Delhi"/>
    <x v="4"/>
    <x v="0"/>
    <n v="4"/>
    <x v="8"/>
    <x v="10"/>
    <n v="431.75"/>
    <n v="1727"/>
  </r>
  <r>
    <x v="46"/>
    <s v="North"/>
    <s v="Delhi"/>
    <x v="4"/>
    <x v="2"/>
    <n v="7"/>
    <x v="9"/>
    <x v="8"/>
    <n v="252.75"/>
    <n v="1769.25"/>
  </r>
  <r>
    <x v="47"/>
    <s v="North"/>
    <s v="Delhi"/>
    <x v="10"/>
    <x v="2"/>
    <n v="1"/>
    <x v="9"/>
    <x v="9"/>
    <n v="1793.18"/>
    <n v="1793.18"/>
  </r>
  <r>
    <x v="14"/>
    <s v="South"/>
    <s v="Karnataka"/>
    <x v="7"/>
    <x v="2"/>
    <n v="9"/>
    <x v="9"/>
    <x v="10"/>
    <n v="203.38"/>
    <n v="1830.42"/>
  </r>
  <r>
    <x v="48"/>
    <s v="West"/>
    <s v="Maharashtra"/>
    <x v="11"/>
    <x v="0"/>
    <n v="1"/>
    <x v="9"/>
    <x v="4"/>
    <n v="1889.5"/>
    <n v="1889.5"/>
  </r>
  <r>
    <x v="49"/>
    <s v="West"/>
    <s v="Gujarat"/>
    <x v="1"/>
    <x v="4"/>
    <n v="1"/>
    <x v="4"/>
    <x v="25"/>
    <n v="1898.15"/>
    <n v="1898.15"/>
  </r>
  <r>
    <x v="50"/>
    <s v="South"/>
    <s v="Karnataka"/>
    <x v="7"/>
    <x v="2"/>
    <n v="8"/>
    <x v="9"/>
    <x v="30"/>
    <n v="244.6"/>
    <n v="1956.8"/>
  </r>
  <r>
    <x v="51"/>
    <s v="North"/>
    <s v="Delhi"/>
    <x v="4"/>
    <x v="1"/>
    <n v="1"/>
    <x v="3"/>
    <x v="1"/>
    <n v="1967.8"/>
    <n v="1967.8"/>
  </r>
  <r>
    <x v="52"/>
    <s v="West"/>
    <s v="Gujarat"/>
    <x v="9"/>
    <x v="4"/>
    <n v="7"/>
    <x v="0"/>
    <x v="2"/>
    <n v="281.29000000000002"/>
    <n v="1969.0300000000002"/>
  </r>
  <r>
    <x v="53"/>
    <s v="North"/>
    <s v="Delhi"/>
    <x v="13"/>
    <x v="0"/>
    <n v="1"/>
    <x v="1"/>
    <x v="31"/>
    <n v="1981.82"/>
    <n v="1981.82"/>
  </r>
  <r>
    <x v="54"/>
    <s v="West"/>
    <s v="Maharashtra"/>
    <x v="11"/>
    <x v="0"/>
    <n v="1"/>
    <x v="7"/>
    <x v="23"/>
    <n v="1999.98"/>
    <n v="1999.98"/>
  </r>
  <r>
    <x v="55"/>
    <s v="South"/>
    <s v="Karnataka"/>
    <x v="12"/>
    <x v="2"/>
    <n v="9"/>
    <x v="8"/>
    <x v="31"/>
    <n v="228.49"/>
    <n v="2056.41"/>
  </r>
  <r>
    <x v="56"/>
    <s v="South"/>
    <s v="Tamil Nadu"/>
    <x v="8"/>
    <x v="3"/>
    <n v="7"/>
    <x v="4"/>
    <x v="2"/>
    <n v="299.68"/>
    <n v="2097.7600000000002"/>
  </r>
  <r>
    <x v="57"/>
    <s v="South"/>
    <s v="Karnataka"/>
    <x v="7"/>
    <x v="3"/>
    <n v="2"/>
    <x v="4"/>
    <x v="2"/>
    <n v="1063.3499999999999"/>
    <n v="2126.6999999999998"/>
  </r>
  <r>
    <x v="58"/>
    <s v="North"/>
    <s v="Delhi"/>
    <x v="10"/>
    <x v="0"/>
    <n v="5"/>
    <x v="7"/>
    <x v="24"/>
    <n v="438.69"/>
    <n v="2193.4499999999998"/>
  </r>
  <r>
    <x v="32"/>
    <s v="South"/>
    <s v="Karnataka"/>
    <x v="7"/>
    <x v="4"/>
    <n v="10"/>
    <x v="2"/>
    <x v="6"/>
    <n v="222.55"/>
    <n v="2225.5"/>
  </r>
  <r>
    <x v="59"/>
    <s v="West"/>
    <s v="Gujarat"/>
    <x v="9"/>
    <x v="3"/>
    <n v="12"/>
    <x v="4"/>
    <x v="32"/>
    <n v="186.62"/>
    <n v="2239.44"/>
  </r>
  <r>
    <x v="60"/>
    <s v="West"/>
    <s v="Gujarat"/>
    <x v="14"/>
    <x v="4"/>
    <n v="8"/>
    <x v="8"/>
    <x v="33"/>
    <n v="285.94"/>
    <n v="2287.52"/>
  </r>
  <r>
    <x v="61"/>
    <s v="West"/>
    <s v="Gujarat"/>
    <x v="14"/>
    <x v="4"/>
    <n v="8"/>
    <x v="9"/>
    <x v="33"/>
    <n v="285.94"/>
    <n v="2287.52"/>
  </r>
  <r>
    <x v="62"/>
    <s v="South"/>
    <s v="Karnataka"/>
    <x v="7"/>
    <x v="1"/>
    <n v="3"/>
    <x v="9"/>
    <x v="16"/>
    <n v="772.21"/>
    <n v="2316.63"/>
  </r>
  <r>
    <x v="63"/>
    <s v="West"/>
    <s v="Maharashtra"/>
    <x v="11"/>
    <x v="4"/>
    <n v="11"/>
    <x v="5"/>
    <x v="1"/>
    <n v="212.86"/>
    <n v="2341.46"/>
  </r>
  <r>
    <x v="64"/>
    <s v="South"/>
    <s v="Karnataka"/>
    <x v="12"/>
    <x v="3"/>
    <n v="5"/>
    <x v="7"/>
    <x v="21"/>
    <n v="491.78"/>
    <n v="2458.8999999999996"/>
  </r>
  <r>
    <x v="65"/>
    <s v="North"/>
    <s v="Delhi"/>
    <x v="13"/>
    <x v="2"/>
    <n v="1"/>
    <x v="2"/>
    <x v="11"/>
    <n v="2466.0100000000002"/>
    <n v="2466.0100000000002"/>
  </r>
  <r>
    <x v="66"/>
    <s v="South"/>
    <s v="Tamil Nadu"/>
    <x v="6"/>
    <x v="1"/>
    <n v="8"/>
    <x v="9"/>
    <x v="15"/>
    <n v="308.68"/>
    <n v="2469.44"/>
  </r>
  <r>
    <x v="49"/>
    <s v="North"/>
    <s v="Delhi"/>
    <x v="10"/>
    <x v="4"/>
    <n v="1"/>
    <x v="6"/>
    <x v="15"/>
    <n v="2489.17"/>
    <n v="2489.17"/>
  </r>
  <r>
    <x v="67"/>
    <s v="West"/>
    <s v="Maharashtra"/>
    <x v="11"/>
    <x v="2"/>
    <n v="1"/>
    <x v="7"/>
    <x v="20"/>
    <n v="2517.3200000000002"/>
    <n v="2517.3200000000002"/>
  </r>
  <r>
    <x v="68"/>
    <s v="North"/>
    <s v="Delhi"/>
    <x v="10"/>
    <x v="0"/>
    <n v="8"/>
    <x v="6"/>
    <x v="19"/>
    <n v="315"/>
    <n v="2520"/>
  </r>
  <r>
    <x v="69"/>
    <s v="South"/>
    <s v="Tamil Nadu"/>
    <x v="0"/>
    <x v="3"/>
    <n v="4"/>
    <x v="3"/>
    <x v="21"/>
    <n v="637.89"/>
    <n v="2551.56"/>
  </r>
  <r>
    <x v="70"/>
    <s v="South"/>
    <s v="Tamil Nadu"/>
    <x v="0"/>
    <x v="1"/>
    <n v="15"/>
    <x v="4"/>
    <x v="17"/>
    <n v="170.6"/>
    <n v="2559"/>
  </r>
  <r>
    <x v="71"/>
    <s v="West"/>
    <s v="Gujarat"/>
    <x v="9"/>
    <x v="1"/>
    <n v="1"/>
    <x v="4"/>
    <x v="9"/>
    <n v="2571.59"/>
    <n v="2571.59"/>
  </r>
  <r>
    <x v="37"/>
    <s v="West"/>
    <s v="Gujarat"/>
    <x v="9"/>
    <x v="4"/>
    <n v="2"/>
    <x v="4"/>
    <x v="21"/>
    <n v="1316.79"/>
    <n v="2633.58"/>
  </r>
  <r>
    <x v="72"/>
    <s v="North"/>
    <s v="Delhi"/>
    <x v="10"/>
    <x v="4"/>
    <n v="14"/>
    <x v="4"/>
    <x v="28"/>
    <n v="188.94"/>
    <n v="2645.16"/>
  </r>
  <r>
    <x v="73"/>
    <s v="West"/>
    <s v="Gujarat"/>
    <x v="1"/>
    <x v="1"/>
    <n v="3"/>
    <x v="7"/>
    <x v="4"/>
    <n v="884.5"/>
    <n v="2653.5"/>
  </r>
  <r>
    <x v="74"/>
    <s v="South"/>
    <s v="Tamil Nadu"/>
    <x v="8"/>
    <x v="3"/>
    <n v="1"/>
    <x v="10"/>
    <x v="34"/>
    <n v="2664.84"/>
    <n v="2664.84"/>
  </r>
  <r>
    <x v="25"/>
    <s v="South"/>
    <s v="Karnataka"/>
    <x v="12"/>
    <x v="1"/>
    <n v="1"/>
    <x v="6"/>
    <x v="5"/>
    <n v="2710.27"/>
    <n v="2710.27"/>
  </r>
  <r>
    <x v="75"/>
    <s v="North"/>
    <s v="Delhi"/>
    <x v="13"/>
    <x v="2"/>
    <n v="12"/>
    <x v="6"/>
    <x v="4"/>
    <n v="225.88"/>
    <n v="2710.56"/>
  </r>
  <r>
    <x v="76"/>
    <s v="West"/>
    <s v="Gujarat"/>
    <x v="14"/>
    <x v="2"/>
    <n v="1"/>
    <x v="6"/>
    <x v="1"/>
    <n v="2716.98"/>
    <n v="2716.98"/>
  </r>
  <r>
    <x v="77"/>
    <s v="West"/>
    <s v="Maharashtra"/>
    <x v="3"/>
    <x v="2"/>
    <n v="7"/>
    <x v="3"/>
    <x v="20"/>
    <n v="392.9"/>
    <n v="2750.2999999999997"/>
  </r>
  <r>
    <x v="78"/>
    <s v="West"/>
    <s v="Maharashtra"/>
    <x v="5"/>
    <x v="4"/>
    <n v="2"/>
    <x v="6"/>
    <x v="23"/>
    <n v="1377.64"/>
    <n v="2755.28"/>
  </r>
  <r>
    <x v="79"/>
    <s v="North"/>
    <s v="Delhi"/>
    <x v="10"/>
    <x v="4"/>
    <n v="4"/>
    <x v="10"/>
    <x v="23"/>
    <n v="700.07"/>
    <n v="2800.28"/>
  </r>
  <r>
    <x v="80"/>
    <s v="West"/>
    <s v="Gujarat"/>
    <x v="1"/>
    <x v="0"/>
    <n v="11"/>
    <x v="5"/>
    <x v="19"/>
    <n v="255.3"/>
    <n v="2808.3"/>
  </r>
  <r>
    <x v="54"/>
    <s v="West"/>
    <s v="Gujarat"/>
    <x v="1"/>
    <x v="3"/>
    <n v="11"/>
    <x v="10"/>
    <x v="19"/>
    <n v="255.3"/>
    <n v="2808.3"/>
  </r>
  <r>
    <x v="81"/>
    <s v="South"/>
    <s v="Tamil Nadu"/>
    <x v="6"/>
    <x v="1"/>
    <n v="3"/>
    <x v="10"/>
    <x v="31"/>
    <n v="938.33"/>
    <n v="2814.9900000000002"/>
  </r>
  <r>
    <x v="82"/>
    <s v="South"/>
    <s v="Karnataka"/>
    <x v="12"/>
    <x v="3"/>
    <n v="7"/>
    <x v="1"/>
    <x v="24"/>
    <n v="410.28"/>
    <n v="2871.96"/>
  </r>
  <r>
    <x v="83"/>
    <s v="South"/>
    <s v="Karnataka"/>
    <x v="7"/>
    <x v="4"/>
    <n v="4"/>
    <x v="4"/>
    <x v="23"/>
    <n v="722.05"/>
    <n v="2888.2"/>
  </r>
  <r>
    <x v="34"/>
    <s v="South"/>
    <s v="Tamil Nadu"/>
    <x v="8"/>
    <x v="0"/>
    <n v="6"/>
    <x v="7"/>
    <x v="18"/>
    <n v="484.95"/>
    <n v="2909.7"/>
  </r>
  <r>
    <x v="84"/>
    <s v="South"/>
    <s v="Karnataka"/>
    <x v="2"/>
    <x v="3"/>
    <n v="11"/>
    <x v="8"/>
    <x v="34"/>
    <n v="268.13"/>
    <n v="2949.43"/>
  </r>
  <r>
    <x v="85"/>
    <s v="South"/>
    <s v="Karnataka"/>
    <x v="7"/>
    <x v="1"/>
    <n v="8"/>
    <x v="9"/>
    <x v="30"/>
    <n v="372.22"/>
    <n v="2977.76"/>
  </r>
  <r>
    <x v="86"/>
    <s v="South"/>
    <s v="Karnataka"/>
    <x v="2"/>
    <x v="2"/>
    <n v="1"/>
    <x v="0"/>
    <x v="35"/>
    <n v="3042.8"/>
    <n v="3042.8"/>
  </r>
  <r>
    <x v="87"/>
    <s v="West"/>
    <s v="Maharashtra"/>
    <x v="5"/>
    <x v="4"/>
    <n v="1"/>
    <x v="6"/>
    <x v="36"/>
    <n v="3059.01"/>
    <n v="3059.01"/>
  </r>
  <r>
    <x v="88"/>
    <s v="West"/>
    <s v="Gujarat"/>
    <x v="1"/>
    <x v="1"/>
    <n v="12"/>
    <x v="4"/>
    <x v="29"/>
    <n v="255.59"/>
    <n v="3067.08"/>
  </r>
  <r>
    <x v="89"/>
    <s v="South"/>
    <s v="Karnataka"/>
    <x v="12"/>
    <x v="0"/>
    <n v="3"/>
    <x v="9"/>
    <x v="8"/>
    <n v="1043.3900000000001"/>
    <n v="3130.17"/>
  </r>
  <r>
    <x v="90"/>
    <s v="South"/>
    <s v="Tamil Nadu"/>
    <x v="8"/>
    <x v="4"/>
    <n v="3"/>
    <x v="7"/>
    <x v="6"/>
    <n v="1046.06"/>
    <n v="3138.18"/>
  </r>
  <r>
    <x v="38"/>
    <s v="South"/>
    <s v="Tamil Nadu"/>
    <x v="0"/>
    <x v="3"/>
    <n v="2"/>
    <x v="7"/>
    <x v="17"/>
    <n v="1582.65"/>
    <n v="3165.3"/>
  </r>
  <r>
    <x v="91"/>
    <s v="North"/>
    <s v="Delhi"/>
    <x v="13"/>
    <x v="2"/>
    <n v="16"/>
    <x v="9"/>
    <x v="36"/>
    <n v="199.87"/>
    <n v="3197.92"/>
  </r>
  <r>
    <x v="92"/>
    <s v="South"/>
    <s v="Tamil Nadu"/>
    <x v="6"/>
    <x v="0"/>
    <n v="3"/>
    <x v="0"/>
    <x v="36"/>
    <n v="1076.57"/>
    <n v="3229.71"/>
  </r>
  <r>
    <x v="93"/>
    <s v="West"/>
    <s v="Gujarat"/>
    <x v="9"/>
    <x v="2"/>
    <n v="2"/>
    <x v="6"/>
    <x v="14"/>
    <n v="1673.1"/>
    <n v="3346.2"/>
  </r>
  <r>
    <x v="94"/>
    <s v="South"/>
    <s v="Karnataka"/>
    <x v="12"/>
    <x v="4"/>
    <n v="1"/>
    <x v="5"/>
    <x v="3"/>
    <n v="3374.31"/>
    <n v="3374.31"/>
  </r>
  <r>
    <x v="95"/>
    <s v="West"/>
    <s v="Gujarat"/>
    <x v="14"/>
    <x v="0"/>
    <n v="3"/>
    <x v="10"/>
    <x v="8"/>
    <n v="1129.83"/>
    <n v="3389.49"/>
  </r>
  <r>
    <x v="96"/>
    <s v="West"/>
    <s v="Maharashtra"/>
    <x v="3"/>
    <x v="4"/>
    <n v="2"/>
    <x v="10"/>
    <x v="20"/>
    <n v="1695.6"/>
    <n v="3391.2"/>
  </r>
  <r>
    <x v="97"/>
    <s v="West"/>
    <s v="Maharashtra"/>
    <x v="3"/>
    <x v="2"/>
    <n v="12"/>
    <x v="4"/>
    <x v="11"/>
    <n v="283.86"/>
    <n v="3406.32"/>
  </r>
  <r>
    <x v="78"/>
    <s v="South"/>
    <s v="Karnataka"/>
    <x v="12"/>
    <x v="4"/>
    <n v="3"/>
    <x v="3"/>
    <x v="14"/>
    <n v="1139.5899999999999"/>
    <n v="3418.7699999999995"/>
  </r>
  <r>
    <x v="98"/>
    <s v="West"/>
    <s v="Maharashtra"/>
    <x v="11"/>
    <x v="2"/>
    <n v="19"/>
    <x v="9"/>
    <x v="4"/>
    <n v="182.01"/>
    <n v="3458.1899999999996"/>
  </r>
  <r>
    <x v="20"/>
    <s v="West"/>
    <s v="Maharashtra"/>
    <x v="11"/>
    <x v="0"/>
    <n v="1"/>
    <x v="7"/>
    <x v="19"/>
    <n v="3459.33"/>
    <n v="3459.33"/>
  </r>
  <r>
    <x v="45"/>
    <s v="South"/>
    <s v="Tamil Nadu"/>
    <x v="6"/>
    <x v="0"/>
    <n v="5"/>
    <x v="4"/>
    <x v="24"/>
    <n v="695.3"/>
    <n v="3476.5"/>
  </r>
  <r>
    <x v="3"/>
    <s v="West"/>
    <s v="Gujarat"/>
    <x v="14"/>
    <x v="1"/>
    <n v="5"/>
    <x v="6"/>
    <x v="35"/>
    <n v="714.68"/>
    <n v="3573.3999999999996"/>
  </r>
  <r>
    <x v="99"/>
    <s v="South"/>
    <s v="Tamil Nadu"/>
    <x v="0"/>
    <x v="2"/>
    <n v="3"/>
    <x v="9"/>
    <x v="11"/>
    <n v="1205.6199999999999"/>
    <n v="3616.8599999999997"/>
  </r>
  <r>
    <x v="100"/>
    <s v="South"/>
    <s v="Karnataka"/>
    <x v="7"/>
    <x v="2"/>
    <n v="2"/>
    <x v="7"/>
    <x v="21"/>
    <n v="1827.28"/>
    <n v="3654.56"/>
  </r>
  <r>
    <x v="90"/>
    <s v="West"/>
    <s v="Gujarat"/>
    <x v="14"/>
    <x v="2"/>
    <n v="1"/>
    <x v="9"/>
    <x v="19"/>
    <n v="3658.84"/>
    <n v="3658.84"/>
  </r>
  <r>
    <x v="101"/>
    <s v="West"/>
    <s v="Maharashtra"/>
    <x v="3"/>
    <x v="2"/>
    <n v="11"/>
    <x v="9"/>
    <x v="14"/>
    <n v="335.31"/>
    <n v="3688.41"/>
  </r>
  <r>
    <x v="102"/>
    <s v="West"/>
    <s v="Maharashtra"/>
    <x v="11"/>
    <x v="0"/>
    <n v="1"/>
    <x v="5"/>
    <x v="23"/>
    <n v="3698.2"/>
    <n v="3698.2"/>
  </r>
  <r>
    <x v="103"/>
    <s v="South"/>
    <s v="Tamil Nadu"/>
    <x v="8"/>
    <x v="4"/>
    <n v="14"/>
    <x v="3"/>
    <x v="4"/>
    <n v="264.60000000000002"/>
    <n v="3704.4000000000005"/>
  </r>
  <r>
    <x v="42"/>
    <s v="South"/>
    <s v="Tamil Nadu"/>
    <x v="8"/>
    <x v="4"/>
    <n v="1"/>
    <x v="6"/>
    <x v="37"/>
    <n v="3734.74"/>
    <n v="3734.74"/>
  </r>
  <r>
    <x v="104"/>
    <s v="North"/>
    <s v="Delhi"/>
    <x v="10"/>
    <x v="4"/>
    <n v="10"/>
    <x v="9"/>
    <x v="26"/>
    <n v="373.54"/>
    <n v="3735.4"/>
  </r>
  <r>
    <x v="71"/>
    <s v="South"/>
    <s v="Karnataka"/>
    <x v="2"/>
    <x v="3"/>
    <n v="1"/>
    <x v="2"/>
    <x v="11"/>
    <n v="3754.28"/>
    <n v="3754.28"/>
  </r>
  <r>
    <x v="105"/>
    <s v="South"/>
    <s v="Karnataka"/>
    <x v="2"/>
    <x v="0"/>
    <n v="2"/>
    <x v="5"/>
    <x v="36"/>
    <n v="1888.47"/>
    <n v="3776.94"/>
  </r>
  <r>
    <x v="106"/>
    <s v="North"/>
    <s v="Delhi"/>
    <x v="13"/>
    <x v="3"/>
    <n v="1"/>
    <x v="3"/>
    <x v="36"/>
    <n v="3781.47"/>
    <n v="3781.47"/>
  </r>
  <r>
    <x v="107"/>
    <s v="North"/>
    <s v="Delhi"/>
    <x v="4"/>
    <x v="4"/>
    <n v="4"/>
    <x v="8"/>
    <x v="14"/>
    <n v="961.38"/>
    <n v="3845.52"/>
  </r>
  <r>
    <x v="108"/>
    <s v="North"/>
    <s v="Delhi"/>
    <x v="4"/>
    <x v="4"/>
    <n v="4"/>
    <x v="9"/>
    <x v="14"/>
    <n v="961.38"/>
    <n v="3845.52"/>
  </r>
  <r>
    <x v="109"/>
    <s v="West"/>
    <s v="Maharashtra"/>
    <x v="5"/>
    <x v="2"/>
    <n v="1"/>
    <x v="0"/>
    <x v="2"/>
    <n v="3847.65"/>
    <n v="3847.65"/>
  </r>
  <r>
    <x v="9"/>
    <s v="West"/>
    <s v="Gujarat"/>
    <x v="14"/>
    <x v="1"/>
    <n v="2"/>
    <x v="1"/>
    <x v="11"/>
    <n v="1971"/>
    <n v="3942"/>
  </r>
  <r>
    <x v="110"/>
    <s v="South"/>
    <s v="Karnataka"/>
    <x v="7"/>
    <x v="2"/>
    <n v="1"/>
    <x v="5"/>
    <x v="6"/>
    <n v="3964.08"/>
    <n v="3964.08"/>
  </r>
  <r>
    <x v="111"/>
    <s v="South"/>
    <s v="Tamil Nadu"/>
    <x v="6"/>
    <x v="0"/>
    <n v="1"/>
    <x v="10"/>
    <x v="28"/>
    <n v="3964.37"/>
    <n v="3964.37"/>
  </r>
  <r>
    <x v="112"/>
    <s v="South"/>
    <s v="Tamil Nadu"/>
    <x v="8"/>
    <x v="1"/>
    <n v="2"/>
    <x v="8"/>
    <x v="30"/>
    <n v="1983.93"/>
    <n v="3967.86"/>
  </r>
  <r>
    <x v="113"/>
    <s v="South"/>
    <s v="Tamil Nadu"/>
    <x v="8"/>
    <x v="1"/>
    <n v="2"/>
    <x v="9"/>
    <x v="30"/>
    <n v="1983.93"/>
    <n v="3967.86"/>
  </r>
  <r>
    <x v="47"/>
    <s v="West"/>
    <s v="Gujarat"/>
    <x v="1"/>
    <x v="0"/>
    <n v="14"/>
    <x v="9"/>
    <x v="10"/>
    <n v="283.7"/>
    <n v="3971.7999999999997"/>
  </r>
  <r>
    <x v="114"/>
    <s v="West"/>
    <s v="Maharashtra"/>
    <x v="5"/>
    <x v="0"/>
    <n v="5"/>
    <x v="9"/>
    <x v="22"/>
    <n v="800.88"/>
    <n v="4004.4"/>
  </r>
  <r>
    <x v="115"/>
    <s v="North"/>
    <s v="Delhi"/>
    <x v="4"/>
    <x v="1"/>
    <n v="4"/>
    <x v="7"/>
    <x v="17"/>
    <n v="1020.23"/>
    <n v="4080.92"/>
  </r>
  <r>
    <x v="116"/>
    <s v="North"/>
    <s v="Delhi"/>
    <x v="4"/>
    <x v="1"/>
    <n v="4"/>
    <x v="4"/>
    <x v="17"/>
    <n v="1020.23"/>
    <n v="4080.92"/>
  </r>
  <r>
    <x v="117"/>
    <s v="North"/>
    <s v="Delhi"/>
    <x v="4"/>
    <x v="3"/>
    <n v="9"/>
    <x v="4"/>
    <x v="27"/>
    <n v="455.98"/>
    <n v="4103.82"/>
  </r>
  <r>
    <x v="118"/>
    <s v="West"/>
    <s v="Gujarat"/>
    <x v="14"/>
    <x v="1"/>
    <n v="4"/>
    <x v="0"/>
    <x v="25"/>
    <n v="1027.32"/>
    <n v="4109.28"/>
  </r>
  <r>
    <x v="103"/>
    <s v="West"/>
    <s v="Gujarat"/>
    <x v="14"/>
    <x v="4"/>
    <n v="1"/>
    <x v="2"/>
    <x v="3"/>
    <n v="4117.97"/>
    <n v="4117.97"/>
  </r>
  <r>
    <x v="52"/>
    <s v="West"/>
    <s v="Maharashtra"/>
    <x v="5"/>
    <x v="1"/>
    <n v="6"/>
    <x v="9"/>
    <x v="32"/>
    <n v="686.38"/>
    <n v="4118.28"/>
  </r>
  <r>
    <x v="119"/>
    <s v="North"/>
    <s v="Delhi"/>
    <x v="13"/>
    <x v="1"/>
    <n v="11"/>
    <x v="1"/>
    <x v="11"/>
    <n v="377.1"/>
    <n v="4148.1000000000004"/>
  </r>
  <r>
    <x v="120"/>
    <s v="South"/>
    <s v="Karnataka"/>
    <x v="7"/>
    <x v="2"/>
    <n v="2"/>
    <x v="0"/>
    <x v="0"/>
    <n v="2087.14"/>
    <n v="4174.28"/>
  </r>
  <r>
    <x v="121"/>
    <s v="West"/>
    <s v="Gujarat"/>
    <x v="1"/>
    <x v="0"/>
    <n v="14"/>
    <x v="0"/>
    <x v="3"/>
    <n v="298.99"/>
    <n v="4185.8600000000006"/>
  </r>
  <r>
    <x v="74"/>
    <s v="North"/>
    <s v="Delhi"/>
    <x v="13"/>
    <x v="1"/>
    <n v="2"/>
    <x v="8"/>
    <x v="19"/>
    <n v="2119.5100000000002"/>
    <n v="4239.0200000000004"/>
  </r>
  <r>
    <x v="85"/>
    <s v="South"/>
    <s v="Karnataka"/>
    <x v="12"/>
    <x v="3"/>
    <n v="10"/>
    <x v="4"/>
    <x v="23"/>
    <n v="429.69"/>
    <n v="4296.8999999999996"/>
  </r>
  <r>
    <x v="85"/>
    <s v="West"/>
    <s v="Maharashtra"/>
    <x v="5"/>
    <x v="0"/>
    <n v="4"/>
    <x v="6"/>
    <x v="13"/>
    <n v="1080.1600000000001"/>
    <n v="4320.6400000000003"/>
  </r>
  <r>
    <x v="122"/>
    <s v="West"/>
    <s v="Gujarat"/>
    <x v="9"/>
    <x v="3"/>
    <n v="2"/>
    <x v="4"/>
    <x v="25"/>
    <n v="2171.79"/>
    <n v="4343.58"/>
  </r>
  <r>
    <x v="123"/>
    <s v="West"/>
    <s v="Gujarat"/>
    <x v="1"/>
    <x v="0"/>
    <n v="5"/>
    <x v="4"/>
    <x v="5"/>
    <n v="877.62"/>
    <n v="4388.1000000000004"/>
  </r>
  <r>
    <x v="124"/>
    <s v="West"/>
    <s v="Gujarat"/>
    <x v="14"/>
    <x v="0"/>
    <n v="5"/>
    <x v="0"/>
    <x v="31"/>
    <n v="879.82"/>
    <n v="4399.1000000000004"/>
  </r>
  <r>
    <x v="125"/>
    <s v="West"/>
    <s v="Maharashtra"/>
    <x v="5"/>
    <x v="4"/>
    <n v="9"/>
    <x v="0"/>
    <x v="0"/>
    <n v="489.27"/>
    <n v="4403.43"/>
  </r>
  <r>
    <x v="126"/>
    <s v="West"/>
    <s v="Maharashtra"/>
    <x v="5"/>
    <x v="4"/>
    <n v="9"/>
    <x v="0"/>
    <x v="0"/>
    <n v="489.27"/>
    <n v="4403.43"/>
  </r>
  <r>
    <x v="127"/>
    <s v="South"/>
    <s v="Tamil Nadu"/>
    <x v="8"/>
    <x v="1"/>
    <n v="9"/>
    <x v="1"/>
    <x v="6"/>
    <n v="491.64"/>
    <n v="4424.76"/>
  </r>
  <r>
    <x v="20"/>
    <s v="South"/>
    <s v="Karnataka"/>
    <x v="12"/>
    <x v="3"/>
    <n v="7"/>
    <x v="7"/>
    <x v="18"/>
    <n v="633.15"/>
    <n v="4432.05"/>
  </r>
  <r>
    <x v="54"/>
    <s v="South"/>
    <s v="Tamil Nadu"/>
    <x v="8"/>
    <x v="2"/>
    <n v="1"/>
    <x v="1"/>
    <x v="29"/>
    <n v="4443.22"/>
    <n v="4443.22"/>
  </r>
  <r>
    <x v="128"/>
    <s v="West"/>
    <s v="Gujarat"/>
    <x v="1"/>
    <x v="0"/>
    <n v="6"/>
    <x v="8"/>
    <x v="17"/>
    <n v="744.85"/>
    <n v="4469.1000000000004"/>
  </r>
  <r>
    <x v="44"/>
    <s v="West"/>
    <s v="Gujarat"/>
    <x v="1"/>
    <x v="3"/>
    <n v="2"/>
    <x v="4"/>
    <x v="35"/>
    <n v="2238.46"/>
    <n v="4476.92"/>
  </r>
  <r>
    <x v="101"/>
    <s v="South"/>
    <s v="Tamil Nadu"/>
    <x v="0"/>
    <x v="4"/>
    <n v="8"/>
    <x v="8"/>
    <x v="21"/>
    <n v="562.98"/>
    <n v="4503.84"/>
  </r>
  <r>
    <x v="11"/>
    <s v="North"/>
    <s v="Delhi"/>
    <x v="13"/>
    <x v="3"/>
    <n v="1"/>
    <x v="6"/>
    <x v="18"/>
    <n v="4511.88"/>
    <n v="4511.88"/>
  </r>
  <r>
    <x v="129"/>
    <s v="North"/>
    <s v="Delhi"/>
    <x v="13"/>
    <x v="1"/>
    <n v="4"/>
    <x v="9"/>
    <x v="19"/>
    <n v="1128.8900000000001"/>
    <n v="4515.5600000000004"/>
  </r>
  <r>
    <x v="130"/>
    <s v="West"/>
    <s v="Gujarat"/>
    <x v="9"/>
    <x v="2"/>
    <n v="1"/>
    <x v="4"/>
    <x v="12"/>
    <n v="4557.0600000000004"/>
    <n v="4557.0600000000004"/>
  </r>
  <r>
    <x v="131"/>
    <s v="West"/>
    <s v="Gujarat"/>
    <x v="9"/>
    <x v="2"/>
    <n v="1"/>
    <x v="4"/>
    <x v="12"/>
    <n v="4557.0600000000004"/>
    <n v="4557.0600000000004"/>
  </r>
  <r>
    <x v="132"/>
    <s v="North"/>
    <s v="Delhi"/>
    <x v="10"/>
    <x v="1"/>
    <n v="5"/>
    <x v="0"/>
    <x v="35"/>
    <n v="912.33"/>
    <n v="4561.6500000000005"/>
  </r>
  <r>
    <x v="133"/>
    <s v="South"/>
    <s v="Karnataka"/>
    <x v="7"/>
    <x v="1"/>
    <n v="2"/>
    <x v="7"/>
    <x v="35"/>
    <n v="2287.09"/>
    <n v="4574.18"/>
  </r>
  <r>
    <x v="134"/>
    <s v="South"/>
    <s v="Karnataka"/>
    <x v="7"/>
    <x v="1"/>
    <n v="2"/>
    <x v="4"/>
    <x v="35"/>
    <n v="2287.09"/>
    <n v="4574.18"/>
  </r>
  <r>
    <x v="135"/>
    <s v="South"/>
    <s v="Karnataka"/>
    <x v="12"/>
    <x v="0"/>
    <n v="17"/>
    <x v="9"/>
    <x v="29"/>
    <n v="269.7"/>
    <n v="4584.8999999999996"/>
  </r>
  <r>
    <x v="136"/>
    <s v="North"/>
    <s v="Delhi"/>
    <x v="4"/>
    <x v="1"/>
    <n v="4"/>
    <x v="6"/>
    <x v="29"/>
    <n v="1147.06"/>
    <n v="4588.24"/>
  </r>
  <r>
    <x v="137"/>
    <s v="West"/>
    <s v="Maharashtra"/>
    <x v="3"/>
    <x v="3"/>
    <n v="1"/>
    <x v="5"/>
    <x v="31"/>
    <n v="4640.17"/>
    <n v="4640.17"/>
  </r>
  <r>
    <x v="5"/>
    <s v="South"/>
    <s v="Karnataka"/>
    <x v="7"/>
    <x v="1"/>
    <n v="9"/>
    <x v="3"/>
    <x v="1"/>
    <n v="515.97"/>
    <n v="4643.7300000000005"/>
  </r>
  <r>
    <x v="138"/>
    <s v="West"/>
    <s v="Maharashtra"/>
    <x v="3"/>
    <x v="2"/>
    <n v="1"/>
    <x v="10"/>
    <x v="38"/>
    <n v="4681.07"/>
    <n v="4681.07"/>
  </r>
  <r>
    <x v="36"/>
    <s v="South"/>
    <s v="Tamil Nadu"/>
    <x v="8"/>
    <x v="1"/>
    <n v="18"/>
    <x v="5"/>
    <x v="25"/>
    <n v="262.12"/>
    <n v="4718.16"/>
  </r>
  <r>
    <x v="132"/>
    <s v="North"/>
    <s v="Delhi"/>
    <x v="10"/>
    <x v="1"/>
    <n v="4"/>
    <x v="8"/>
    <x v="17"/>
    <n v="1181.3900000000001"/>
    <n v="4725.5600000000004"/>
  </r>
  <r>
    <x v="23"/>
    <s v="South"/>
    <s v="Tamil Nadu"/>
    <x v="6"/>
    <x v="3"/>
    <n v="3"/>
    <x v="9"/>
    <x v="8"/>
    <n v="1577.9"/>
    <n v="4733.7000000000007"/>
  </r>
  <r>
    <x v="139"/>
    <s v="South"/>
    <s v="Tamil Nadu"/>
    <x v="8"/>
    <x v="4"/>
    <n v="8"/>
    <x v="5"/>
    <x v="18"/>
    <n v="592.82000000000005"/>
    <n v="4742.5600000000004"/>
  </r>
  <r>
    <x v="140"/>
    <s v="North"/>
    <s v="Delhi"/>
    <x v="13"/>
    <x v="2"/>
    <n v="15"/>
    <x v="3"/>
    <x v="34"/>
    <n v="318.32"/>
    <n v="4774.8"/>
  </r>
  <r>
    <x v="13"/>
    <s v="West"/>
    <s v="Gujarat"/>
    <x v="1"/>
    <x v="4"/>
    <n v="2"/>
    <x v="3"/>
    <x v="32"/>
    <n v="2400.5500000000002"/>
    <n v="4801.1000000000004"/>
  </r>
  <r>
    <x v="141"/>
    <s v="West"/>
    <s v="Maharashtra"/>
    <x v="11"/>
    <x v="0"/>
    <n v="2"/>
    <x v="2"/>
    <x v="32"/>
    <n v="2402.5700000000002"/>
    <n v="4805.1400000000003"/>
  </r>
  <r>
    <x v="142"/>
    <s v="North"/>
    <s v="Delhi"/>
    <x v="13"/>
    <x v="3"/>
    <n v="1"/>
    <x v="0"/>
    <x v="35"/>
    <n v="4815.0600000000004"/>
    <n v="4815.0600000000004"/>
  </r>
  <r>
    <x v="143"/>
    <s v="West"/>
    <s v="Gujarat"/>
    <x v="14"/>
    <x v="1"/>
    <n v="4"/>
    <x v="6"/>
    <x v="8"/>
    <n v="1208.21"/>
    <n v="4832.84"/>
  </r>
  <r>
    <x v="144"/>
    <s v="North"/>
    <s v="Delhi"/>
    <x v="10"/>
    <x v="1"/>
    <n v="5"/>
    <x v="9"/>
    <x v="32"/>
    <n v="968.86"/>
    <n v="4844.3"/>
  </r>
  <r>
    <x v="145"/>
    <s v="North"/>
    <s v="Delhi"/>
    <x v="13"/>
    <x v="4"/>
    <n v="1"/>
    <x v="8"/>
    <x v="36"/>
    <n v="4859.6499999999996"/>
    <n v="4859.6499999999996"/>
  </r>
  <r>
    <x v="138"/>
    <s v="South"/>
    <s v="Karnataka"/>
    <x v="12"/>
    <x v="4"/>
    <n v="5"/>
    <x v="10"/>
    <x v="24"/>
    <n v="975.39"/>
    <n v="4876.95"/>
  </r>
  <r>
    <x v="114"/>
    <s v="South"/>
    <s v="Karnataka"/>
    <x v="12"/>
    <x v="1"/>
    <n v="7"/>
    <x v="7"/>
    <x v="5"/>
    <n v="702.24"/>
    <n v="4915.68"/>
  </r>
  <r>
    <x v="146"/>
    <s v="South"/>
    <s v="Tamil Nadu"/>
    <x v="8"/>
    <x v="0"/>
    <n v="7"/>
    <x v="5"/>
    <x v="22"/>
    <n v="705.03"/>
    <n v="4935.21"/>
  </r>
  <r>
    <x v="105"/>
    <s v="South"/>
    <s v="Karnataka"/>
    <x v="2"/>
    <x v="3"/>
    <n v="6"/>
    <x v="8"/>
    <x v="15"/>
    <n v="827.78"/>
    <n v="4966.68"/>
  </r>
  <r>
    <x v="147"/>
    <s v="North"/>
    <s v="Delhi"/>
    <x v="10"/>
    <x v="2"/>
    <n v="18"/>
    <x v="4"/>
    <x v="11"/>
    <n v="276.35000000000002"/>
    <n v="4974.3"/>
  </r>
  <r>
    <x v="5"/>
    <s v="South"/>
    <s v="Tamil Nadu"/>
    <x v="0"/>
    <x v="0"/>
    <n v="7"/>
    <x v="7"/>
    <x v="7"/>
    <n v="711.35"/>
    <n v="4979.45"/>
  </r>
  <r>
    <x v="15"/>
    <s v="South"/>
    <s v="Karnataka"/>
    <x v="2"/>
    <x v="0"/>
    <n v="2"/>
    <x v="6"/>
    <x v="4"/>
    <n v="2493.06"/>
    <n v="4986.12"/>
  </r>
  <r>
    <x v="9"/>
    <s v="West"/>
    <s v="Maharashtra"/>
    <x v="3"/>
    <x v="2"/>
    <n v="4"/>
    <x v="1"/>
    <x v="31"/>
    <n v="1256.3399999999999"/>
    <n v="5025.3599999999997"/>
  </r>
  <r>
    <x v="148"/>
    <s v="South"/>
    <s v="Karnataka"/>
    <x v="7"/>
    <x v="0"/>
    <n v="16"/>
    <x v="9"/>
    <x v="38"/>
    <n v="317.82"/>
    <n v="5085.12"/>
  </r>
  <r>
    <x v="149"/>
    <s v="North"/>
    <s v="Delhi"/>
    <x v="4"/>
    <x v="4"/>
    <n v="6"/>
    <x v="2"/>
    <x v="7"/>
    <n v="863.69"/>
    <n v="5182.1400000000003"/>
  </r>
  <r>
    <x v="90"/>
    <s v="South"/>
    <s v="Tamil Nadu"/>
    <x v="6"/>
    <x v="1"/>
    <n v="15"/>
    <x v="10"/>
    <x v="25"/>
    <n v="346.45"/>
    <n v="5196.75"/>
  </r>
  <r>
    <x v="150"/>
    <s v="South"/>
    <s v="Tamil Nadu"/>
    <x v="6"/>
    <x v="1"/>
    <n v="16"/>
    <x v="2"/>
    <x v="17"/>
    <n v="325.52"/>
    <n v="5208.32"/>
  </r>
  <r>
    <x v="20"/>
    <s v="West"/>
    <s v="Gujarat"/>
    <x v="14"/>
    <x v="2"/>
    <n v="4"/>
    <x v="2"/>
    <x v="36"/>
    <n v="1303.8800000000001"/>
    <n v="5215.5200000000004"/>
  </r>
  <r>
    <x v="45"/>
    <s v="West"/>
    <s v="Maharashtra"/>
    <x v="11"/>
    <x v="3"/>
    <n v="16"/>
    <x v="1"/>
    <x v="6"/>
    <n v="328.65"/>
    <n v="5258.4"/>
  </r>
  <r>
    <x v="74"/>
    <s v="South"/>
    <s v="Karnataka"/>
    <x v="12"/>
    <x v="4"/>
    <n v="8"/>
    <x v="2"/>
    <x v="15"/>
    <n v="659.36"/>
    <n v="5274.88"/>
  </r>
  <r>
    <x v="49"/>
    <s v="North"/>
    <s v="Delhi"/>
    <x v="13"/>
    <x v="0"/>
    <n v="9"/>
    <x v="9"/>
    <x v="0"/>
    <n v="593.01"/>
    <n v="5337.09"/>
  </r>
  <r>
    <x v="151"/>
    <s v="West"/>
    <s v="Gujarat"/>
    <x v="9"/>
    <x v="0"/>
    <n v="2"/>
    <x v="7"/>
    <x v="31"/>
    <n v="2704.98"/>
    <n v="5409.96"/>
  </r>
  <r>
    <x v="152"/>
    <s v="North"/>
    <s v="Delhi"/>
    <x v="13"/>
    <x v="4"/>
    <n v="16"/>
    <x v="9"/>
    <x v="8"/>
    <n v="338.38"/>
    <n v="5414.08"/>
  </r>
  <r>
    <x v="153"/>
    <s v="West"/>
    <s v="Gujarat"/>
    <x v="14"/>
    <x v="2"/>
    <n v="3"/>
    <x v="7"/>
    <x v="19"/>
    <n v="1818.3"/>
    <n v="5454.9"/>
  </r>
  <r>
    <x v="154"/>
    <s v="South"/>
    <s v="Karnataka"/>
    <x v="12"/>
    <x v="0"/>
    <n v="4"/>
    <x v="2"/>
    <x v="30"/>
    <n v="1381.71"/>
    <n v="5526.84"/>
  </r>
  <r>
    <x v="155"/>
    <s v="South"/>
    <s v="Tamil Nadu"/>
    <x v="6"/>
    <x v="2"/>
    <n v="4"/>
    <x v="5"/>
    <x v="20"/>
    <n v="1385.95"/>
    <n v="5543.8"/>
  </r>
  <r>
    <x v="19"/>
    <s v="South"/>
    <s v="Tamil Nadu"/>
    <x v="8"/>
    <x v="3"/>
    <n v="10"/>
    <x v="2"/>
    <x v="25"/>
    <n v="568.6"/>
    <n v="5686"/>
  </r>
  <r>
    <x v="119"/>
    <s v="West"/>
    <s v="Gujarat"/>
    <x v="1"/>
    <x v="3"/>
    <n v="16"/>
    <x v="8"/>
    <x v="35"/>
    <n v="355.63"/>
    <n v="5690.08"/>
  </r>
  <r>
    <x v="13"/>
    <s v="West"/>
    <s v="Maharashtra"/>
    <x v="3"/>
    <x v="0"/>
    <n v="5"/>
    <x v="9"/>
    <x v="17"/>
    <n v="1141.32"/>
    <n v="5706.5999999999995"/>
  </r>
  <r>
    <x v="156"/>
    <s v="South"/>
    <s v="Karnataka"/>
    <x v="2"/>
    <x v="2"/>
    <n v="4"/>
    <x v="0"/>
    <x v="14"/>
    <n v="1434.97"/>
    <n v="5739.88"/>
  </r>
  <r>
    <x v="157"/>
    <s v="West"/>
    <s v="Maharashtra"/>
    <x v="3"/>
    <x v="3"/>
    <n v="2"/>
    <x v="3"/>
    <x v="6"/>
    <n v="2875.84"/>
    <n v="5751.68"/>
  </r>
  <r>
    <x v="62"/>
    <s v="South"/>
    <s v="Karnataka"/>
    <x v="2"/>
    <x v="1"/>
    <n v="8"/>
    <x v="4"/>
    <x v="15"/>
    <n v="720.07"/>
    <n v="5760.56"/>
  </r>
  <r>
    <x v="158"/>
    <s v="South"/>
    <s v="Karnataka"/>
    <x v="12"/>
    <x v="3"/>
    <n v="4"/>
    <x v="6"/>
    <x v="3"/>
    <n v="1456.19"/>
    <n v="5824.76"/>
  </r>
  <r>
    <x v="159"/>
    <s v="South"/>
    <s v="Karnataka"/>
    <x v="12"/>
    <x v="3"/>
    <n v="2"/>
    <x v="9"/>
    <x v="6"/>
    <n v="2914.14"/>
    <n v="5828.28"/>
  </r>
  <r>
    <x v="160"/>
    <s v="South"/>
    <s v="Karnataka"/>
    <x v="2"/>
    <x v="4"/>
    <n v="5"/>
    <x v="1"/>
    <x v="4"/>
    <n v="1185.45"/>
    <n v="5927.25"/>
  </r>
  <r>
    <x v="161"/>
    <s v="South"/>
    <s v="Tamil Nadu"/>
    <x v="8"/>
    <x v="3"/>
    <n v="5"/>
    <x v="8"/>
    <x v="33"/>
    <n v="1192.82"/>
    <n v="5964.0999999999995"/>
  </r>
  <r>
    <x v="162"/>
    <s v="South"/>
    <s v="Karnataka"/>
    <x v="7"/>
    <x v="0"/>
    <n v="4"/>
    <x v="2"/>
    <x v="23"/>
    <n v="1493.04"/>
    <n v="5972.16"/>
  </r>
  <r>
    <x v="163"/>
    <s v="West"/>
    <s v="Maharashtra"/>
    <x v="11"/>
    <x v="1"/>
    <n v="7"/>
    <x v="8"/>
    <x v="15"/>
    <n v="859.87"/>
    <n v="6019.09"/>
  </r>
  <r>
    <x v="164"/>
    <s v="West"/>
    <s v="Maharashtra"/>
    <x v="5"/>
    <x v="0"/>
    <n v="5"/>
    <x v="1"/>
    <x v="11"/>
    <n v="1204.6400000000001"/>
    <n v="6023.2000000000007"/>
  </r>
  <r>
    <x v="165"/>
    <s v="West"/>
    <s v="Gujarat"/>
    <x v="1"/>
    <x v="0"/>
    <n v="11"/>
    <x v="8"/>
    <x v="32"/>
    <n v="548.91999999999996"/>
    <n v="6038.12"/>
  </r>
  <r>
    <x v="166"/>
    <s v="West"/>
    <s v="Gujarat"/>
    <x v="9"/>
    <x v="2"/>
    <n v="8"/>
    <x v="1"/>
    <x v="17"/>
    <n v="758.58"/>
    <n v="6068.64"/>
  </r>
  <r>
    <x v="167"/>
    <s v="West"/>
    <s v="Gujarat"/>
    <x v="9"/>
    <x v="3"/>
    <n v="2"/>
    <x v="9"/>
    <x v="18"/>
    <n v="3037.55"/>
    <n v="6075.1"/>
  </r>
  <r>
    <x v="168"/>
    <s v="West"/>
    <s v="Gujarat"/>
    <x v="9"/>
    <x v="3"/>
    <n v="2"/>
    <x v="0"/>
    <x v="18"/>
    <n v="3037.55"/>
    <n v="6075.1"/>
  </r>
  <r>
    <x v="110"/>
    <s v="West"/>
    <s v="Gujarat"/>
    <x v="1"/>
    <x v="2"/>
    <n v="6"/>
    <x v="3"/>
    <x v="3"/>
    <n v="1016.27"/>
    <n v="6097.62"/>
  </r>
  <r>
    <x v="169"/>
    <s v="North"/>
    <s v="Delhi"/>
    <x v="13"/>
    <x v="3"/>
    <n v="3"/>
    <x v="5"/>
    <x v="22"/>
    <n v="2040.38"/>
    <n v="6121.14"/>
  </r>
  <r>
    <x v="29"/>
    <s v="South"/>
    <s v="Tamil Nadu"/>
    <x v="6"/>
    <x v="4"/>
    <n v="2"/>
    <x v="4"/>
    <x v="38"/>
    <n v="3072.48"/>
    <n v="6144.96"/>
  </r>
  <r>
    <x v="170"/>
    <s v="South"/>
    <s v="Karnataka"/>
    <x v="2"/>
    <x v="4"/>
    <n v="15"/>
    <x v="5"/>
    <x v="2"/>
    <n v="413.63"/>
    <n v="6204.45"/>
  </r>
  <r>
    <x v="115"/>
    <s v="West"/>
    <s v="Maharashtra"/>
    <x v="3"/>
    <x v="4"/>
    <n v="3"/>
    <x v="6"/>
    <x v="28"/>
    <n v="2082"/>
    <n v="6246"/>
  </r>
  <r>
    <x v="158"/>
    <s v="South"/>
    <s v="Tamil Nadu"/>
    <x v="8"/>
    <x v="4"/>
    <n v="9"/>
    <x v="5"/>
    <x v="34"/>
    <n v="704.39"/>
    <n v="6339.51"/>
  </r>
  <r>
    <x v="143"/>
    <s v="South"/>
    <s v="Karnataka"/>
    <x v="2"/>
    <x v="0"/>
    <n v="10"/>
    <x v="9"/>
    <x v="12"/>
    <n v="642.49"/>
    <n v="6424.9"/>
  </r>
  <r>
    <x v="171"/>
    <s v="West"/>
    <s v="Maharashtra"/>
    <x v="11"/>
    <x v="3"/>
    <n v="11"/>
    <x v="3"/>
    <x v="1"/>
    <n v="587.46"/>
    <n v="6462.06"/>
  </r>
  <r>
    <x v="129"/>
    <s v="North"/>
    <s v="Delhi"/>
    <x v="4"/>
    <x v="2"/>
    <n v="12"/>
    <x v="1"/>
    <x v="28"/>
    <n v="538.91"/>
    <n v="6466.92"/>
  </r>
  <r>
    <x v="16"/>
    <s v="West"/>
    <s v="Maharashtra"/>
    <x v="5"/>
    <x v="1"/>
    <n v="2"/>
    <x v="7"/>
    <x v="27"/>
    <n v="3239.94"/>
    <n v="6479.88"/>
  </r>
  <r>
    <x v="117"/>
    <s v="West"/>
    <s v="Maharashtra"/>
    <x v="11"/>
    <x v="3"/>
    <n v="2"/>
    <x v="9"/>
    <x v="38"/>
    <n v="3240.32"/>
    <n v="6480.64"/>
  </r>
  <r>
    <x v="172"/>
    <s v="West"/>
    <s v="Gujarat"/>
    <x v="1"/>
    <x v="0"/>
    <n v="9"/>
    <x v="9"/>
    <x v="38"/>
    <n v="722.4"/>
    <n v="6501.5999999999995"/>
  </r>
  <r>
    <x v="173"/>
    <s v="West"/>
    <s v="Maharashtra"/>
    <x v="5"/>
    <x v="3"/>
    <n v="4"/>
    <x v="3"/>
    <x v="25"/>
    <n v="1640.54"/>
    <n v="6562.16"/>
  </r>
  <r>
    <x v="3"/>
    <s v="West"/>
    <s v="Maharashtra"/>
    <x v="3"/>
    <x v="4"/>
    <n v="2"/>
    <x v="10"/>
    <x v="11"/>
    <n v="3297.48"/>
    <n v="6594.96"/>
  </r>
  <r>
    <x v="85"/>
    <s v="South"/>
    <s v="Tamil Nadu"/>
    <x v="8"/>
    <x v="4"/>
    <n v="5"/>
    <x v="0"/>
    <x v="35"/>
    <n v="1319.46"/>
    <n v="6597.3"/>
  </r>
  <r>
    <x v="174"/>
    <s v="South"/>
    <s v="Karnataka"/>
    <x v="7"/>
    <x v="0"/>
    <n v="12"/>
    <x v="8"/>
    <x v="30"/>
    <n v="549.84"/>
    <n v="6598.08"/>
  </r>
  <r>
    <x v="159"/>
    <s v="West"/>
    <s v="Maharashtra"/>
    <x v="11"/>
    <x v="0"/>
    <n v="3"/>
    <x v="9"/>
    <x v="1"/>
    <n v="2214.86"/>
    <n v="6644.58"/>
  </r>
  <r>
    <x v="175"/>
    <s v="South"/>
    <s v="Karnataka"/>
    <x v="12"/>
    <x v="0"/>
    <n v="13"/>
    <x v="1"/>
    <x v="26"/>
    <n v="512.69000000000005"/>
    <n v="6664.9700000000012"/>
  </r>
  <r>
    <x v="40"/>
    <s v="South"/>
    <s v="Tamil Nadu"/>
    <x v="0"/>
    <x v="3"/>
    <n v="5"/>
    <x v="2"/>
    <x v="18"/>
    <n v="1346.45"/>
    <n v="6732.25"/>
  </r>
  <r>
    <x v="176"/>
    <s v="South"/>
    <s v="Tamil Nadu"/>
    <x v="0"/>
    <x v="3"/>
    <n v="5"/>
    <x v="4"/>
    <x v="18"/>
    <n v="1346.45"/>
    <n v="6732.25"/>
  </r>
  <r>
    <x v="177"/>
    <s v="West"/>
    <s v="Maharashtra"/>
    <x v="3"/>
    <x v="3"/>
    <n v="2"/>
    <x v="9"/>
    <x v="21"/>
    <n v="3385.43"/>
    <n v="6770.86"/>
  </r>
  <r>
    <x v="178"/>
    <s v="West"/>
    <s v="Gujarat"/>
    <x v="9"/>
    <x v="4"/>
    <n v="7"/>
    <x v="6"/>
    <x v="27"/>
    <n v="978.46"/>
    <n v="6849.22"/>
  </r>
  <r>
    <x v="179"/>
    <s v="South"/>
    <s v="Karnataka"/>
    <x v="7"/>
    <x v="1"/>
    <n v="5"/>
    <x v="5"/>
    <x v="4"/>
    <n v="1372.78"/>
    <n v="6863.9"/>
  </r>
  <r>
    <x v="180"/>
    <s v="West"/>
    <s v="Maharashtra"/>
    <x v="5"/>
    <x v="3"/>
    <n v="14"/>
    <x v="6"/>
    <x v="24"/>
    <n v="492.06"/>
    <n v="6888.84"/>
  </r>
  <r>
    <x v="181"/>
    <s v="South"/>
    <s v="Karnataka"/>
    <x v="12"/>
    <x v="1"/>
    <n v="9"/>
    <x v="6"/>
    <x v="0"/>
    <n v="773.71"/>
    <n v="6963.39"/>
  </r>
  <r>
    <x v="121"/>
    <s v="North"/>
    <s v="Delhi"/>
    <x v="13"/>
    <x v="0"/>
    <n v="5"/>
    <x v="6"/>
    <x v="36"/>
    <n v="1412.08"/>
    <n v="7060.4"/>
  </r>
  <r>
    <x v="182"/>
    <s v="West"/>
    <s v="Maharashtra"/>
    <x v="11"/>
    <x v="2"/>
    <n v="12"/>
    <x v="5"/>
    <x v="2"/>
    <n v="593.52"/>
    <n v="7122.24"/>
  </r>
  <r>
    <x v="183"/>
    <s v="South"/>
    <s v="Karnataka"/>
    <x v="7"/>
    <x v="2"/>
    <n v="12"/>
    <x v="2"/>
    <x v="27"/>
    <n v="596.13"/>
    <n v="7153.5599999999995"/>
  </r>
  <r>
    <x v="184"/>
    <s v="West"/>
    <s v="Maharashtra"/>
    <x v="5"/>
    <x v="1"/>
    <n v="4"/>
    <x v="9"/>
    <x v="3"/>
    <n v="1788.95"/>
    <n v="7155.8"/>
  </r>
  <r>
    <x v="13"/>
    <s v="South"/>
    <s v="Tamil Nadu"/>
    <x v="0"/>
    <x v="0"/>
    <n v="5"/>
    <x v="2"/>
    <x v="37"/>
    <n v="1445.72"/>
    <n v="7228.6"/>
  </r>
  <r>
    <x v="138"/>
    <s v="West"/>
    <s v="Maharashtra"/>
    <x v="5"/>
    <x v="4"/>
    <n v="6"/>
    <x v="10"/>
    <x v="18"/>
    <n v="1205.3599999999999"/>
    <n v="7232.16"/>
  </r>
  <r>
    <x v="1"/>
    <s v="West"/>
    <s v="Maharashtra"/>
    <x v="5"/>
    <x v="2"/>
    <n v="9"/>
    <x v="3"/>
    <x v="0"/>
    <n v="808.93"/>
    <n v="7280.37"/>
  </r>
  <r>
    <x v="155"/>
    <s v="South"/>
    <s v="Tamil Nadu"/>
    <x v="6"/>
    <x v="2"/>
    <n v="5"/>
    <x v="0"/>
    <x v="8"/>
    <n v="1460.84"/>
    <n v="7304.2"/>
  </r>
  <r>
    <x v="185"/>
    <s v="West"/>
    <s v="Maharashtra"/>
    <x v="5"/>
    <x v="4"/>
    <n v="4"/>
    <x v="1"/>
    <x v="32"/>
    <n v="1831.79"/>
    <n v="7327.16"/>
  </r>
  <r>
    <x v="186"/>
    <s v="South"/>
    <s v="Tamil Nadu"/>
    <x v="8"/>
    <x v="4"/>
    <n v="3"/>
    <x v="5"/>
    <x v="33"/>
    <n v="2444.6"/>
    <n v="7333.7999999999993"/>
  </r>
  <r>
    <x v="22"/>
    <s v="South"/>
    <s v="Tamil Nadu"/>
    <x v="8"/>
    <x v="4"/>
    <n v="3"/>
    <x v="3"/>
    <x v="33"/>
    <n v="2444.6"/>
    <n v="7333.7999999999993"/>
  </r>
  <r>
    <x v="187"/>
    <s v="South"/>
    <s v="Karnataka"/>
    <x v="12"/>
    <x v="1"/>
    <n v="8"/>
    <x v="6"/>
    <x v="2"/>
    <n v="918.76"/>
    <n v="7350.08"/>
  </r>
  <r>
    <x v="188"/>
    <s v="West"/>
    <s v="Gujarat"/>
    <x v="14"/>
    <x v="3"/>
    <n v="10"/>
    <x v="3"/>
    <x v="24"/>
    <n v="743.68"/>
    <n v="7436.7999999999993"/>
  </r>
  <r>
    <x v="33"/>
    <s v="West"/>
    <s v="Maharashtra"/>
    <x v="11"/>
    <x v="3"/>
    <n v="2"/>
    <x v="10"/>
    <x v="36"/>
    <n v="3753.37"/>
    <n v="7506.74"/>
  </r>
  <r>
    <x v="119"/>
    <s v="West"/>
    <s v="Gujarat"/>
    <x v="1"/>
    <x v="2"/>
    <n v="2"/>
    <x v="7"/>
    <x v="12"/>
    <n v="3825.5"/>
    <n v="7651"/>
  </r>
  <r>
    <x v="189"/>
    <s v="West"/>
    <s v="Gujarat"/>
    <x v="9"/>
    <x v="0"/>
    <n v="9"/>
    <x v="10"/>
    <x v="10"/>
    <n v="851.87"/>
    <n v="7666.83"/>
  </r>
  <r>
    <x v="190"/>
    <s v="North"/>
    <s v="Delhi"/>
    <x v="10"/>
    <x v="2"/>
    <n v="7"/>
    <x v="6"/>
    <x v="2"/>
    <n v="1102.48"/>
    <n v="7717.3600000000006"/>
  </r>
  <r>
    <x v="151"/>
    <s v="South"/>
    <s v="Tamil Nadu"/>
    <x v="6"/>
    <x v="2"/>
    <n v="10"/>
    <x v="9"/>
    <x v="32"/>
    <n v="772.21"/>
    <n v="7722.1"/>
  </r>
  <r>
    <x v="191"/>
    <s v="North"/>
    <s v="Delhi"/>
    <x v="13"/>
    <x v="2"/>
    <n v="4"/>
    <x v="7"/>
    <x v="3"/>
    <n v="1938.6"/>
    <n v="7754.4"/>
  </r>
  <r>
    <x v="110"/>
    <s v="South"/>
    <s v="Karnataka"/>
    <x v="12"/>
    <x v="1"/>
    <n v="5"/>
    <x v="4"/>
    <x v="32"/>
    <n v="1566.04"/>
    <n v="7830.2"/>
  </r>
  <r>
    <x v="192"/>
    <s v="West"/>
    <s v="Maharashtra"/>
    <x v="3"/>
    <x v="3"/>
    <n v="3"/>
    <x v="4"/>
    <x v="30"/>
    <n v="2618.2199999999998"/>
    <n v="7854.66"/>
  </r>
  <r>
    <x v="193"/>
    <s v="South"/>
    <s v="Tamil Nadu"/>
    <x v="8"/>
    <x v="2"/>
    <n v="17"/>
    <x v="6"/>
    <x v="15"/>
    <n v="463.54"/>
    <n v="7880.18"/>
  </r>
  <r>
    <x v="102"/>
    <s v="West"/>
    <s v="Maharashtra"/>
    <x v="3"/>
    <x v="3"/>
    <n v="16"/>
    <x v="9"/>
    <x v="3"/>
    <n v="494.05"/>
    <n v="7904.8"/>
  </r>
  <r>
    <x v="194"/>
    <s v="North"/>
    <s v="Delhi"/>
    <x v="4"/>
    <x v="3"/>
    <n v="14"/>
    <x v="5"/>
    <x v="1"/>
    <n v="564.63"/>
    <n v="7904.82"/>
  </r>
  <r>
    <x v="195"/>
    <s v="South"/>
    <s v="Karnataka"/>
    <x v="7"/>
    <x v="4"/>
    <n v="4"/>
    <x v="1"/>
    <x v="30"/>
    <n v="1993.97"/>
    <n v="7975.88"/>
  </r>
  <r>
    <x v="196"/>
    <s v="West"/>
    <s v="Gujarat"/>
    <x v="9"/>
    <x v="0"/>
    <n v="9"/>
    <x v="5"/>
    <x v="39"/>
    <n v="888.33"/>
    <n v="7994.97"/>
  </r>
  <r>
    <x v="197"/>
    <s v="South"/>
    <s v="Karnataka"/>
    <x v="12"/>
    <x v="0"/>
    <n v="15"/>
    <x v="9"/>
    <x v="14"/>
    <n v="534.41999999999996"/>
    <n v="8016.2999999999993"/>
  </r>
  <r>
    <x v="123"/>
    <s v="South"/>
    <s v="Karnataka"/>
    <x v="2"/>
    <x v="4"/>
    <n v="2"/>
    <x v="0"/>
    <x v="23"/>
    <n v="4019.4"/>
    <n v="8038.8"/>
  </r>
  <r>
    <x v="198"/>
    <s v="South"/>
    <s v="Karnataka"/>
    <x v="7"/>
    <x v="2"/>
    <n v="16"/>
    <x v="4"/>
    <x v="10"/>
    <n v="502.59"/>
    <n v="8041.44"/>
  </r>
  <r>
    <x v="66"/>
    <s v="South"/>
    <s v="Karnataka"/>
    <x v="7"/>
    <x v="0"/>
    <n v="2"/>
    <x v="3"/>
    <x v="5"/>
    <n v="4032.05"/>
    <n v="8064.1"/>
  </r>
  <r>
    <x v="43"/>
    <s v="North"/>
    <s v="Delhi"/>
    <x v="4"/>
    <x v="0"/>
    <n v="18"/>
    <x v="10"/>
    <x v="34"/>
    <n v="448.42"/>
    <n v="8071.56"/>
  </r>
  <r>
    <x v="199"/>
    <s v="North"/>
    <s v="Delhi"/>
    <x v="4"/>
    <x v="0"/>
    <n v="2"/>
    <x v="2"/>
    <x v="32"/>
    <n v="4059.61"/>
    <n v="8119.22"/>
  </r>
  <r>
    <x v="200"/>
    <s v="North"/>
    <s v="Delhi"/>
    <x v="4"/>
    <x v="0"/>
    <n v="2"/>
    <x v="4"/>
    <x v="32"/>
    <n v="4059.61"/>
    <n v="8119.22"/>
  </r>
  <r>
    <x v="201"/>
    <s v="South"/>
    <s v="Karnataka"/>
    <x v="2"/>
    <x v="2"/>
    <n v="10"/>
    <x v="3"/>
    <x v="13"/>
    <n v="812.98"/>
    <n v="8129.8"/>
  </r>
  <r>
    <x v="191"/>
    <s v="South"/>
    <s v="Karnataka"/>
    <x v="7"/>
    <x v="1"/>
    <n v="7"/>
    <x v="0"/>
    <x v="16"/>
    <n v="1164.5999999999999"/>
    <n v="8152.1999999999989"/>
  </r>
  <r>
    <x v="202"/>
    <s v="West"/>
    <s v="Maharashtra"/>
    <x v="3"/>
    <x v="0"/>
    <n v="19"/>
    <x v="5"/>
    <x v="26"/>
    <n v="430.16"/>
    <n v="8173.0400000000009"/>
  </r>
  <r>
    <x v="203"/>
    <s v="North"/>
    <s v="Delhi"/>
    <x v="10"/>
    <x v="0"/>
    <n v="6"/>
    <x v="5"/>
    <x v="39"/>
    <n v="1366.98"/>
    <n v="8201.880000000001"/>
  </r>
  <r>
    <x v="75"/>
    <s v="South"/>
    <s v="Tamil Nadu"/>
    <x v="0"/>
    <x v="4"/>
    <n v="3"/>
    <x v="1"/>
    <x v="37"/>
    <n v="2756.83"/>
    <n v="8270.49"/>
  </r>
  <r>
    <x v="77"/>
    <s v="West"/>
    <s v="Gujarat"/>
    <x v="14"/>
    <x v="0"/>
    <n v="2"/>
    <x v="10"/>
    <x v="24"/>
    <n v="4176.99"/>
    <n v="8353.98"/>
  </r>
  <r>
    <x v="204"/>
    <s v="West"/>
    <s v="Gujarat"/>
    <x v="9"/>
    <x v="1"/>
    <n v="16"/>
    <x v="9"/>
    <x v="8"/>
    <n v="523.29999999999995"/>
    <n v="8372.7999999999993"/>
  </r>
  <r>
    <x v="65"/>
    <s v="West"/>
    <s v="Gujarat"/>
    <x v="1"/>
    <x v="1"/>
    <n v="10"/>
    <x v="8"/>
    <x v="10"/>
    <n v="843.5"/>
    <n v="8435"/>
  </r>
  <r>
    <x v="205"/>
    <s v="West"/>
    <s v="Gujarat"/>
    <x v="1"/>
    <x v="1"/>
    <n v="10"/>
    <x v="9"/>
    <x v="10"/>
    <n v="843.5"/>
    <n v="8435"/>
  </r>
  <r>
    <x v="95"/>
    <s v="West"/>
    <s v="Gujarat"/>
    <x v="9"/>
    <x v="1"/>
    <n v="7"/>
    <x v="6"/>
    <x v="16"/>
    <n v="1205.8900000000001"/>
    <n v="8441.2300000000014"/>
  </r>
  <r>
    <x v="206"/>
    <s v="West"/>
    <s v="Gujarat"/>
    <x v="1"/>
    <x v="3"/>
    <n v="3"/>
    <x v="6"/>
    <x v="8"/>
    <n v="2880.4"/>
    <n v="8641.2000000000007"/>
  </r>
  <r>
    <x v="207"/>
    <s v="North"/>
    <s v="Delhi"/>
    <x v="13"/>
    <x v="2"/>
    <n v="4"/>
    <x v="3"/>
    <x v="1"/>
    <n v="2169.61"/>
    <n v="8678.44"/>
  </r>
  <r>
    <x v="71"/>
    <s v="West"/>
    <s v="Gujarat"/>
    <x v="14"/>
    <x v="2"/>
    <n v="11"/>
    <x v="8"/>
    <x v="15"/>
    <n v="793.45"/>
    <n v="8727.9500000000007"/>
  </r>
  <r>
    <x v="208"/>
    <s v="South"/>
    <s v="Karnataka"/>
    <x v="2"/>
    <x v="2"/>
    <n v="5"/>
    <x v="3"/>
    <x v="30"/>
    <n v="1757.01"/>
    <n v="8785.0499999999993"/>
  </r>
  <r>
    <x v="209"/>
    <s v="West"/>
    <s v="Maharashtra"/>
    <x v="11"/>
    <x v="4"/>
    <n v="2"/>
    <x v="9"/>
    <x v="3"/>
    <n v="4439.5"/>
    <n v="8879"/>
  </r>
  <r>
    <x v="210"/>
    <s v="South"/>
    <s v="Tamil Nadu"/>
    <x v="8"/>
    <x v="3"/>
    <n v="3"/>
    <x v="8"/>
    <x v="9"/>
    <n v="2961.96"/>
    <n v="8885.880000000001"/>
  </r>
  <r>
    <x v="211"/>
    <s v="South"/>
    <s v="Tamil Nadu"/>
    <x v="6"/>
    <x v="0"/>
    <n v="3"/>
    <x v="9"/>
    <x v="10"/>
    <n v="2966.4"/>
    <n v="8899.2000000000007"/>
  </r>
  <r>
    <x v="111"/>
    <s v="North"/>
    <s v="Delhi"/>
    <x v="10"/>
    <x v="0"/>
    <n v="18"/>
    <x v="3"/>
    <x v="7"/>
    <n v="497.68"/>
    <n v="8958.24"/>
  </r>
  <r>
    <x v="20"/>
    <s v="West"/>
    <s v="Gujarat"/>
    <x v="9"/>
    <x v="2"/>
    <n v="12"/>
    <x v="3"/>
    <x v="27"/>
    <n v="749.68"/>
    <n v="8996.16"/>
  </r>
  <r>
    <x v="212"/>
    <s v="West"/>
    <s v="Maharashtra"/>
    <x v="11"/>
    <x v="3"/>
    <n v="9"/>
    <x v="4"/>
    <x v="33"/>
    <n v="1001.37"/>
    <n v="9012.33"/>
  </r>
  <r>
    <x v="144"/>
    <s v="South"/>
    <s v="Tamil Nadu"/>
    <x v="8"/>
    <x v="4"/>
    <n v="3"/>
    <x v="5"/>
    <x v="39"/>
    <n v="3007.45"/>
    <n v="9022.3499999999985"/>
  </r>
  <r>
    <x v="213"/>
    <s v="North"/>
    <s v="Delhi"/>
    <x v="13"/>
    <x v="4"/>
    <n v="6"/>
    <x v="1"/>
    <x v="25"/>
    <n v="1508.35"/>
    <n v="9050.0999999999985"/>
  </r>
  <r>
    <x v="22"/>
    <s v="North"/>
    <s v="Delhi"/>
    <x v="4"/>
    <x v="3"/>
    <n v="2"/>
    <x v="1"/>
    <x v="1"/>
    <n v="4527.13"/>
    <n v="9054.26"/>
  </r>
  <r>
    <x v="214"/>
    <s v="West"/>
    <s v="Maharashtra"/>
    <x v="3"/>
    <x v="0"/>
    <n v="4"/>
    <x v="5"/>
    <x v="26"/>
    <n v="2298.98"/>
    <n v="9195.92"/>
  </r>
  <r>
    <x v="215"/>
    <s v="South"/>
    <s v="Tamil Nadu"/>
    <x v="8"/>
    <x v="1"/>
    <n v="7"/>
    <x v="4"/>
    <x v="11"/>
    <n v="1316.13"/>
    <n v="9212.91"/>
  </r>
  <r>
    <x v="145"/>
    <s v="North"/>
    <s v="Delhi"/>
    <x v="4"/>
    <x v="3"/>
    <n v="6"/>
    <x v="9"/>
    <x v="2"/>
    <n v="1537.45"/>
    <n v="9224.7000000000007"/>
  </r>
  <r>
    <x v="33"/>
    <s v="South"/>
    <s v="Karnataka"/>
    <x v="7"/>
    <x v="0"/>
    <n v="11"/>
    <x v="3"/>
    <x v="6"/>
    <n v="841.99"/>
    <n v="9261.89"/>
  </r>
  <r>
    <x v="199"/>
    <s v="West"/>
    <s v="Gujarat"/>
    <x v="9"/>
    <x v="3"/>
    <n v="4"/>
    <x v="2"/>
    <x v="21"/>
    <n v="2331.1"/>
    <n v="9324.4"/>
  </r>
  <r>
    <x v="216"/>
    <s v="South"/>
    <s v="Tamil Nadu"/>
    <x v="8"/>
    <x v="3"/>
    <n v="3"/>
    <x v="0"/>
    <x v="32"/>
    <n v="3109.18"/>
    <n v="9327.5399999999991"/>
  </r>
  <r>
    <x v="28"/>
    <s v="West"/>
    <s v="Gujarat"/>
    <x v="1"/>
    <x v="2"/>
    <n v="2"/>
    <x v="0"/>
    <x v="19"/>
    <n v="4664.91"/>
    <n v="9329.82"/>
  </r>
  <r>
    <x v="217"/>
    <s v="South"/>
    <s v="Karnataka"/>
    <x v="2"/>
    <x v="1"/>
    <n v="15"/>
    <x v="9"/>
    <x v="39"/>
    <n v="624.87"/>
    <n v="9373.0499999999993"/>
  </r>
  <r>
    <x v="218"/>
    <s v="West"/>
    <s v="Maharashtra"/>
    <x v="11"/>
    <x v="3"/>
    <n v="10"/>
    <x v="7"/>
    <x v="39"/>
    <n v="938.57"/>
    <n v="9385.7000000000007"/>
  </r>
  <r>
    <x v="158"/>
    <s v="West"/>
    <s v="Gujarat"/>
    <x v="9"/>
    <x v="0"/>
    <n v="8"/>
    <x v="0"/>
    <x v="26"/>
    <n v="1185.17"/>
    <n v="9481.36"/>
  </r>
  <r>
    <x v="219"/>
    <s v="South"/>
    <s v="Karnataka"/>
    <x v="2"/>
    <x v="3"/>
    <n v="2"/>
    <x v="8"/>
    <x v="27"/>
    <n v="4762.71"/>
    <n v="9525.42"/>
  </r>
  <r>
    <x v="220"/>
    <s v="South"/>
    <s v="Tamil Nadu"/>
    <x v="6"/>
    <x v="3"/>
    <n v="18"/>
    <x v="4"/>
    <x v="11"/>
    <n v="532.4"/>
    <n v="9583.1999999999989"/>
  </r>
  <r>
    <x v="26"/>
    <s v="South"/>
    <s v="Tamil Nadu"/>
    <x v="8"/>
    <x v="2"/>
    <n v="4"/>
    <x v="7"/>
    <x v="3"/>
    <n v="2425.52"/>
    <n v="9702.08"/>
  </r>
  <r>
    <x v="221"/>
    <s v="West"/>
    <s v="Maharashtra"/>
    <x v="11"/>
    <x v="1"/>
    <n v="20"/>
    <x v="0"/>
    <x v="7"/>
    <n v="486.25"/>
    <n v="9725"/>
  </r>
  <r>
    <x v="161"/>
    <s v="South"/>
    <s v="Karnataka"/>
    <x v="7"/>
    <x v="2"/>
    <n v="20"/>
    <x v="9"/>
    <x v="9"/>
    <n v="490.36"/>
    <n v="9807.2000000000007"/>
  </r>
  <r>
    <x v="45"/>
    <s v="South"/>
    <s v="Tamil Nadu"/>
    <x v="8"/>
    <x v="0"/>
    <n v="17"/>
    <x v="0"/>
    <x v="38"/>
    <n v="578.88"/>
    <n v="9840.9599999999991"/>
  </r>
  <r>
    <x v="155"/>
    <s v="South"/>
    <s v="Karnataka"/>
    <x v="12"/>
    <x v="0"/>
    <n v="5"/>
    <x v="8"/>
    <x v="14"/>
    <n v="1991.64"/>
    <n v="9958.2000000000007"/>
  </r>
  <r>
    <x v="148"/>
    <s v="West"/>
    <s v="Gujarat"/>
    <x v="9"/>
    <x v="2"/>
    <n v="5"/>
    <x v="8"/>
    <x v="18"/>
    <n v="1997.76"/>
    <n v="9988.7999999999993"/>
  </r>
  <r>
    <x v="152"/>
    <s v="South"/>
    <s v="Tamil Nadu"/>
    <x v="8"/>
    <x v="4"/>
    <n v="2"/>
    <x v="4"/>
    <x v="2"/>
    <n v="4997.2299999999996"/>
    <n v="9994.4599999999991"/>
  </r>
  <r>
    <x v="222"/>
    <s v="South"/>
    <s v="Karnataka"/>
    <x v="12"/>
    <x v="2"/>
    <n v="12"/>
    <x v="5"/>
    <x v="21"/>
    <n v="835.83"/>
    <n v="10029.960000000001"/>
  </r>
  <r>
    <x v="223"/>
    <s v="South"/>
    <s v="Karnataka"/>
    <x v="12"/>
    <x v="2"/>
    <n v="12"/>
    <x v="10"/>
    <x v="21"/>
    <n v="835.83"/>
    <n v="10029.960000000001"/>
  </r>
  <r>
    <x v="191"/>
    <s v="West"/>
    <s v="Gujarat"/>
    <x v="1"/>
    <x v="4"/>
    <n v="4"/>
    <x v="9"/>
    <x v="15"/>
    <n v="2514.88"/>
    <n v="10059.52"/>
  </r>
  <r>
    <x v="171"/>
    <s v="North"/>
    <s v="Delhi"/>
    <x v="4"/>
    <x v="2"/>
    <n v="3"/>
    <x v="3"/>
    <x v="1"/>
    <n v="3366.66"/>
    <n v="10099.98"/>
  </r>
  <r>
    <x v="43"/>
    <s v="South"/>
    <s v="Tamil Nadu"/>
    <x v="8"/>
    <x v="0"/>
    <n v="11"/>
    <x v="0"/>
    <x v="39"/>
    <n v="920.95"/>
    <n v="10130.450000000001"/>
  </r>
  <r>
    <x v="224"/>
    <s v="West"/>
    <s v="Maharashtra"/>
    <x v="11"/>
    <x v="3"/>
    <n v="11"/>
    <x v="7"/>
    <x v="30"/>
    <n v="923.59"/>
    <n v="10159.49"/>
  </r>
  <r>
    <x v="180"/>
    <s v="West"/>
    <s v="Maharashtra"/>
    <x v="5"/>
    <x v="1"/>
    <n v="7"/>
    <x v="2"/>
    <x v="34"/>
    <n v="1458"/>
    <n v="10206"/>
  </r>
  <r>
    <x v="125"/>
    <s v="West"/>
    <s v="Maharashtra"/>
    <x v="5"/>
    <x v="1"/>
    <n v="6"/>
    <x v="0"/>
    <x v="15"/>
    <n v="1701.04"/>
    <n v="10206.24"/>
  </r>
  <r>
    <x v="225"/>
    <s v="South"/>
    <s v="Karnataka"/>
    <x v="2"/>
    <x v="2"/>
    <n v="3"/>
    <x v="4"/>
    <x v="37"/>
    <n v="3445.08"/>
    <n v="10335.24"/>
  </r>
  <r>
    <x v="26"/>
    <s v="South"/>
    <s v="Tamil Nadu"/>
    <x v="8"/>
    <x v="0"/>
    <n v="19"/>
    <x v="7"/>
    <x v="20"/>
    <n v="548.70000000000005"/>
    <n v="10425.300000000001"/>
  </r>
  <r>
    <x v="226"/>
    <s v="North"/>
    <s v="Delhi"/>
    <x v="13"/>
    <x v="4"/>
    <n v="13"/>
    <x v="3"/>
    <x v="29"/>
    <n v="802.18"/>
    <n v="10428.34"/>
  </r>
  <r>
    <x v="227"/>
    <s v="North"/>
    <s v="Delhi"/>
    <x v="4"/>
    <x v="3"/>
    <n v="9"/>
    <x v="5"/>
    <x v="10"/>
    <n v="1161.02"/>
    <n v="10449.18"/>
  </r>
  <r>
    <x v="228"/>
    <s v="North"/>
    <s v="Delhi"/>
    <x v="4"/>
    <x v="3"/>
    <n v="9"/>
    <x v="10"/>
    <x v="10"/>
    <n v="1161.02"/>
    <n v="10449.18"/>
  </r>
  <r>
    <x v="209"/>
    <s v="South"/>
    <s v="Karnataka"/>
    <x v="2"/>
    <x v="1"/>
    <n v="4"/>
    <x v="9"/>
    <x v="18"/>
    <n v="2625.31"/>
    <n v="10501.24"/>
  </r>
  <r>
    <x v="132"/>
    <s v="West"/>
    <s v="Gujarat"/>
    <x v="1"/>
    <x v="0"/>
    <n v="7"/>
    <x v="6"/>
    <x v="13"/>
    <n v="1500.87"/>
    <n v="10506.09"/>
  </r>
  <r>
    <x v="229"/>
    <s v="North"/>
    <s v="Delhi"/>
    <x v="13"/>
    <x v="3"/>
    <n v="7"/>
    <x v="5"/>
    <x v="29"/>
    <n v="1501.06"/>
    <n v="10507.42"/>
  </r>
  <r>
    <x v="124"/>
    <s v="North"/>
    <s v="Delhi"/>
    <x v="13"/>
    <x v="4"/>
    <n v="8"/>
    <x v="9"/>
    <x v="29"/>
    <n v="1314.71"/>
    <n v="10517.68"/>
  </r>
  <r>
    <x v="173"/>
    <s v="South"/>
    <s v="Tamil Nadu"/>
    <x v="0"/>
    <x v="4"/>
    <n v="3"/>
    <x v="3"/>
    <x v="1"/>
    <n v="3533.3"/>
    <n v="10599.900000000001"/>
  </r>
  <r>
    <x v="230"/>
    <s v="South"/>
    <s v="Tamil Nadu"/>
    <x v="8"/>
    <x v="2"/>
    <n v="13"/>
    <x v="9"/>
    <x v="19"/>
    <n v="818.58"/>
    <n v="10641.54"/>
  </r>
  <r>
    <x v="231"/>
    <s v="South"/>
    <s v="Tamil Nadu"/>
    <x v="6"/>
    <x v="4"/>
    <n v="11"/>
    <x v="2"/>
    <x v="18"/>
    <n v="968.17"/>
    <n v="10649.869999999999"/>
  </r>
  <r>
    <x v="219"/>
    <s v="South"/>
    <s v="Karnataka"/>
    <x v="12"/>
    <x v="4"/>
    <n v="4"/>
    <x v="2"/>
    <x v="35"/>
    <n v="2689.7"/>
    <n v="10758.8"/>
  </r>
  <r>
    <x v="62"/>
    <s v="South"/>
    <s v="Tamil Nadu"/>
    <x v="0"/>
    <x v="3"/>
    <n v="14"/>
    <x v="8"/>
    <x v="27"/>
    <n v="771.61"/>
    <n v="10802.54"/>
  </r>
  <r>
    <x v="48"/>
    <s v="South"/>
    <s v="Tamil Nadu"/>
    <x v="6"/>
    <x v="4"/>
    <n v="4"/>
    <x v="9"/>
    <x v="33"/>
    <n v="2701.93"/>
    <n v="10807.72"/>
  </r>
  <r>
    <x v="78"/>
    <s v="West"/>
    <s v="Gujarat"/>
    <x v="14"/>
    <x v="3"/>
    <n v="5"/>
    <x v="8"/>
    <x v="16"/>
    <n v="2162.08"/>
    <n v="10810.4"/>
  </r>
  <r>
    <x v="232"/>
    <s v="South"/>
    <s v="Karnataka"/>
    <x v="2"/>
    <x v="4"/>
    <n v="8"/>
    <x v="9"/>
    <x v="35"/>
    <n v="1366.18"/>
    <n v="10929.44"/>
  </r>
  <r>
    <x v="94"/>
    <s v="South"/>
    <s v="Tamil Nadu"/>
    <x v="6"/>
    <x v="0"/>
    <n v="4"/>
    <x v="7"/>
    <x v="9"/>
    <n v="2740.14"/>
    <n v="10960.56"/>
  </r>
  <r>
    <x v="233"/>
    <s v="West"/>
    <s v="Maharashtra"/>
    <x v="11"/>
    <x v="3"/>
    <n v="8"/>
    <x v="9"/>
    <x v="32"/>
    <n v="1371.28"/>
    <n v="10970.24"/>
  </r>
  <r>
    <x v="15"/>
    <s v="West"/>
    <s v="Maharashtra"/>
    <x v="3"/>
    <x v="1"/>
    <n v="7"/>
    <x v="0"/>
    <x v="10"/>
    <n v="1576.4"/>
    <n v="11034.800000000001"/>
  </r>
  <r>
    <x v="234"/>
    <s v="South"/>
    <s v="Karnataka"/>
    <x v="12"/>
    <x v="2"/>
    <n v="7"/>
    <x v="2"/>
    <x v="31"/>
    <n v="1590.73"/>
    <n v="11135.11"/>
  </r>
  <r>
    <x v="235"/>
    <s v="South"/>
    <s v="Tamil Nadu"/>
    <x v="0"/>
    <x v="2"/>
    <n v="13"/>
    <x v="9"/>
    <x v="5"/>
    <n v="857.86"/>
    <n v="11152.18"/>
  </r>
  <r>
    <x v="115"/>
    <s v="West"/>
    <s v="Maharashtra"/>
    <x v="3"/>
    <x v="4"/>
    <n v="4"/>
    <x v="4"/>
    <x v="28"/>
    <n v="2792.23"/>
    <n v="11168.92"/>
  </r>
  <r>
    <x v="147"/>
    <s v="South"/>
    <s v="Karnataka"/>
    <x v="7"/>
    <x v="4"/>
    <n v="6"/>
    <x v="6"/>
    <x v="32"/>
    <n v="1872.18"/>
    <n v="11233.08"/>
  </r>
  <r>
    <x v="236"/>
    <s v="North"/>
    <s v="Delhi"/>
    <x v="13"/>
    <x v="0"/>
    <n v="13"/>
    <x v="2"/>
    <x v="34"/>
    <n v="864.09"/>
    <n v="11233.17"/>
  </r>
  <r>
    <x v="219"/>
    <s v="West"/>
    <s v="Gujarat"/>
    <x v="9"/>
    <x v="0"/>
    <n v="16"/>
    <x v="9"/>
    <x v="32"/>
    <n v="704.88"/>
    <n v="11278.08"/>
  </r>
  <r>
    <x v="154"/>
    <s v="South"/>
    <s v="Tamil Nadu"/>
    <x v="8"/>
    <x v="4"/>
    <n v="8"/>
    <x v="0"/>
    <x v="29"/>
    <n v="1410.46"/>
    <n v="11283.68"/>
  </r>
  <r>
    <x v="1"/>
    <s v="West"/>
    <s v="Maharashtra"/>
    <x v="5"/>
    <x v="4"/>
    <n v="8"/>
    <x v="8"/>
    <x v="22"/>
    <n v="1412.48"/>
    <n v="11299.84"/>
  </r>
  <r>
    <x v="74"/>
    <s v="South"/>
    <s v="Tamil Nadu"/>
    <x v="6"/>
    <x v="3"/>
    <n v="4"/>
    <x v="0"/>
    <x v="1"/>
    <n v="2830.6"/>
    <n v="11322.4"/>
  </r>
  <r>
    <x v="237"/>
    <s v="West"/>
    <s v="Maharashtra"/>
    <x v="3"/>
    <x v="1"/>
    <n v="9"/>
    <x v="9"/>
    <x v="19"/>
    <n v="1280.74"/>
    <n v="11526.66"/>
  </r>
  <r>
    <x v="238"/>
    <s v="North"/>
    <s v="Delhi"/>
    <x v="4"/>
    <x v="2"/>
    <n v="19"/>
    <x v="6"/>
    <x v="16"/>
    <n v="609.63"/>
    <n v="11582.97"/>
  </r>
  <r>
    <x v="239"/>
    <s v="West"/>
    <s v="Gujarat"/>
    <x v="1"/>
    <x v="1"/>
    <n v="3"/>
    <x v="2"/>
    <x v="36"/>
    <n v="3861.09"/>
    <n v="11583.27"/>
  </r>
  <r>
    <x v="125"/>
    <s v="West"/>
    <s v="Maharashtra"/>
    <x v="11"/>
    <x v="2"/>
    <n v="8"/>
    <x v="9"/>
    <x v="17"/>
    <n v="1461.31"/>
    <n v="11690.48"/>
  </r>
  <r>
    <x v="240"/>
    <s v="West"/>
    <s v="Maharashtra"/>
    <x v="11"/>
    <x v="2"/>
    <n v="8"/>
    <x v="9"/>
    <x v="17"/>
    <n v="1461.31"/>
    <n v="11690.48"/>
  </r>
  <r>
    <x v="241"/>
    <s v="West"/>
    <s v="Gujarat"/>
    <x v="14"/>
    <x v="3"/>
    <n v="18"/>
    <x v="6"/>
    <x v="0"/>
    <n v="651.22"/>
    <n v="11721.960000000001"/>
  </r>
  <r>
    <x v="174"/>
    <s v="North"/>
    <s v="Delhi"/>
    <x v="13"/>
    <x v="1"/>
    <n v="11"/>
    <x v="9"/>
    <x v="16"/>
    <n v="1065.6400000000001"/>
    <n v="11722.04"/>
  </r>
  <r>
    <x v="70"/>
    <s v="South"/>
    <s v="Tamil Nadu"/>
    <x v="8"/>
    <x v="4"/>
    <n v="9"/>
    <x v="0"/>
    <x v="38"/>
    <n v="1302.45"/>
    <n v="11722.050000000001"/>
  </r>
  <r>
    <x v="51"/>
    <s v="North"/>
    <s v="Delhi"/>
    <x v="10"/>
    <x v="1"/>
    <n v="11"/>
    <x v="2"/>
    <x v="38"/>
    <n v="1069.3900000000001"/>
    <n v="11763.29"/>
  </r>
  <r>
    <x v="242"/>
    <s v="South"/>
    <s v="Tamil Nadu"/>
    <x v="6"/>
    <x v="2"/>
    <n v="8"/>
    <x v="2"/>
    <x v="33"/>
    <n v="1481.04"/>
    <n v="11848.32"/>
  </r>
  <r>
    <x v="140"/>
    <s v="West"/>
    <s v="Maharashtra"/>
    <x v="5"/>
    <x v="4"/>
    <n v="3"/>
    <x v="10"/>
    <x v="15"/>
    <n v="3957.38"/>
    <n v="11872.14"/>
  </r>
  <r>
    <x v="196"/>
    <s v="South"/>
    <s v="Tamil Nadu"/>
    <x v="0"/>
    <x v="3"/>
    <n v="6"/>
    <x v="8"/>
    <x v="29"/>
    <n v="1979"/>
    <n v="11874"/>
  </r>
  <r>
    <x v="243"/>
    <s v="West"/>
    <s v="Gujarat"/>
    <x v="1"/>
    <x v="0"/>
    <n v="8"/>
    <x v="6"/>
    <x v="35"/>
    <n v="1484.56"/>
    <n v="11876.48"/>
  </r>
  <r>
    <x v="151"/>
    <s v="South"/>
    <s v="Karnataka"/>
    <x v="7"/>
    <x v="4"/>
    <n v="13"/>
    <x v="3"/>
    <x v="21"/>
    <n v="914.82"/>
    <n v="11892.66"/>
  </r>
  <r>
    <x v="58"/>
    <s v="West"/>
    <s v="Maharashtra"/>
    <x v="3"/>
    <x v="0"/>
    <n v="12"/>
    <x v="4"/>
    <x v="7"/>
    <n v="992.16"/>
    <n v="11905.92"/>
  </r>
  <r>
    <x v="169"/>
    <s v="North"/>
    <s v="Delhi"/>
    <x v="10"/>
    <x v="3"/>
    <n v="4"/>
    <x v="3"/>
    <x v="34"/>
    <n v="2978.87"/>
    <n v="11915.48"/>
  </r>
  <r>
    <x v="62"/>
    <s v="West"/>
    <s v="Gujarat"/>
    <x v="9"/>
    <x v="0"/>
    <n v="6"/>
    <x v="5"/>
    <x v="22"/>
    <n v="1985.97"/>
    <n v="11915.82"/>
  </r>
  <r>
    <x v="244"/>
    <s v="North"/>
    <s v="Delhi"/>
    <x v="13"/>
    <x v="2"/>
    <n v="4"/>
    <x v="8"/>
    <x v="38"/>
    <n v="2984.27"/>
    <n v="11937.08"/>
  </r>
  <r>
    <x v="175"/>
    <s v="West"/>
    <s v="Maharashtra"/>
    <x v="11"/>
    <x v="3"/>
    <n v="7"/>
    <x v="6"/>
    <x v="10"/>
    <n v="1711.81"/>
    <n v="11982.67"/>
  </r>
  <r>
    <x v="11"/>
    <s v="North"/>
    <s v="Delhi"/>
    <x v="10"/>
    <x v="1"/>
    <n v="3"/>
    <x v="0"/>
    <x v="29"/>
    <n v="4020.68"/>
    <n v="12062.039999999999"/>
  </r>
  <r>
    <x v="102"/>
    <s v="South"/>
    <s v="Karnataka"/>
    <x v="7"/>
    <x v="4"/>
    <n v="20"/>
    <x v="7"/>
    <x v="19"/>
    <n v="603.49"/>
    <n v="12069.8"/>
  </r>
  <r>
    <x v="106"/>
    <s v="South"/>
    <s v="Karnataka"/>
    <x v="7"/>
    <x v="2"/>
    <n v="19"/>
    <x v="1"/>
    <x v="32"/>
    <n v="636.20000000000005"/>
    <n v="12087.800000000001"/>
  </r>
  <r>
    <x v="245"/>
    <s v="South"/>
    <s v="Tamil Nadu"/>
    <x v="0"/>
    <x v="1"/>
    <n v="4"/>
    <x v="10"/>
    <x v="11"/>
    <n v="3022.72"/>
    <n v="12090.88"/>
  </r>
  <r>
    <x v="246"/>
    <s v="West"/>
    <s v="Gujarat"/>
    <x v="9"/>
    <x v="1"/>
    <n v="7"/>
    <x v="2"/>
    <x v="36"/>
    <n v="1729.24"/>
    <n v="12104.68"/>
  </r>
  <r>
    <x v="64"/>
    <s v="North"/>
    <s v="Delhi"/>
    <x v="10"/>
    <x v="0"/>
    <n v="20"/>
    <x v="5"/>
    <x v="28"/>
    <n v="605.86"/>
    <n v="12117.2"/>
  </r>
  <r>
    <x v="166"/>
    <s v="North"/>
    <s v="Delhi"/>
    <x v="4"/>
    <x v="4"/>
    <n v="5"/>
    <x v="9"/>
    <x v="22"/>
    <n v="2423.83"/>
    <n v="12119.15"/>
  </r>
  <r>
    <x v="247"/>
    <s v="West"/>
    <s v="Gujarat"/>
    <x v="9"/>
    <x v="2"/>
    <n v="3"/>
    <x v="8"/>
    <x v="6"/>
    <n v="4059.76"/>
    <n v="12179.28"/>
  </r>
  <r>
    <x v="71"/>
    <s v="South"/>
    <s v="Karnataka"/>
    <x v="2"/>
    <x v="1"/>
    <n v="18"/>
    <x v="9"/>
    <x v="1"/>
    <n v="678.76"/>
    <n v="12217.68"/>
  </r>
  <r>
    <x v="248"/>
    <s v="West"/>
    <s v="Gujarat"/>
    <x v="1"/>
    <x v="1"/>
    <n v="3"/>
    <x v="9"/>
    <x v="21"/>
    <n v="4083.59"/>
    <n v="12250.77"/>
  </r>
  <r>
    <x v="249"/>
    <s v="North"/>
    <s v="Delhi"/>
    <x v="4"/>
    <x v="2"/>
    <n v="5"/>
    <x v="7"/>
    <x v="10"/>
    <n v="2463.9499999999998"/>
    <n v="12319.75"/>
  </r>
  <r>
    <x v="161"/>
    <s v="South"/>
    <s v="Tamil Nadu"/>
    <x v="0"/>
    <x v="1"/>
    <n v="3"/>
    <x v="9"/>
    <x v="23"/>
    <n v="4132.17"/>
    <n v="12396.51"/>
  </r>
  <r>
    <x v="250"/>
    <s v="South"/>
    <s v="Tamil Nadu"/>
    <x v="0"/>
    <x v="1"/>
    <n v="3"/>
    <x v="0"/>
    <x v="23"/>
    <n v="4132.17"/>
    <n v="12396.51"/>
  </r>
  <r>
    <x v="190"/>
    <s v="South"/>
    <s v="Tamil Nadu"/>
    <x v="8"/>
    <x v="4"/>
    <n v="5"/>
    <x v="9"/>
    <x v="39"/>
    <n v="2481.2199999999998"/>
    <n v="12406.099999999999"/>
  </r>
  <r>
    <x v="120"/>
    <s v="South"/>
    <s v="Tamil Nadu"/>
    <x v="6"/>
    <x v="3"/>
    <n v="9"/>
    <x v="9"/>
    <x v="4"/>
    <n v="1378.65"/>
    <n v="12407.85"/>
  </r>
  <r>
    <x v="251"/>
    <s v="South"/>
    <s v="Tamil Nadu"/>
    <x v="6"/>
    <x v="3"/>
    <n v="9"/>
    <x v="0"/>
    <x v="4"/>
    <n v="1378.65"/>
    <n v="12407.85"/>
  </r>
  <r>
    <x v="252"/>
    <s v="South"/>
    <s v="Karnataka"/>
    <x v="7"/>
    <x v="3"/>
    <n v="7"/>
    <x v="9"/>
    <x v="5"/>
    <n v="1774.74"/>
    <n v="12423.18"/>
  </r>
  <r>
    <x v="216"/>
    <s v="North"/>
    <s v="Delhi"/>
    <x v="10"/>
    <x v="0"/>
    <n v="3"/>
    <x v="8"/>
    <x v="7"/>
    <n v="4171.91"/>
    <n v="12515.73"/>
  </r>
  <r>
    <x v="198"/>
    <s v="South"/>
    <s v="Karnataka"/>
    <x v="2"/>
    <x v="1"/>
    <n v="18"/>
    <x v="0"/>
    <x v="20"/>
    <n v="696.83"/>
    <n v="12542.94"/>
  </r>
  <r>
    <x v="253"/>
    <s v="South"/>
    <s v="Karnataka"/>
    <x v="7"/>
    <x v="2"/>
    <n v="13"/>
    <x v="7"/>
    <x v="6"/>
    <n v="968.18"/>
    <n v="12586.34"/>
  </r>
  <r>
    <x v="112"/>
    <s v="West"/>
    <s v="Gujarat"/>
    <x v="14"/>
    <x v="3"/>
    <n v="3"/>
    <x v="7"/>
    <x v="6"/>
    <n v="4195.66"/>
    <n v="12586.98"/>
  </r>
  <r>
    <x v="254"/>
    <s v="North"/>
    <s v="Delhi"/>
    <x v="4"/>
    <x v="1"/>
    <n v="3"/>
    <x v="8"/>
    <x v="3"/>
    <n v="4201.09"/>
    <n v="12603.27"/>
  </r>
  <r>
    <x v="52"/>
    <s v="West"/>
    <s v="Maharashtra"/>
    <x v="3"/>
    <x v="2"/>
    <n v="7"/>
    <x v="9"/>
    <x v="9"/>
    <n v="1801.74"/>
    <n v="12612.18"/>
  </r>
  <r>
    <x v="255"/>
    <s v="West"/>
    <s v="Maharashtra"/>
    <x v="5"/>
    <x v="3"/>
    <n v="3"/>
    <x v="9"/>
    <x v="28"/>
    <n v="4210.7700000000004"/>
    <n v="12632.310000000001"/>
  </r>
  <r>
    <x v="256"/>
    <s v="West"/>
    <s v="Maharashtra"/>
    <x v="5"/>
    <x v="3"/>
    <n v="3"/>
    <x v="9"/>
    <x v="28"/>
    <n v="4210.7700000000004"/>
    <n v="12632.310000000001"/>
  </r>
  <r>
    <x v="257"/>
    <s v="West"/>
    <s v="Gujarat"/>
    <x v="9"/>
    <x v="3"/>
    <n v="20"/>
    <x v="8"/>
    <x v="4"/>
    <n v="633.87"/>
    <n v="12677.4"/>
  </r>
  <r>
    <x v="258"/>
    <s v="North"/>
    <s v="Delhi"/>
    <x v="4"/>
    <x v="1"/>
    <n v="3"/>
    <x v="9"/>
    <x v="29"/>
    <n v="4229.84"/>
    <n v="12689.52"/>
  </r>
  <r>
    <x v="259"/>
    <s v="North"/>
    <s v="Delhi"/>
    <x v="4"/>
    <x v="1"/>
    <n v="3"/>
    <x v="0"/>
    <x v="29"/>
    <n v="4229.84"/>
    <n v="12689.52"/>
  </r>
  <r>
    <x v="20"/>
    <s v="South"/>
    <s v="Karnataka"/>
    <x v="7"/>
    <x v="0"/>
    <n v="16"/>
    <x v="4"/>
    <x v="15"/>
    <n v="795.17"/>
    <n v="12722.72"/>
  </r>
  <r>
    <x v="243"/>
    <s v="West"/>
    <s v="Maharashtra"/>
    <x v="3"/>
    <x v="3"/>
    <n v="5"/>
    <x v="2"/>
    <x v="31"/>
    <n v="2545.9299999999998"/>
    <n v="12729.65"/>
  </r>
  <r>
    <x v="38"/>
    <s v="South"/>
    <s v="Karnataka"/>
    <x v="2"/>
    <x v="1"/>
    <n v="12"/>
    <x v="10"/>
    <x v="33"/>
    <n v="1061.49"/>
    <n v="12737.880000000001"/>
  </r>
  <r>
    <x v="25"/>
    <s v="West"/>
    <s v="Gujarat"/>
    <x v="1"/>
    <x v="1"/>
    <n v="16"/>
    <x v="5"/>
    <x v="7"/>
    <n v="796.69"/>
    <n v="12747.04"/>
  </r>
  <r>
    <x v="143"/>
    <s v="South"/>
    <s v="Tamil Nadu"/>
    <x v="6"/>
    <x v="2"/>
    <n v="8"/>
    <x v="1"/>
    <x v="21"/>
    <n v="1595.76"/>
    <n v="12766.08"/>
  </r>
  <r>
    <x v="154"/>
    <s v="South"/>
    <s v="Karnataka"/>
    <x v="12"/>
    <x v="1"/>
    <n v="11"/>
    <x v="8"/>
    <x v="39"/>
    <n v="1169.3"/>
    <n v="12862.3"/>
  </r>
  <r>
    <x v="37"/>
    <s v="North"/>
    <s v="Delhi"/>
    <x v="4"/>
    <x v="4"/>
    <n v="17"/>
    <x v="5"/>
    <x v="17"/>
    <n v="758.19"/>
    <n v="12889.230000000001"/>
  </r>
  <r>
    <x v="86"/>
    <s v="North"/>
    <s v="Delhi"/>
    <x v="13"/>
    <x v="2"/>
    <n v="13"/>
    <x v="2"/>
    <x v="32"/>
    <n v="993.43"/>
    <n v="12914.59"/>
  </r>
  <r>
    <x v="260"/>
    <s v="West"/>
    <s v="Maharashtra"/>
    <x v="11"/>
    <x v="0"/>
    <n v="5"/>
    <x v="9"/>
    <x v="13"/>
    <n v="2583.81"/>
    <n v="12919.05"/>
  </r>
  <r>
    <x v="261"/>
    <s v="South"/>
    <s v="Karnataka"/>
    <x v="12"/>
    <x v="2"/>
    <n v="7"/>
    <x v="4"/>
    <x v="18"/>
    <n v="1849.17"/>
    <n v="12944.19"/>
  </r>
  <r>
    <x v="262"/>
    <s v="West"/>
    <s v="Gujarat"/>
    <x v="14"/>
    <x v="3"/>
    <n v="15"/>
    <x v="1"/>
    <x v="11"/>
    <n v="866.62"/>
    <n v="12999.3"/>
  </r>
  <r>
    <x v="43"/>
    <s v="South"/>
    <s v="Tamil Nadu"/>
    <x v="6"/>
    <x v="4"/>
    <n v="3"/>
    <x v="5"/>
    <x v="19"/>
    <n v="4363.3"/>
    <n v="13089.900000000001"/>
  </r>
  <r>
    <x v="84"/>
    <s v="South"/>
    <s v="Karnataka"/>
    <x v="7"/>
    <x v="0"/>
    <n v="6"/>
    <x v="7"/>
    <x v="3"/>
    <n v="2207.64"/>
    <n v="13245.84"/>
  </r>
  <r>
    <x v="58"/>
    <s v="South"/>
    <s v="Karnataka"/>
    <x v="2"/>
    <x v="1"/>
    <n v="12"/>
    <x v="3"/>
    <x v="38"/>
    <n v="1104.74"/>
    <n v="13256.880000000001"/>
  </r>
  <r>
    <x v="242"/>
    <s v="West"/>
    <s v="Maharashtra"/>
    <x v="3"/>
    <x v="3"/>
    <n v="9"/>
    <x v="10"/>
    <x v="36"/>
    <n v="1474.56"/>
    <n v="13271.039999999999"/>
  </r>
  <r>
    <x v="253"/>
    <s v="West"/>
    <s v="Gujarat"/>
    <x v="9"/>
    <x v="4"/>
    <n v="14"/>
    <x v="2"/>
    <x v="6"/>
    <n v="948.05"/>
    <n v="13272.699999999999"/>
  </r>
  <r>
    <x v="234"/>
    <s v="West"/>
    <s v="Maharashtra"/>
    <x v="3"/>
    <x v="4"/>
    <n v="7"/>
    <x v="6"/>
    <x v="13"/>
    <n v="1905.14"/>
    <n v="13335.980000000001"/>
  </r>
  <r>
    <x v="70"/>
    <s v="South"/>
    <s v="Tamil Nadu"/>
    <x v="6"/>
    <x v="2"/>
    <n v="8"/>
    <x v="7"/>
    <x v="17"/>
    <n v="1670.31"/>
    <n v="13362.48"/>
  </r>
  <r>
    <x v="135"/>
    <s v="South"/>
    <s v="Karnataka"/>
    <x v="2"/>
    <x v="0"/>
    <n v="13"/>
    <x v="5"/>
    <x v="27"/>
    <n v="1030.9000000000001"/>
    <n v="13401.7"/>
  </r>
  <r>
    <x v="183"/>
    <s v="North"/>
    <s v="Delhi"/>
    <x v="10"/>
    <x v="2"/>
    <n v="5"/>
    <x v="1"/>
    <x v="27"/>
    <n v="2681.34"/>
    <n v="13406.7"/>
  </r>
  <r>
    <x v="112"/>
    <s v="West"/>
    <s v="Gujarat"/>
    <x v="1"/>
    <x v="0"/>
    <n v="4"/>
    <x v="6"/>
    <x v="12"/>
    <n v="3377.27"/>
    <n v="13509.08"/>
  </r>
  <r>
    <x v="15"/>
    <s v="West"/>
    <s v="Gujarat"/>
    <x v="14"/>
    <x v="4"/>
    <n v="19"/>
    <x v="0"/>
    <x v="25"/>
    <n v="713.8"/>
    <n v="13562.199999999999"/>
  </r>
  <r>
    <x v="263"/>
    <s v="West"/>
    <s v="Gujarat"/>
    <x v="14"/>
    <x v="3"/>
    <n v="15"/>
    <x v="7"/>
    <x v="37"/>
    <n v="916.75"/>
    <n v="13751.25"/>
  </r>
  <r>
    <x v="196"/>
    <s v="North"/>
    <s v="Delhi"/>
    <x v="4"/>
    <x v="1"/>
    <n v="3"/>
    <x v="7"/>
    <x v="30"/>
    <n v="4608.8900000000003"/>
    <n v="13826.670000000002"/>
  </r>
  <r>
    <x v="183"/>
    <s v="South"/>
    <s v="Tamil Nadu"/>
    <x v="6"/>
    <x v="2"/>
    <n v="16"/>
    <x v="9"/>
    <x v="4"/>
    <n v="874.99"/>
    <n v="13999.84"/>
  </r>
  <r>
    <x v="221"/>
    <s v="West"/>
    <s v="Gujarat"/>
    <x v="14"/>
    <x v="2"/>
    <n v="3"/>
    <x v="2"/>
    <x v="12"/>
    <n v="4678.38"/>
    <n v="14035.14"/>
  </r>
  <r>
    <x v="264"/>
    <s v="West"/>
    <s v="Gujarat"/>
    <x v="14"/>
    <x v="2"/>
    <n v="12"/>
    <x v="1"/>
    <x v="18"/>
    <n v="1169.8399999999999"/>
    <n v="14038.079999999998"/>
  </r>
  <r>
    <x v="117"/>
    <s v="West"/>
    <s v="Gujarat"/>
    <x v="14"/>
    <x v="3"/>
    <n v="11"/>
    <x v="4"/>
    <x v="32"/>
    <n v="1278.32"/>
    <n v="14061.519999999999"/>
  </r>
  <r>
    <x v="30"/>
    <s v="South"/>
    <s v="Karnataka"/>
    <x v="12"/>
    <x v="3"/>
    <n v="7"/>
    <x v="2"/>
    <x v="32"/>
    <n v="2016.03"/>
    <n v="14112.21"/>
  </r>
  <r>
    <x v="48"/>
    <s v="North"/>
    <s v="Delhi"/>
    <x v="4"/>
    <x v="2"/>
    <n v="5"/>
    <x v="1"/>
    <x v="27"/>
    <n v="2846.34"/>
    <n v="14231.7"/>
  </r>
  <r>
    <x v="17"/>
    <s v="West"/>
    <s v="Gujarat"/>
    <x v="1"/>
    <x v="1"/>
    <n v="4"/>
    <x v="7"/>
    <x v="19"/>
    <n v="3561.12"/>
    <n v="14244.48"/>
  </r>
  <r>
    <x v="265"/>
    <s v="South"/>
    <s v="Karnataka"/>
    <x v="7"/>
    <x v="0"/>
    <n v="7"/>
    <x v="3"/>
    <x v="13"/>
    <n v="2048.48"/>
    <n v="14339.36"/>
  </r>
  <r>
    <x v="32"/>
    <s v="South"/>
    <s v="Karnataka"/>
    <x v="2"/>
    <x v="2"/>
    <n v="8"/>
    <x v="2"/>
    <x v="27"/>
    <n v="1794.45"/>
    <n v="14355.6"/>
  </r>
  <r>
    <x v="132"/>
    <s v="West"/>
    <s v="Gujarat"/>
    <x v="14"/>
    <x v="4"/>
    <n v="15"/>
    <x v="10"/>
    <x v="36"/>
    <n v="961.23"/>
    <n v="14418.45"/>
  </r>
  <r>
    <x v="244"/>
    <s v="South"/>
    <s v="Karnataka"/>
    <x v="2"/>
    <x v="4"/>
    <n v="20"/>
    <x v="9"/>
    <x v="12"/>
    <n v="722.13"/>
    <n v="14442.6"/>
  </r>
  <r>
    <x v="266"/>
    <s v="West"/>
    <s v="Maharashtra"/>
    <x v="5"/>
    <x v="3"/>
    <n v="11"/>
    <x v="2"/>
    <x v="8"/>
    <n v="1316.18"/>
    <n v="14477.980000000001"/>
  </r>
  <r>
    <x v="267"/>
    <s v="South"/>
    <s v="Karnataka"/>
    <x v="7"/>
    <x v="4"/>
    <n v="3"/>
    <x v="2"/>
    <x v="37"/>
    <n v="4876.51"/>
    <n v="14629.53"/>
  </r>
  <r>
    <x v="48"/>
    <s v="West"/>
    <s v="Gujarat"/>
    <x v="14"/>
    <x v="3"/>
    <n v="3"/>
    <x v="10"/>
    <x v="9"/>
    <n v="4888.03"/>
    <n v="14664.09"/>
  </r>
  <r>
    <x v="268"/>
    <s v="West"/>
    <s v="Gujarat"/>
    <x v="1"/>
    <x v="4"/>
    <n v="18"/>
    <x v="10"/>
    <x v="37"/>
    <n v="814.69"/>
    <n v="14664.420000000002"/>
  </r>
  <r>
    <x v="269"/>
    <s v="South"/>
    <s v="Tamil Nadu"/>
    <x v="8"/>
    <x v="2"/>
    <n v="6"/>
    <x v="6"/>
    <x v="15"/>
    <n v="2463.6799999999998"/>
    <n v="14782.079999999998"/>
  </r>
  <r>
    <x v="270"/>
    <s v="South"/>
    <s v="Tamil Nadu"/>
    <x v="8"/>
    <x v="2"/>
    <n v="6"/>
    <x v="0"/>
    <x v="15"/>
    <n v="2463.6799999999998"/>
    <n v="14782.079999999998"/>
  </r>
  <r>
    <x v="32"/>
    <s v="North"/>
    <s v="Delhi"/>
    <x v="4"/>
    <x v="4"/>
    <n v="5"/>
    <x v="6"/>
    <x v="5"/>
    <n v="2957.2"/>
    <n v="14786"/>
  </r>
  <r>
    <x v="263"/>
    <s v="West"/>
    <s v="Maharashtra"/>
    <x v="5"/>
    <x v="1"/>
    <n v="4"/>
    <x v="0"/>
    <x v="32"/>
    <n v="3725.78"/>
    <n v="14903.12"/>
  </r>
  <r>
    <x v="211"/>
    <s v="South"/>
    <s v="Tamil Nadu"/>
    <x v="6"/>
    <x v="2"/>
    <n v="3"/>
    <x v="9"/>
    <x v="22"/>
    <n v="4999.6899999999996"/>
    <n v="14999.07"/>
  </r>
  <r>
    <x v="271"/>
    <s v="North"/>
    <s v="Delhi"/>
    <x v="4"/>
    <x v="3"/>
    <n v="9"/>
    <x v="8"/>
    <x v="4"/>
    <n v="1667.06"/>
    <n v="15003.539999999999"/>
  </r>
  <r>
    <x v="272"/>
    <s v="South"/>
    <s v="Tamil Nadu"/>
    <x v="6"/>
    <x v="0"/>
    <n v="11"/>
    <x v="6"/>
    <x v="14"/>
    <n v="1389.59"/>
    <n v="15285.49"/>
  </r>
  <r>
    <x v="273"/>
    <s v="North"/>
    <s v="Delhi"/>
    <x v="13"/>
    <x v="4"/>
    <n v="14"/>
    <x v="7"/>
    <x v="24"/>
    <n v="1094.1400000000001"/>
    <n v="15317.960000000001"/>
  </r>
  <r>
    <x v="102"/>
    <s v="West"/>
    <s v="Gujarat"/>
    <x v="1"/>
    <x v="1"/>
    <n v="8"/>
    <x v="10"/>
    <x v="6"/>
    <n v="1916.14"/>
    <n v="15329.12"/>
  </r>
  <r>
    <x v="125"/>
    <s v="West"/>
    <s v="Gujarat"/>
    <x v="9"/>
    <x v="0"/>
    <n v="8"/>
    <x v="2"/>
    <x v="25"/>
    <n v="1927.88"/>
    <n v="15423.04"/>
  </r>
  <r>
    <x v="178"/>
    <s v="South"/>
    <s v="Tamil Nadu"/>
    <x v="8"/>
    <x v="1"/>
    <n v="20"/>
    <x v="9"/>
    <x v="32"/>
    <n v="774.07"/>
    <n v="15481.400000000001"/>
  </r>
  <r>
    <x v="215"/>
    <s v="South"/>
    <s v="Karnataka"/>
    <x v="2"/>
    <x v="4"/>
    <n v="5"/>
    <x v="9"/>
    <x v="22"/>
    <n v="3103.12"/>
    <n v="15515.599999999999"/>
  </r>
  <r>
    <x v="169"/>
    <s v="South"/>
    <s v="Karnataka"/>
    <x v="7"/>
    <x v="4"/>
    <n v="16"/>
    <x v="9"/>
    <x v="15"/>
    <n v="971.39"/>
    <n v="15542.24"/>
  </r>
  <r>
    <x v="274"/>
    <s v="West"/>
    <s v="Maharashtra"/>
    <x v="3"/>
    <x v="2"/>
    <n v="13"/>
    <x v="9"/>
    <x v="26"/>
    <n v="1198.5"/>
    <n v="15580.5"/>
  </r>
  <r>
    <x v="193"/>
    <s v="North"/>
    <s v="Delhi"/>
    <x v="10"/>
    <x v="0"/>
    <n v="7"/>
    <x v="6"/>
    <x v="35"/>
    <n v="2227.0700000000002"/>
    <n v="15589.490000000002"/>
  </r>
  <r>
    <x v="275"/>
    <s v="North"/>
    <s v="Delhi"/>
    <x v="10"/>
    <x v="3"/>
    <n v="11"/>
    <x v="10"/>
    <x v="14"/>
    <n v="1418.67"/>
    <n v="15605.37"/>
  </r>
  <r>
    <x v="276"/>
    <s v="North"/>
    <s v="Delhi"/>
    <x v="4"/>
    <x v="2"/>
    <n v="14"/>
    <x v="1"/>
    <x v="18"/>
    <n v="1116.79"/>
    <n v="15635.06"/>
  </r>
  <r>
    <x v="201"/>
    <s v="North"/>
    <s v="Delhi"/>
    <x v="13"/>
    <x v="1"/>
    <n v="12"/>
    <x v="2"/>
    <x v="30"/>
    <n v="1304.81"/>
    <n v="15657.72"/>
  </r>
  <r>
    <x v="161"/>
    <s v="West"/>
    <s v="Gujarat"/>
    <x v="9"/>
    <x v="1"/>
    <n v="6"/>
    <x v="9"/>
    <x v="32"/>
    <n v="2609.65"/>
    <n v="15657.900000000001"/>
  </r>
  <r>
    <x v="277"/>
    <s v="South"/>
    <s v="Karnataka"/>
    <x v="7"/>
    <x v="3"/>
    <n v="8"/>
    <x v="5"/>
    <x v="4"/>
    <n v="1968.58"/>
    <n v="15748.64"/>
  </r>
  <r>
    <x v="203"/>
    <s v="West"/>
    <s v="Maharashtra"/>
    <x v="5"/>
    <x v="2"/>
    <n v="5"/>
    <x v="7"/>
    <x v="37"/>
    <n v="3156.9"/>
    <n v="15784.5"/>
  </r>
  <r>
    <x v="278"/>
    <s v="West"/>
    <s v="Gujarat"/>
    <x v="14"/>
    <x v="0"/>
    <n v="11"/>
    <x v="10"/>
    <x v="15"/>
    <n v="1435.18"/>
    <n v="15786.980000000001"/>
  </r>
  <r>
    <x v="148"/>
    <s v="South"/>
    <s v="Tamil Nadu"/>
    <x v="6"/>
    <x v="1"/>
    <n v="13"/>
    <x v="8"/>
    <x v="18"/>
    <n v="1220.76"/>
    <n v="15869.88"/>
  </r>
  <r>
    <x v="279"/>
    <s v="South"/>
    <s v="Karnataka"/>
    <x v="2"/>
    <x v="4"/>
    <n v="18"/>
    <x v="5"/>
    <x v="36"/>
    <n v="883.32"/>
    <n v="15899.76"/>
  </r>
  <r>
    <x v="56"/>
    <s v="North"/>
    <s v="Delhi"/>
    <x v="10"/>
    <x v="2"/>
    <n v="5"/>
    <x v="3"/>
    <x v="0"/>
    <n v="3181.48"/>
    <n v="15907.4"/>
  </r>
  <r>
    <x v="237"/>
    <s v="West"/>
    <s v="Maharashtra"/>
    <x v="3"/>
    <x v="1"/>
    <n v="12"/>
    <x v="9"/>
    <x v="1"/>
    <n v="1333.81"/>
    <n v="16005.72"/>
  </r>
  <r>
    <x v="280"/>
    <s v="West"/>
    <s v="Maharashtra"/>
    <x v="3"/>
    <x v="2"/>
    <n v="4"/>
    <x v="3"/>
    <x v="3"/>
    <n v="4020.65"/>
    <n v="16082.6"/>
  </r>
  <r>
    <x v="145"/>
    <s v="South"/>
    <s v="Tamil Nadu"/>
    <x v="6"/>
    <x v="4"/>
    <n v="17"/>
    <x v="9"/>
    <x v="38"/>
    <n v="947.7"/>
    <n v="16110.900000000001"/>
  </r>
  <r>
    <x v="281"/>
    <s v="North"/>
    <s v="Delhi"/>
    <x v="4"/>
    <x v="1"/>
    <n v="8"/>
    <x v="2"/>
    <x v="4"/>
    <n v="2019.04"/>
    <n v="16152.32"/>
  </r>
  <r>
    <x v="63"/>
    <s v="South"/>
    <s v="Tamil Nadu"/>
    <x v="0"/>
    <x v="4"/>
    <n v="4"/>
    <x v="6"/>
    <x v="23"/>
    <n v="4058.48"/>
    <n v="16233.92"/>
  </r>
  <r>
    <x v="71"/>
    <s v="West"/>
    <s v="Maharashtra"/>
    <x v="5"/>
    <x v="3"/>
    <n v="12"/>
    <x v="0"/>
    <x v="35"/>
    <n v="1352.89"/>
    <n v="16234.68"/>
  </r>
  <r>
    <x v="9"/>
    <s v="South"/>
    <s v="Tamil Nadu"/>
    <x v="0"/>
    <x v="4"/>
    <n v="9"/>
    <x v="4"/>
    <x v="22"/>
    <n v="1805.32"/>
    <n v="16247.88"/>
  </r>
  <r>
    <x v="73"/>
    <s v="West"/>
    <s v="Maharashtra"/>
    <x v="3"/>
    <x v="3"/>
    <n v="5"/>
    <x v="1"/>
    <x v="15"/>
    <n v="3259.3"/>
    <n v="16296.5"/>
  </r>
  <r>
    <x v="255"/>
    <s v="West"/>
    <s v="Gujarat"/>
    <x v="14"/>
    <x v="4"/>
    <n v="16"/>
    <x v="6"/>
    <x v="14"/>
    <n v="1023.78"/>
    <n v="16380.48"/>
  </r>
  <r>
    <x v="155"/>
    <s v="West"/>
    <s v="Gujarat"/>
    <x v="9"/>
    <x v="2"/>
    <n v="16"/>
    <x v="9"/>
    <x v="19"/>
    <n v="1025.8"/>
    <n v="16412.8"/>
  </r>
  <r>
    <x v="282"/>
    <s v="South"/>
    <s v="Tamil Nadu"/>
    <x v="6"/>
    <x v="2"/>
    <n v="18"/>
    <x v="0"/>
    <x v="1"/>
    <n v="913.13"/>
    <n v="16436.34"/>
  </r>
  <r>
    <x v="215"/>
    <s v="West"/>
    <s v="Maharashtra"/>
    <x v="5"/>
    <x v="2"/>
    <n v="5"/>
    <x v="10"/>
    <x v="27"/>
    <n v="3288.58"/>
    <n v="16442.900000000001"/>
  </r>
  <r>
    <x v="271"/>
    <s v="West"/>
    <s v="Gujarat"/>
    <x v="14"/>
    <x v="3"/>
    <n v="15"/>
    <x v="3"/>
    <x v="18"/>
    <n v="1098.31"/>
    <n v="16474.649999999998"/>
  </r>
  <r>
    <x v="216"/>
    <s v="North"/>
    <s v="Delhi"/>
    <x v="4"/>
    <x v="4"/>
    <n v="12"/>
    <x v="4"/>
    <x v="30"/>
    <n v="1377.41"/>
    <n v="16528.920000000002"/>
  </r>
  <r>
    <x v="283"/>
    <s v="North"/>
    <s v="Delhi"/>
    <x v="4"/>
    <x v="4"/>
    <n v="12"/>
    <x v="4"/>
    <x v="30"/>
    <n v="1377.41"/>
    <n v="16528.920000000002"/>
  </r>
  <r>
    <x v="284"/>
    <s v="North"/>
    <s v="Delhi"/>
    <x v="13"/>
    <x v="2"/>
    <n v="6"/>
    <x v="7"/>
    <x v="7"/>
    <n v="2772.51"/>
    <n v="16635.060000000001"/>
  </r>
  <r>
    <x v="285"/>
    <s v="West"/>
    <s v="Maharashtra"/>
    <x v="3"/>
    <x v="2"/>
    <n v="7"/>
    <x v="4"/>
    <x v="12"/>
    <n v="2384.5100000000002"/>
    <n v="16691.57"/>
  </r>
  <r>
    <x v="215"/>
    <s v="West"/>
    <s v="Maharashtra"/>
    <x v="5"/>
    <x v="1"/>
    <n v="15"/>
    <x v="9"/>
    <x v="11"/>
    <n v="1113.76"/>
    <n v="16706.400000000001"/>
  </r>
  <r>
    <x v="42"/>
    <s v="West"/>
    <s v="Maharashtra"/>
    <x v="3"/>
    <x v="0"/>
    <n v="5"/>
    <x v="9"/>
    <x v="34"/>
    <n v="3342.48"/>
    <n v="16712.400000000001"/>
  </r>
  <r>
    <x v="284"/>
    <s v="South"/>
    <s v="Karnataka"/>
    <x v="7"/>
    <x v="3"/>
    <n v="8"/>
    <x v="0"/>
    <x v="25"/>
    <n v="2112.66"/>
    <n v="16901.28"/>
  </r>
  <r>
    <x v="286"/>
    <s v="West"/>
    <s v="Maharashtra"/>
    <x v="3"/>
    <x v="4"/>
    <n v="4"/>
    <x v="1"/>
    <x v="14"/>
    <n v="4245.67"/>
    <n v="16982.68"/>
  </r>
  <r>
    <x v="226"/>
    <s v="West"/>
    <s v="Gujarat"/>
    <x v="1"/>
    <x v="1"/>
    <n v="14"/>
    <x v="2"/>
    <x v="9"/>
    <n v="1215.6199999999999"/>
    <n v="17018.68"/>
  </r>
  <r>
    <x v="286"/>
    <s v="North"/>
    <s v="Delhi"/>
    <x v="4"/>
    <x v="4"/>
    <n v="5"/>
    <x v="6"/>
    <x v="38"/>
    <n v="3404.87"/>
    <n v="17024.349999999999"/>
  </r>
  <r>
    <x v="136"/>
    <s v="West"/>
    <s v="Gujarat"/>
    <x v="9"/>
    <x v="0"/>
    <n v="4"/>
    <x v="8"/>
    <x v="19"/>
    <n v="4317.2"/>
    <n v="17268.8"/>
  </r>
  <r>
    <x v="101"/>
    <s v="South"/>
    <s v="Karnataka"/>
    <x v="7"/>
    <x v="3"/>
    <n v="4"/>
    <x v="4"/>
    <x v="3"/>
    <n v="4337.09"/>
    <n v="17348.36"/>
  </r>
  <r>
    <x v="74"/>
    <s v="West"/>
    <s v="Maharashtra"/>
    <x v="11"/>
    <x v="4"/>
    <n v="4"/>
    <x v="5"/>
    <x v="22"/>
    <n v="4368.46"/>
    <n v="17473.84"/>
  </r>
  <r>
    <x v="287"/>
    <s v="West"/>
    <s v="Maharashtra"/>
    <x v="5"/>
    <x v="3"/>
    <n v="4"/>
    <x v="9"/>
    <x v="9"/>
    <n v="4386.54"/>
    <n v="17546.16"/>
  </r>
  <r>
    <x v="269"/>
    <s v="South"/>
    <s v="Tamil Nadu"/>
    <x v="8"/>
    <x v="3"/>
    <n v="14"/>
    <x v="9"/>
    <x v="19"/>
    <n v="1273.8399999999999"/>
    <n v="17833.759999999998"/>
  </r>
  <r>
    <x v="288"/>
    <s v="South"/>
    <s v="Tamil Nadu"/>
    <x v="8"/>
    <x v="4"/>
    <n v="7"/>
    <x v="2"/>
    <x v="34"/>
    <n v="2557.77"/>
    <n v="17904.39"/>
  </r>
  <r>
    <x v="177"/>
    <s v="South"/>
    <s v="Karnataka"/>
    <x v="12"/>
    <x v="0"/>
    <n v="7"/>
    <x v="1"/>
    <x v="32"/>
    <n v="2560.5"/>
    <n v="17923.5"/>
  </r>
  <r>
    <x v="236"/>
    <s v="West"/>
    <s v="Gujarat"/>
    <x v="14"/>
    <x v="1"/>
    <n v="5"/>
    <x v="5"/>
    <x v="18"/>
    <n v="3619.58"/>
    <n v="18097.900000000001"/>
  </r>
  <r>
    <x v="29"/>
    <s v="South"/>
    <s v="Tamil Nadu"/>
    <x v="0"/>
    <x v="1"/>
    <n v="14"/>
    <x v="6"/>
    <x v="30"/>
    <n v="1293.27"/>
    <n v="18105.78"/>
  </r>
  <r>
    <x v="289"/>
    <s v="West"/>
    <s v="Gujarat"/>
    <x v="9"/>
    <x v="3"/>
    <n v="5"/>
    <x v="1"/>
    <x v="15"/>
    <n v="3631.01"/>
    <n v="18155.050000000003"/>
  </r>
  <r>
    <x v="56"/>
    <s v="South"/>
    <s v="Karnataka"/>
    <x v="2"/>
    <x v="3"/>
    <n v="17"/>
    <x v="0"/>
    <x v="11"/>
    <n v="1071.3"/>
    <n v="18212.099999999999"/>
  </r>
  <r>
    <x v="138"/>
    <s v="West"/>
    <s v="Gujarat"/>
    <x v="9"/>
    <x v="4"/>
    <n v="6"/>
    <x v="2"/>
    <x v="18"/>
    <n v="3051.1"/>
    <n v="18306.599999999999"/>
  </r>
  <r>
    <x v="121"/>
    <s v="South"/>
    <s v="Karnataka"/>
    <x v="12"/>
    <x v="3"/>
    <n v="5"/>
    <x v="6"/>
    <x v="30"/>
    <n v="3701.17"/>
    <n v="18505.849999999999"/>
  </r>
  <r>
    <x v="260"/>
    <s v="West"/>
    <s v="Maharashtra"/>
    <x v="3"/>
    <x v="2"/>
    <n v="5"/>
    <x v="4"/>
    <x v="13"/>
    <n v="3732.82"/>
    <n v="18664.100000000002"/>
  </r>
  <r>
    <x v="290"/>
    <s v="West"/>
    <s v="Maharashtra"/>
    <x v="3"/>
    <x v="2"/>
    <n v="5"/>
    <x v="4"/>
    <x v="13"/>
    <n v="3732.82"/>
    <n v="18664.100000000002"/>
  </r>
  <r>
    <x v="291"/>
    <s v="South"/>
    <s v="Karnataka"/>
    <x v="7"/>
    <x v="0"/>
    <n v="6"/>
    <x v="9"/>
    <x v="27"/>
    <n v="3116.12"/>
    <n v="18696.72"/>
  </r>
  <r>
    <x v="292"/>
    <s v="South"/>
    <s v="Tamil Nadu"/>
    <x v="6"/>
    <x v="2"/>
    <n v="11"/>
    <x v="4"/>
    <x v="17"/>
    <n v="1703.12"/>
    <n v="18734.32"/>
  </r>
  <r>
    <x v="293"/>
    <s v="South"/>
    <s v="Karnataka"/>
    <x v="7"/>
    <x v="0"/>
    <n v="8"/>
    <x v="6"/>
    <x v="1"/>
    <n v="2342.02"/>
    <n v="18736.16"/>
  </r>
  <r>
    <x v="294"/>
    <s v="South"/>
    <s v="Karnataka"/>
    <x v="7"/>
    <x v="0"/>
    <n v="8"/>
    <x v="0"/>
    <x v="1"/>
    <n v="2342.02"/>
    <n v="18736.16"/>
  </r>
  <r>
    <x v="45"/>
    <s v="North"/>
    <s v="Delhi"/>
    <x v="10"/>
    <x v="2"/>
    <n v="6"/>
    <x v="8"/>
    <x v="7"/>
    <n v="3125.31"/>
    <n v="18751.86"/>
  </r>
  <r>
    <x v="170"/>
    <s v="West"/>
    <s v="Gujarat"/>
    <x v="9"/>
    <x v="2"/>
    <n v="4"/>
    <x v="1"/>
    <x v="33"/>
    <n v="4697.07"/>
    <n v="18788.28"/>
  </r>
  <r>
    <x v="254"/>
    <s v="West"/>
    <s v="Maharashtra"/>
    <x v="5"/>
    <x v="1"/>
    <n v="11"/>
    <x v="10"/>
    <x v="16"/>
    <n v="1708.99"/>
    <n v="18798.89"/>
  </r>
  <r>
    <x v="191"/>
    <s v="West"/>
    <s v="Gujarat"/>
    <x v="14"/>
    <x v="0"/>
    <n v="5"/>
    <x v="4"/>
    <x v="39"/>
    <n v="3770.46"/>
    <n v="18852.3"/>
  </r>
  <r>
    <x v="60"/>
    <s v="South"/>
    <s v="Karnataka"/>
    <x v="12"/>
    <x v="0"/>
    <n v="15"/>
    <x v="0"/>
    <x v="0"/>
    <n v="1259.1600000000001"/>
    <n v="18887.400000000001"/>
  </r>
  <r>
    <x v="254"/>
    <s v="South"/>
    <s v="Tamil Nadu"/>
    <x v="8"/>
    <x v="2"/>
    <n v="5"/>
    <x v="0"/>
    <x v="14"/>
    <n v="3786.28"/>
    <n v="18931.400000000001"/>
  </r>
  <r>
    <x v="295"/>
    <s v="South"/>
    <s v="Tamil Nadu"/>
    <x v="6"/>
    <x v="4"/>
    <n v="7"/>
    <x v="2"/>
    <x v="19"/>
    <n v="2706.33"/>
    <n v="18944.309999999998"/>
  </r>
  <r>
    <x v="236"/>
    <s v="North"/>
    <s v="Delhi"/>
    <x v="13"/>
    <x v="2"/>
    <n v="6"/>
    <x v="10"/>
    <x v="5"/>
    <n v="3175.44"/>
    <n v="19052.64"/>
  </r>
  <r>
    <x v="139"/>
    <s v="South"/>
    <s v="Tamil Nadu"/>
    <x v="6"/>
    <x v="4"/>
    <n v="13"/>
    <x v="3"/>
    <x v="12"/>
    <n v="1466.66"/>
    <n v="19066.580000000002"/>
  </r>
  <r>
    <x v="296"/>
    <s v="North"/>
    <s v="Delhi"/>
    <x v="4"/>
    <x v="1"/>
    <n v="16"/>
    <x v="3"/>
    <x v="21"/>
    <n v="1192.3800000000001"/>
    <n v="19078.080000000002"/>
  </r>
  <r>
    <x v="110"/>
    <s v="South"/>
    <s v="Tamil Nadu"/>
    <x v="8"/>
    <x v="1"/>
    <n v="4"/>
    <x v="5"/>
    <x v="24"/>
    <n v="4782.74"/>
    <n v="19130.96"/>
  </r>
  <r>
    <x v="135"/>
    <s v="South"/>
    <s v="Tamil Nadu"/>
    <x v="0"/>
    <x v="0"/>
    <n v="12"/>
    <x v="6"/>
    <x v="10"/>
    <n v="1608.11"/>
    <n v="19297.32"/>
  </r>
  <r>
    <x v="66"/>
    <s v="West"/>
    <s v="Gujarat"/>
    <x v="9"/>
    <x v="2"/>
    <n v="5"/>
    <x v="6"/>
    <x v="15"/>
    <n v="3860.73"/>
    <n v="19303.650000000001"/>
  </r>
  <r>
    <x v="297"/>
    <s v="West"/>
    <s v="Gujarat"/>
    <x v="9"/>
    <x v="2"/>
    <n v="5"/>
    <x v="0"/>
    <x v="15"/>
    <n v="3860.73"/>
    <n v="19303.650000000001"/>
  </r>
  <r>
    <x v="38"/>
    <s v="South"/>
    <s v="Karnataka"/>
    <x v="12"/>
    <x v="0"/>
    <n v="18"/>
    <x v="8"/>
    <x v="14"/>
    <n v="1073"/>
    <n v="19314"/>
  </r>
  <r>
    <x v="298"/>
    <s v="South"/>
    <s v="Karnataka"/>
    <x v="2"/>
    <x v="0"/>
    <n v="5"/>
    <x v="9"/>
    <x v="22"/>
    <n v="3898.88"/>
    <n v="19494.400000000001"/>
  </r>
  <r>
    <x v="189"/>
    <s v="North"/>
    <s v="Delhi"/>
    <x v="10"/>
    <x v="4"/>
    <n v="5"/>
    <x v="2"/>
    <x v="19"/>
    <n v="3900.9"/>
    <n v="19504.5"/>
  </r>
  <r>
    <x v="185"/>
    <s v="South"/>
    <s v="Tamil Nadu"/>
    <x v="8"/>
    <x v="0"/>
    <n v="4"/>
    <x v="10"/>
    <x v="10"/>
    <n v="4878.16"/>
    <n v="19512.64"/>
  </r>
  <r>
    <x v="299"/>
    <s v="West"/>
    <s v="Maharashtra"/>
    <x v="5"/>
    <x v="2"/>
    <n v="5"/>
    <x v="0"/>
    <x v="7"/>
    <n v="3926.26"/>
    <n v="19631.300000000003"/>
  </r>
  <r>
    <x v="135"/>
    <s v="South"/>
    <s v="Karnataka"/>
    <x v="7"/>
    <x v="3"/>
    <n v="6"/>
    <x v="7"/>
    <x v="31"/>
    <n v="3277.95"/>
    <n v="19667.699999999997"/>
  </r>
  <r>
    <x v="300"/>
    <s v="West"/>
    <s v="Maharashtra"/>
    <x v="3"/>
    <x v="2"/>
    <n v="6"/>
    <x v="8"/>
    <x v="5"/>
    <n v="3279.45"/>
    <n v="19676.699999999997"/>
  </r>
  <r>
    <x v="301"/>
    <s v="West"/>
    <s v="Gujarat"/>
    <x v="14"/>
    <x v="1"/>
    <n v="11"/>
    <x v="10"/>
    <x v="27"/>
    <n v="1798.54"/>
    <n v="19783.939999999999"/>
  </r>
  <r>
    <x v="302"/>
    <s v="West"/>
    <s v="Gujarat"/>
    <x v="9"/>
    <x v="0"/>
    <n v="10"/>
    <x v="5"/>
    <x v="26"/>
    <n v="1979.32"/>
    <n v="19793.2"/>
  </r>
  <r>
    <x v="303"/>
    <s v="South"/>
    <s v="Tamil Nadu"/>
    <x v="8"/>
    <x v="2"/>
    <n v="4"/>
    <x v="5"/>
    <x v="37"/>
    <n v="4961.01"/>
    <n v="19844.04"/>
  </r>
  <r>
    <x v="295"/>
    <s v="North"/>
    <s v="Delhi"/>
    <x v="10"/>
    <x v="1"/>
    <n v="12"/>
    <x v="9"/>
    <x v="12"/>
    <n v="1673.01"/>
    <n v="20076.12"/>
  </r>
  <r>
    <x v="304"/>
    <s v="West"/>
    <s v="Gujarat"/>
    <x v="14"/>
    <x v="1"/>
    <n v="6"/>
    <x v="10"/>
    <x v="15"/>
    <n v="3350.51"/>
    <n v="20103.060000000001"/>
  </r>
  <r>
    <x v="296"/>
    <s v="West"/>
    <s v="Maharashtra"/>
    <x v="3"/>
    <x v="3"/>
    <n v="5"/>
    <x v="8"/>
    <x v="23"/>
    <n v="4035.07"/>
    <n v="20175.350000000002"/>
  </r>
  <r>
    <x v="201"/>
    <s v="West"/>
    <s v="Maharashtra"/>
    <x v="5"/>
    <x v="3"/>
    <n v="6"/>
    <x v="10"/>
    <x v="39"/>
    <n v="3363.77"/>
    <n v="20182.62"/>
  </r>
  <r>
    <x v="48"/>
    <s v="North"/>
    <s v="Delhi"/>
    <x v="13"/>
    <x v="3"/>
    <n v="10"/>
    <x v="9"/>
    <x v="36"/>
    <n v="2027.97"/>
    <n v="20279.7"/>
  </r>
  <r>
    <x v="286"/>
    <s v="West"/>
    <s v="Gujarat"/>
    <x v="14"/>
    <x v="0"/>
    <n v="19"/>
    <x v="8"/>
    <x v="6"/>
    <n v="1067.6199999999999"/>
    <n v="20284.78"/>
  </r>
  <r>
    <x v="266"/>
    <s v="South"/>
    <s v="Karnataka"/>
    <x v="12"/>
    <x v="1"/>
    <n v="17"/>
    <x v="3"/>
    <x v="22"/>
    <n v="1194.33"/>
    <n v="20303.61"/>
  </r>
  <r>
    <x v="287"/>
    <s v="South"/>
    <s v="Karnataka"/>
    <x v="7"/>
    <x v="4"/>
    <n v="18"/>
    <x v="9"/>
    <x v="19"/>
    <n v="1132.04"/>
    <n v="20376.72"/>
  </r>
  <r>
    <x v="269"/>
    <s v="West"/>
    <s v="Maharashtra"/>
    <x v="11"/>
    <x v="3"/>
    <n v="9"/>
    <x v="2"/>
    <x v="15"/>
    <n v="2267.7199999999998"/>
    <n v="20409.48"/>
  </r>
  <r>
    <x v="305"/>
    <s v="South"/>
    <s v="Tamil Nadu"/>
    <x v="0"/>
    <x v="3"/>
    <n v="18"/>
    <x v="0"/>
    <x v="31"/>
    <n v="1134.8800000000001"/>
    <n v="20427.840000000004"/>
  </r>
  <r>
    <x v="156"/>
    <s v="West"/>
    <s v="Gujarat"/>
    <x v="1"/>
    <x v="4"/>
    <n v="18"/>
    <x v="4"/>
    <x v="21"/>
    <n v="1137.05"/>
    <n v="20466.899999999998"/>
  </r>
  <r>
    <x v="306"/>
    <s v="South"/>
    <s v="Karnataka"/>
    <x v="12"/>
    <x v="3"/>
    <n v="6"/>
    <x v="1"/>
    <x v="16"/>
    <n v="3439.83"/>
    <n v="20638.98"/>
  </r>
  <r>
    <x v="177"/>
    <s v="West"/>
    <s v="Gujarat"/>
    <x v="14"/>
    <x v="0"/>
    <n v="17"/>
    <x v="8"/>
    <x v="33"/>
    <n v="1217.48"/>
    <n v="20697.16"/>
  </r>
  <r>
    <x v="158"/>
    <s v="South"/>
    <s v="Karnataka"/>
    <x v="2"/>
    <x v="0"/>
    <n v="6"/>
    <x v="10"/>
    <x v="22"/>
    <n v="3457.43"/>
    <n v="20744.579999999998"/>
  </r>
  <r>
    <x v="248"/>
    <s v="North"/>
    <s v="Delhi"/>
    <x v="13"/>
    <x v="3"/>
    <n v="19"/>
    <x v="1"/>
    <x v="6"/>
    <n v="1093.8900000000001"/>
    <n v="20783.910000000003"/>
  </r>
  <r>
    <x v="68"/>
    <s v="South"/>
    <s v="Karnataka"/>
    <x v="2"/>
    <x v="0"/>
    <n v="6"/>
    <x v="1"/>
    <x v="13"/>
    <n v="3466.7"/>
    <n v="20800.199999999997"/>
  </r>
  <r>
    <x v="262"/>
    <s v="South"/>
    <s v="Karnataka"/>
    <x v="12"/>
    <x v="3"/>
    <n v="18"/>
    <x v="1"/>
    <x v="37"/>
    <n v="1156.17"/>
    <n v="20811.060000000001"/>
  </r>
  <r>
    <x v="149"/>
    <s v="South"/>
    <s v="Tamil Nadu"/>
    <x v="6"/>
    <x v="3"/>
    <n v="14"/>
    <x v="7"/>
    <x v="13"/>
    <n v="1487.12"/>
    <n v="20819.68"/>
  </r>
  <r>
    <x v="275"/>
    <s v="North"/>
    <s v="Delhi"/>
    <x v="10"/>
    <x v="1"/>
    <n v="5"/>
    <x v="10"/>
    <x v="35"/>
    <n v="4165.41"/>
    <n v="20827.05"/>
  </r>
  <r>
    <x v="307"/>
    <s v="North"/>
    <s v="Delhi"/>
    <x v="4"/>
    <x v="1"/>
    <n v="8"/>
    <x v="9"/>
    <x v="29"/>
    <n v="2606.36"/>
    <n v="20850.88"/>
  </r>
  <r>
    <x v="277"/>
    <s v="West"/>
    <s v="Gujarat"/>
    <x v="9"/>
    <x v="2"/>
    <n v="5"/>
    <x v="2"/>
    <x v="30"/>
    <n v="4182.07"/>
    <n v="20910.349999999999"/>
  </r>
  <r>
    <x v="308"/>
    <s v="West"/>
    <s v="Gujarat"/>
    <x v="1"/>
    <x v="2"/>
    <n v="18"/>
    <x v="3"/>
    <x v="8"/>
    <n v="1164.29"/>
    <n v="20957.22"/>
  </r>
  <r>
    <x v="309"/>
    <s v="South"/>
    <s v="Karnataka"/>
    <x v="12"/>
    <x v="4"/>
    <n v="11"/>
    <x v="5"/>
    <x v="38"/>
    <n v="1905.7"/>
    <n v="20962.7"/>
  </r>
  <r>
    <x v="189"/>
    <s v="South"/>
    <s v="Karnataka"/>
    <x v="2"/>
    <x v="0"/>
    <n v="12"/>
    <x v="9"/>
    <x v="26"/>
    <n v="1748.6"/>
    <n v="20983.199999999997"/>
  </r>
  <r>
    <x v="140"/>
    <s v="West"/>
    <s v="Maharashtra"/>
    <x v="11"/>
    <x v="4"/>
    <n v="5"/>
    <x v="7"/>
    <x v="39"/>
    <n v="4198.97"/>
    <n v="20994.850000000002"/>
  </r>
  <r>
    <x v="310"/>
    <s v="North"/>
    <s v="Delhi"/>
    <x v="10"/>
    <x v="2"/>
    <n v="8"/>
    <x v="7"/>
    <x v="23"/>
    <n v="2628.31"/>
    <n v="21026.48"/>
  </r>
  <r>
    <x v="311"/>
    <s v="South"/>
    <s v="Tamil Nadu"/>
    <x v="8"/>
    <x v="4"/>
    <n v="14"/>
    <x v="5"/>
    <x v="37"/>
    <n v="1507.19"/>
    <n v="21100.66"/>
  </r>
  <r>
    <x v="245"/>
    <s v="West"/>
    <s v="Maharashtra"/>
    <x v="11"/>
    <x v="1"/>
    <n v="18"/>
    <x v="2"/>
    <x v="1"/>
    <n v="1177.8"/>
    <n v="21200.399999999998"/>
  </r>
  <r>
    <x v="312"/>
    <s v="South"/>
    <s v="Karnataka"/>
    <x v="2"/>
    <x v="4"/>
    <n v="7"/>
    <x v="6"/>
    <x v="24"/>
    <n v="3052.99"/>
    <n v="21370.93"/>
  </r>
  <r>
    <x v="313"/>
    <s v="West"/>
    <s v="Maharashtra"/>
    <x v="5"/>
    <x v="3"/>
    <n v="9"/>
    <x v="9"/>
    <x v="16"/>
    <n v="2376.12"/>
    <n v="21385.079999999998"/>
  </r>
  <r>
    <x v="314"/>
    <s v="South"/>
    <s v="Tamil Nadu"/>
    <x v="8"/>
    <x v="2"/>
    <n v="5"/>
    <x v="2"/>
    <x v="37"/>
    <n v="4281.1499999999996"/>
    <n v="21405.75"/>
  </r>
  <r>
    <x v="315"/>
    <s v="South"/>
    <s v="Tamil Nadu"/>
    <x v="8"/>
    <x v="1"/>
    <n v="13"/>
    <x v="0"/>
    <x v="13"/>
    <n v="1647.87"/>
    <n v="21422.309999999998"/>
  </r>
  <r>
    <x v="46"/>
    <s v="North"/>
    <s v="Delhi"/>
    <x v="4"/>
    <x v="2"/>
    <n v="7"/>
    <x v="6"/>
    <x v="14"/>
    <n v="3063.53"/>
    <n v="21444.710000000003"/>
  </r>
  <r>
    <x v="316"/>
    <s v="South"/>
    <s v="Karnataka"/>
    <x v="2"/>
    <x v="2"/>
    <n v="7"/>
    <x v="7"/>
    <x v="30"/>
    <n v="3070.09"/>
    <n v="21490.63"/>
  </r>
  <r>
    <x v="258"/>
    <s v="South"/>
    <s v="Karnataka"/>
    <x v="7"/>
    <x v="3"/>
    <n v="5"/>
    <x v="7"/>
    <x v="30"/>
    <n v="4300.7"/>
    <n v="21503.5"/>
  </r>
  <r>
    <x v="76"/>
    <s v="South"/>
    <s v="Tamil Nadu"/>
    <x v="6"/>
    <x v="1"/>
    <n v="9"/>
    <x v="6"/>
    <x v="13"/>
    <n v="2427.88"/>
    <n v="21850.920000000002"/>
  </r>
  <r>
    <x v="317"/>
    <s v="West"/>
    <s v="Maharashtra"/>
    <x v="3"/>
    <x v="4"/>
    <n v="5"/>
    <x v="1"/>
    <x v="24"/>
    <n v="4386.2"/>
    <n v="21931"/>
  </r>
  <r>
    <x v="138"/>
    <s v="South"/>
    <s v="Karnataka"/>
    <x v="12"/>
    <x v="2"/>
    <n v="9"/>
    <x v="8"/>
    <x v="31"/>
    <n v="2438.9899999999998"/>
    <n v="21950.909999999996"/>
  </r>
  <r>
    <x v="92"/>
    <s v="West"/>
    <s v="Maharashtra"/>
    <x v="5"/>
    <x v="0"/>
    <n v="20"/>
    <x v="10"/>
    <x v="23"/>
    <n v="1100.3800000000001"/>
    <n v="22007.600000000002"/>
  </r>
  <r>
    <x v="187"/>
    <s v="North"/>
    <s v="Delhi"/>
    <x v="4"/>
    <x v="4"/>
    <n v="6"/>
    <x v="9"/>
    <x v="26"/>
    <n v="3671.84"/>
    <n v="22031.040000000001"/>
  </r>
  <r>
    <x v="318"/>
    <s v="West"/>
    <s v="Maharashtra"/>
    <x v="5"/>
    <x v="3"/>
    <n v="7"/>
    <x v="5"/>
    <x v="35"/>
    <n v="3163.37"/>
    <n v="22143.59"/>
  </r>
  <r>
    <x v="316"/>
    <s v="West"/>
    <s v="Maharashtra"/>
    <x v="5"/>
    <x v="3"/>
    <n v="7"/>
    <x v="10"/>
    <x v="35"/>
    <n v="3163.37"/>
    <n v="22143.59"/>
  </r>
  <r>
    <x v="90"/>
    <s v="West"/>
    <s v="Maharashtra"/>
    <x v="11"/>
    <x v="2"/>
    <n v="17"/>
    <x v="5"/>
    <x v="27"/>
    <n v="1307.24"/>
    <n v="22223.08"/>
  </r>
  <r>
    <x v="133"/>
    <s v="North"/>
    <s v="Delhi"/>
    <x v="4"/>
    <x v="4"/>
    <n v="14"/>
    <x v="4"/>
    <x v="7"/>
    <n v="1598.93"/>
    <n v="22385.02"/>
  </r>
  <r>
    <x v="170"/>
    <s v="South"/>
    <s v="Tamil Nadu"/>
    <x v="0"/>
    <x v="0"/>
    <n v="5"/>
    <x v="6"/>
    <x v="2"/>
    <n v="4499.88"/>
    <n v="22499.4"/>
  </r>
  <r>
    <x v="20"/>
    <s v="West"/>
    <s v="Maharashtra"/>
    <x v="11"/>
    <x v="4"/>
    <n v="17"/>
    <x v="9"/>
    <x v="38"/>
    <n v="1333.71"/>
    <n v="22673.07"/>
  </r>
  <r>
    <x v="319"/>
    <s v="West"/>
    <s v="Maharashtra"/>
    <x v="11"/>
    <x v="4"/>
    <n v="17"/>
    <x v="9"/>
    <x v="38"/>
    <n v="1333.71"/>
    <n v="22673.07"/>
  </r>
  <r>
    <x v="308"/>
    <s v="West"/>
    <s v="Gujarat"/>
    <x v="1"/>
    <x v="0"/>
    <n v="19"/>
    <x v="1"/>
    <x v="32"/>
    <n v="1199.24"/>
    <n v="22785.56"/>
  </r>
  <r>
    <x v="320"/>
    <s v="West"/>
    <s v="Gujarat"/>
    <x v="1"/>
    <x v="1"/>
    <n v="13"/>
    <x v="1"/>
    <x v="3"/>
    <n v="1753.48"/>
    <n v="22795.24"/>
  </r>
  <r>
    <x v="21"/>
    <s v="West"/>
    <s v="Gujarat"/>
    <x v="9"/>
    <x v="0"/>
    <n v="17"/>
    <x v="10"/>
    <x v="0"/>
    <n v="1340.98"/>
    <n v="22796.66"/>
  </r>
  <r>
    <x v="16"/>
    <s v="West"/>
    <s v="Gujarat"/>
    <x v="14"/>
    <x v="3"/>
    <n v="13"/>
    <x v="0"/>
    <x v="13"/>
    <n v="1767.86"/>
    <n v="22982.18"/>
  </r>
  <r>
    <x v="122"/>
    <s v="South"/>
    <s v="Tamil Nadu"/>
    <x v="0"/>
    <x v="1"/>
    <n v="18"/>
    <x v="1"/>
    <x v="1"/>
    <n v="1279.4100000000001"/>
    <n v="23029.38"/>
  </r>
  <r>
    <x v="291"/>
    <s v="West"/>
    <s v="Gujarat"/>
    <x v="1"/>
    <x v="4"/>
    <n v="17"/>
    <x v="0"/>
    <x v="24"/>
    <n v="1356.25"/>
    <n v="23056.25"/>
  </r>
  <r>
    <x v="321"/>
    <s v="West"/>
    <s v="Maharashtra"/>
    <x v="5"/>
    <x v="2"/>
    <n v="11"/>
    <x v="10"/>
    <x v="38"/>
    <n v="2097.48"/>
    <n v="23072.28"/>
  </r>
  <r>
    <x v="192"/>
    <s v="South"/>
    <s v="Tamil Nadu"/>
    <x v="0"/>
    <x v="3"/>
    <n v="5"/>
    <x v="9"/>
    <x v="15"/>
    <n v="4619.16"/>
    <n v="23095.8"/>
  </r>
  <r>
    <x v="63"/>
    <s v="North"/>
    <s v="Delhi"/>
    <x v="4"/>
    <x v="1"/>
    <n v="15"/>
    <x v="0"/>
    <x v="12"/>
    <n v="1543.85"/>
    <n v="23157.75"/>
  </r>
  <r>
    <x v="68"/>
    <s v="South"/>
    <s v="Karnataka"/>
    <x v="2"/>
    <x v="4"/>
    <n v="14"/>
    <x v="4"/>
    <x v="36"/>
    <n v="1658.39"/>
    <n v="23217.460000000003"/>
  </r>
  <r>
    <x v="295"/>
    <s v="South"/>
    <s v="Tamil Nadu"/>
    <x v="6"/>
    <x v="0"/>
    <n v="12"/>
    <x v="9"/>
    <x v="20"/>
    <n v="1947.14"/>
    <n v="23365.68"/>
  </r>
  <r>
    <x v="184"/>
    <s v="South"/>
    <s v="Tamil Nadu"/>
    <x v="0"/>
    <x v="4"/>
    <n v="10"/>
    <x v="2"/>
    <x v="2"/>
    <n v="2349.2399999999998"/>
    <n v="23492.399999999998"/>
  </r>
  <r>
    <x v="308"/>
    <s v="West"/>
    <s v="Maharashtra"/>
    <x v="3"/>
    <x v="0"/>
    <n v="18"/>
    <x v="5"/>
    <x v="10"/>
    <n v="1306.19"/>
    <n v="23511.420000000002"/>
  </r>
  <r>
    <x v="211"/>
    <s v="West"/>
    <s v="Maharashtra"/>
    <x v="11"/>
    <x v="3"/>
    <n v="5"/>
    <x v="8"/>
    <x v="0"/>
    <n v="4716.38"/>
    <n v="23581.9"/>
  </r>
  <r>
    <x v="275"/>
    <s v="North"/>
    <s v="Delhi"/>
    <x v="4"/>
    <x v="3"/>
    <n v="12"/>
    <x v="4"/>
    <x v="12"/>
    <n v="1973.14"/>
    <n v="23677.68"/>
  </r>
  <r>
    <x v="322"/>
    <s v="South"/>
    <s v="Tamil Nadu"/>
    <x v="6"/>
    <x v="3"/>
    <n v="16"/>
    <x v="4"/>
    <x v="21"/>
    <n v="1480.7"/>
    <n v="23691.200000000001"/>
  </r>
  <r>
    <x v="119"/>
    <s v="West"/>
    <s v="Maharashtra"/>
    <x v="3"/>
    <x v="0"/>
    <n v="14"/>
    <x v="3"/>
    <x v="37"/>
    <n v="1694.59"/>
    <n v="23724.26"/>
  </r>
  <r>
    <x v="120"/>
    <s v="South"/>
    <s v="Karnataka"/>
    <x v="2"/>
    <x v="4"/>
    <n v="7"/>
    <x v="5"/>
    <x v="6"/>
    <n v="3402.48"/>
    <n v="23817.360000000001"/>
  </r>
  <r>
    <x v="27"/>
    <s v="North"/>
    <s v="Delhi"/>
    <x v="13"/>
    <x v="2"/>
    <n v="7"/>
    <x v="1"/>
    <x v="24"/>
    <n v="3415.15"/>
    <n v="23906.05"/>
  </r>
  <r>
    <x v="4"/>
    <s v="West"/>
    <s v="Maharashtra"/>
    <x v="11"/>
    <x v="0"/>
    <n v="9"/>
    <x v="10"/>
    <x v="24"/>
    <n v="2660.79"/>
    <n v="23947.11"/>
  </r>
  <r>
    <x v="228"/>
    <s v="West"/>
    <s v="Gujarat"/>
    <x v="14"/>
    <x v="3"/>
    <n v="14"/>
    <x v="2"/>
    <x v="24"/>
    <n v="1720"/>
    <n v="24080"/>
  </r>
  <r>
    <x v="238"/>
    <s v="West"/>
    <s v="Gujarat"/>
    <x v="1"/>
    <x v="3"/>
    <n v="9"/>
    <x v="6"/>
    <x v="36"/>
    <n v="2677.7"/>
    <n v="24099.3"/>
  </r>
  <r>
    <x v="2"/>
    <s v="West"/>
    <s v="Gujarat"/>
    <x v="1"/>
    <x v="0"/>
    <n v="16"/>
    <x v="6"/>
    <x v="11"/>
    <n v="1514.31"/>
    <n v="24228.959999999999"/>
  </r>
  <r>
    <x v="313"/>
    <s v="West"/>
    <s v="Gujarat"/>
    <x v="9"/>
    <x v="0"/>
    <n v="6"/>
    <x v="9"/>
    <x v="31"/>
    <n v="4042.16"/>
    <n v="24252.959999999999"/>
  </r>
  <r>
    <x v="260"/>
    <s v="West"/>
    <s v="Maharashtra"/>
    <x v="5"/>
    <x v="2"/>
    <n v="20"/>
    <x v="7"/>
    <x v="27"/>
    <n v="1222.92"/>
    <n v="24458.400000000001"/>
  </r>
  <r>
    <x v="237"/>
    <s v="North"/>
    <s v="Delhi"/>
    <x v="4"/>
    <x v="2"/>
    <n v="6"/>
    <x v="3"/>
    <x v="7"/>
    <n v="4100.9799999999996"/>
    <n v="24605.879999999997"/>
  </r>
  <r>
    <x v="3"/>
    <s v="West"/>
    <s v="Maharashtra"/>
    <x v="3"/>
    <x v="1"/>
    <n v="17"/>
    <x v="5"/>
    <x v="37"/>
    <n v="1457.07"/>
    <n v="24770.19"/>
  </r>
  <r>
    <x v="263"/>
    <s v="West"/>
    <s v="Gujarat"/>
    <x v="1"/>
    <x v="4"/>
    <n v="18"/>
    <x v="10"/>
    <x v="26"/>
    <n v="1376.52"/>
    <n v="24777.360000000001"/>
  </r>
  <r>
    <x v="194"/>
    <s v="South"/>
    <s v="Tamil Nadu"/>
    <x v="8"/>
    <x v="2"/>
    <n v="14"/>
    <x v="6"/>
    <x v="39"/>
    <n v="1770.36"/>
    <n v="24785.039999999997"/>
  </r>
  <r>
    <x v="323"/>
    <s v="South"/>
    <s v="Tamil Nadu"/>
    <x v="6"/>
    <x v="2"/>
    <n v="19"/>
    <x v="1"/>
    <x v="10"/>
    <n v="1309.6500000000001"/>
    <n v="24883.350000000002"/>
  </r>
  <r>
    <x v="173"/>
    <s v="South"/>
    <s v="Karnataka"/>
    <x v="2"/>
    <x v="2"/>
    <n v="9"/>
    <x v="5"/>
    <x v="8"/>
    <n v="2770.27"/>
    <n v="24932.43"/>
  </r>
  <r>
    <x v="324"/>
    <s v="West"/>
    <s v="Maharashtra"/>
    <x v="5"/>
    <x v="3"/>
    <n v="5"/>
    <x v="5"/>
    <x v="0"/>
    <n v="4987.7"/>
    <n v="24938.5"/>
  </r>
  <r>
    <x v="325"/>
    <s v="West"/>
    <s v="Maharashtra"/>
    <x v="5"/>
    <x v="3"/>
    <n v="5"/>
    <x v="4"/>
    <x v="0"/>
    <n v="4987.7"/>
    <n v="24938.5"/>
  </r>
  <r>
    <x v="326"/>
    <s v="South"/>
    <s v="Tamil Nadu"/>
    <x v="8"/>
    <x v="3"/>
    <n v="5"/>
    <x v="8"/>
    <x v="3"/>
    <n v="4987.84"/>
    <n v="24939.200000000001"/>
  </r>
  <r>
    <x v="20"/>
    <s v="South"/>
    <s v="Karnataka"/>
    <x v="12"/>
    <x v="2"/>
    <n v="8"/>
    <x v="9"/>
    <x v="18"/>
    <n v="3120.6"/>
    <n v="24964.799999999999"/>
  </r>
  <r>
    <x v="54"/>
    <s v="North"/>
    <s v="Delhi"/>
    <x v="4"/>
    <x v="2"/>
    <n v="5"/>
    <x v="10"/>
    <x v="19"/>
    <n v="4993.87"/>
    <n v="24969.35"/>
  </r>
  <r>
    <x v="228"/>
    <s v="South"/>
    <s v="Karnataka"/>
    <x v="2"/>
    <x v="2"/>
    <n v="13"/>
    <x v="7"/>
    <x v="10"/>
    <n v="1929.55"/>
    <n v="25084.149999999998"/>
  </r>
  <r>
    <x v="327"/>
    <s v="West"/>
    <s v="Maharashtra"/>
    <x v="3"/>
    <x v="1"/>
    <n v="20"/>
    <x v="2"/>
    <x v="28"/>
    <n v="1260.25"/>
    <n v="25205"/>
  </r>
  <r>
    <x v="328"/>
    <s v="West"/>
    <s v="Maharashtra"/>
    <x v="11"/>
    <x v="0"/>
    <n v="16"/>
    <x v="8"/>
    <x v="14"/>
    <n v="1575.89"/>
    <n v="25214.240000000002"/>
  </r>
  <r>
    <x v="185"/>
    <s v="North"/>
    <s v="Delhi"/>
    <x v="4"/>
    <x v="0"/>
    <n v="6"/>
    <x v="10"/>
    <x v="5"/>
    <n v="4219.6099999999997"/>
    <n v="25317.659999999996"/>
  </r>
  <r>
    <x v="255"/>
    <s v="South"/>
    <s v="Karnataka"/>
    <x v="7"/>
    <x v="0"/>
    <n v="10"/>
    <x v="10"/>
    <x v="0"/>
    <n v="2539.6799999999998"/>
    <n v="25396.799999999999"/>
  </r>
  <r>
    <x v="329"/>
    <s v="North"/>
    <s v="Delhi"/>
    <x v="4"/>
    <x v="3"/>
    <n v="13"/>
    <x v="9"/>
    <x v="29"/>
    <n v="1965.63"/>
    <n v="25553.190000000002"/>
  </r>
  <r>
    <x v="330"/>
    <s v="North"/>
    <s v="Delhi"/>
    <x v="4"/>
    <x v="3"/>
    <n v="13"/>
    <x v="9"/>
    <x v="29"/>
    <n v="1965.63"/>
    <n v="25553.190000000002"/>
  </r>
  <r>
    <x v="243"/>
    <s v="West"/>
    <s v="Gujarat"/>
    <x v="14"/>
    <x v="1"/>
    <n v="6"/>
    <x v="6"/>
    <x v="1"/>
    <n v="4265.8599999999997"/>
    <n v="25595.159999999996"/>
  </r>
  <r>
    <x v="164"/>
    <s v="South"/>
    <s v="Karnataka"/>
    <x v="2"/>
    <x v="2"/>
    <n v="15"/>
    <x v="10"/>
    <x v="35"/>
    <n v="1712.05"/>
    <n v="25680.75"/>
  </r>
  <r>
    <x v="265"/>
    <s v="South"/>
    <s v="Karnataka"/>
    <x v="12"/>
    <x v="0"/>
    <n v="13"/>
    <x v="9"/>
    <x v="26"/>
    <n v="1976.63"/>
    <n v="25696.190000000002"/>
  </r>
  <r>
    <x v="102"/>
    <s v="North"/>
    <s v="Delhi"/>
    <x v="10"/>
    <x v="4"/>
    <n v="17"/>
    <x v="8"/>
    <x v="1"/>
    <n v="1538.4"/>
    <n v="26152.800000000003"/>
  </r>
  <r>
    <x v="248"/>
    <s v="North"/>
    <s v="Delhi"/>
    <x v="13"/>
    <x v="0"/>
    <n v="6"/>
    <x v="9"/>
    <x v="2"/>
    <n v="4364.67"/>
    <n v="26188.02"/>
  </r>
  <r>
    <x v="331"/>
    <s v="South"/>
    <s v="Karnataka"/>
    <x v="2"/>
    <x v="4"/>
    <n v="20"/>
    <x v="6"/>
    <x v="26"/>
    <n v="1310.3699999999999"/>
    <n v="26207.399999999998"/>
  </r>
  <r>
    <x v="22"/>
    <s v="West"/>
    <s v="Gujarat"/>
    <x v="9"/>
    <x v="3"/>
    <n v="12"/>
    <x v="10"/>
    <x v="29"/>
    <n v="2208.4899999999998"/>
    <n v="26501.879999999997"/>
  </r>
  <r>
    <x v="332"/>
    <s v="South"/>
    <s v="Karnataka"/>
    <x v="12"/>
    <x v="4"/>
    <n v="19"/>
    <x v="9"/>
    <x v="9"/>
    <n v="1398.49"/>
    <n v="26571.31"/>
  </r>
  <r>
    <x v="311"/>
    <s v="South"/>
    <s v="Tamil Nadu"/>
    <x v="8"/>
    <x v="3"/>
    <n v="11"/>
    <x v="1"/>
    <x v="1"/>
    <n v="2426.48"/>
    <n v="26691.279999999999"/>
  </r>
  <r>
    <x v="264"/>
    <s v="West"/>
    <s v="Gujarat"/>
    <x v="9"/>
    <x v="2"/>
    <n v="12"/>
    <x v="10"/>
    <x v="37"/>
    <n v="2232.4899999999998"/>
    <n v="26789.879999999997"/>
  </r>
  <r>
    <x v="333"/>
    <s v="West"/>
    <s v="Maharashtra"/>
    <x v="3"/>
    <x v="1"/>
    <n v="15"/>
    <x v="0"/>
    <x v="2"/>
    <n v="1790.03"/>
    <n v="26850.45"/>
  </r>
  <r>
    <x v="119"/>
    <s v="North"/>
    <s v="Delhi"/>
    <x v="4"/>
    <x v="3"/>
    <n v="19"/>
    <x v="8"/>
    <x v="7"/>
    <n v="1414.78"/>
    <n v="26880.82"/>
  </r>
  <r>
    <x v="188"/>
    <s v="West"/>
    <s v="Maharashtra"/>
    <x v="5"/>
    <x v="0"/>
    <n v="10"/>
    <x v="2"/>
    <x v="28"/>
    <n v="2691.21"/>
    <n v="26912.1"/>
  </r>
  <r>
    <x v="303"/>
    <s v="West"/>
    <s v="Maharashtra"/>
    <x v="3"/>
    <x v="0"/>
    <n v="8"/>
    <x v="0"/>
    <x v="36"/>
    <n v="3372.86"/>
    <n v="26982.880000000001"/>
  </r>
  <r>
    <x v="162"/>
    <s v="West"/>
    <s v="Gujarat"/>
    <x v="14"/>
    <x v="4"/>
    <n v="20"/>
    <x v="8"/>
    <x v="19"/>
    <n v="1353.54"/>
    <n v="27070.799999999999"/>
  </r>
  <r>
    <x v="109"/>
    <s v="West"/>
    <s v="Gujarat"/>
    <x v="9"/>
    <x v="1"/>
    <n v="6"/>
    <x v="4"/>
    <x v="7"/>
    <n v="4541.92"/>
    <n v="27251.52"/>
  </r>
  <r>
    <x v="334"/>
    <s v="South"/>
    <s v="Tamil Nadu"/>
    <x v="6"/>
    <x v="1"/>
    <n v="11"/>
    <x v="5"/>
    <x v="14"/>
    <n v="2491.8000000000002"/>
    <n v="27409.800000000003"/>
  </r>
  <r>
    <x v="164"/>
    <s v="West"/>
    <s v="Maharashtra"/>
    <x v="11"/>
    <x v="2"/>
    <n v="7"/>
    <x v="8"/>
    <x v="1"/>
    <n v="3931.73"/>
    <n v="27522.11"/>
  </r>
  <r>
    <x v="210"/>
    <s v="West"/>
    <s v="Maharashtra"/>
    <x v="5"/>
    <x v="2"/>
    <n v="18"/>
    <x v="3"/>
    <x v="10"/>
    <n v="1533.77"/>
    <n v="27607.86"/>
  </r>
  <r>
    <x v="44"/>
    <s v="South"/>
    <s v="Tamil Nadu"/>
    <x v="6"/>
    <x v="3"/>
    <n v="14"/>
    <x v="10"/>
    <x v="21"/>
    <n v="1972.22"/>
    <n v="27611.08"/>
  </r>
  <r>
    <x v="335"/>
    <s v="West"/>
    <s v="Gujarat"/>
    <x v="14"/>
    <x v="4"/>
    <n v="11"/>
    <x v="3"/>
    <x v="7"/>
    <n v="2522.63"/>
    <n v="27748.93"/>
  </r>
  <r>
    <x v="124"/>
    <s v="North"/>
    <s v="Delhi"/>
    <x v="13"/>
    <x v="4"/>
    <n v="9"/>
    <x v="5"/>
    <x v="13"/>
    <n v="3095.35"/>
    <n v="27858.149999999998"/>
  </r>
  <r>
    <x v="94"/>
    <s v="North"/>
    <s v="Delhi"/>
    <x v="10"/>
    <x v="2"/>
    <n v="17"/>
    <x v="2"/>
    <x v="18"/>
    <n v="1645.97"/>
    <n v="27981.49"/>
  </r>
  <r>
    <x v="38"/>
    <s v="North"/>
    <s v="Delhi"/>
    <x v="10"/>
    <x v="3"/>
    <n v="6"/>
    <x v="5"/>
    <x v="5"/>
    <n v="4673.01"/>
    <n v="28038.06"/>
  </r>
  <r>
    <x v="332"/>
    <s v="West"/>
    <s v="Gujarat"/>
    <x v="14"/>
    <x v="1"/>
    <n v="13"/>
    <x v="2"/>
    <x v="21"/>
    <n v="2163.4"/>
    <n v="28124.2"/>
  </r>
  <r>
    <x v="29"/>
    <s v="North"/>
    <s v="Delhi"/>
    <x v="13"/>
    <x v="0"/>
    <n v="9"/>
    <x v="5"/>
    <x v="33"/>
    <n v="3137.87"/>
    <n v="28240.829999999998"/>
  </r>
  <r>
    <x v="242"/>
    <s v="West"/>
    <s v="Maharashtra"/>
    <x v="3"/>
    <x v="2"/>
    <n v="7"/>
    <x v="7"/>
    <x v="3"/>
    <n v="4046.34"/>
    <n v="28324.38"/>
  </r>
  <r>
    <x v="336"/>
    <s v="South"/>
    <s v="Karnataka"/>
    <x v="12"/>
    <x v="0"/>
    <n v="8"/>
    <x v="7"/>
    <x v="4"/>
    <n v="3547.38"/>
    <n v="28379.040000000001"/>
  </r>
  <r>
    <x v="337"/>
    <s v="South"/>
    <s v="Karnataka"/>
    <x v="2"/>
    <x v="2"/>
    <n v="18"/>
    <x v="9"/>
    <x v="38"/>
    <n v="1576.88"/>
    <n v="28383.840000000004"/>
  </r>
  <r>
    <x v="4"/>
    <s v="West"/>
    <s v="Maharashtra"/>
    <x v="3"/>
    <x v="2"/>
    <n v="10"/>
    <x v="0"/>
    <x v="35"/>
    <n v="2853.88"/>
    <n v="28538.800000000003"/>
  </r>
  <r>
    <x v="100"/>
    <s v="South"/>
    <s v="Karnataka"/>
    <x v="7"/>
    <x v="3"/>
    <n v="7"/>
    <x v="1"/>
    <x v="39"/>
    <n v="4083.1"/>
    <n v="28581.7"/>
  </r>
  <r>
    <x v="338"/>
    <s v="West"/>
    <s v="Gujarat"/>
    <x v="1"/>
    <x v="1"/>
    <n v="12"/>
    <x v="0"/>
    <x v="24"/>
    <n v="2384.1"/>
    <n v="28609.199999999997"/>
  </r>
  <r>
    <x v="22"/>
    <s v="West"/>
    <s v="Gujarat"/>
    <x v="1"/>
    <x v="1"/>
    <n v="12"/>
    <x v="1"/>
    <x v="24"/>
    <n v="2384.1"/>
    <n v="28609.199999999997"/>
  </r>
  <r>
    <x v="21"/>
    <s v="South"/>
    <s v="Tamil Nadu"/>
    <x v="6"/>
    <x v="4"/>
    <n v="10"/>
    <x v="8"/>
    <x v="39"/>
    <n v="2861.62"/>
    <n v="28616.199999999997"/>
  </r>
  <r>
    <x v="339"/>
    <s v="South"/>
    <s v="Karnataka"/>
    <x v="7"/>
    <x v="4"/>
    <n v="9"/>
    <x v="3"/>
    <x v="13"/>
    <n v="3193.9"/>
    <n v="28745.100000000002"/>
  </r>
  <r>
    <x v="32"/>
    <s v="North"/>
    <s v="Delhi"/>
    <x v="10"/>
    <x v="1"/>
    <n v="18"/>
    <x v="2"/>
    <x v="8"/>
    <n v="1601.74"/>
    <n v="28831.32"/>
  </r>
  <r>
    <x v="340"/>
    <s v="West"/>
    <s v="Gujarat"/>
    <x v="9"/>
    <x v="0"/>
    <n v="9"/>
    <x v="2"/>
    <x v="36"/>
    <n v="3209.83"/>
    <n v="28888.47"/>
  </r>
  <r>
    <x v="220"/>
    <s v="West"/>
    <s v="Maharashtra"/>
    <x v="3"/>
    <x v="1"/>
    <n v="8"/>
    <x v="0"/>
    <x v="3"/>
    <n v="3615.06"/>
    <n v="28920.48"/>
  </r>
  <r>
    <x v="28"/>
    <s v="South"/>
    <s v="Karnataka"/>
    <x v="7"/>
    <x v="1"/>
    <n v="13"/>
    <x v="9"/>
    <x v="5"/>
    <n v="2238.96"/>
    <n v="29106.48"/>
  </r>
  <r>
    <x v="91"/>
    <s v="West"/>
    <s v="Gujarat"/>
    <x v="9"/>
    <x v="0"/>
    <n v="12"/>
    <x v="6"/>
    <x v="29"/>
    <n v="2438.6799999999998"/>
    <n v="29264.159999999996"/>
  </r>
  <r>
    <x v="271"/>
    <s v="South"/>
    <s v="Karnataka"/>
    <x v="7"/>
    <x v="2"/>
    <n v="6"/>
    <x v="7"/>
    <x v="23"/>
    <n v="4894.41"/>
    <n v="29366.46"/>
  </r>
  <r>
    <x v="295"/>
    <s v="South"/>
    <s v="Karnataka"/>
    <x v="2"/>
    <x v="1"/>
    <n v="11"/>
    <x v="4"/>
    <x v="33"/>
    <n v="2677.03"/>
    <n v="29447.33"/>
  </r>
  <r>
    <x v="189"/>
    <s v="West"/>
    <s v="Maharashtra"/>
    <x v="3"/>
    <x v="2"/>
    <n v="6"/>
    <x v="5"/>
    <x v="4"/>
    <n v="4908.9799999999996"/>
    <n v="29453.879999999997"/>
  </r>
  <r>
    <x v="85"/>
    <s v="West"/>
    <s v="Gujarat"/>
    <x v="9"/>
    <x v="3"/>
    <n v="9"/>
    <x v="5"/>
    <x v="4"/>
    <n v="3276.04"/>
    <n v="29484.36"/>
  </r>
  <r>
    <x v="238"/>
    <s v="South"/>
    <s v="Karnataka"/>
    <x v="12"/>
    <x v="0"/>
    <n v="15"/>
    <x v="0"/>
    <x v="16"/>
    <n v="1972.75"/>
    <n v="29591.25"/>
  </r>
  <r>
    <x v="109"/>
    <s v="North"/>
    <s v="Delhi"/>
    <x v="10"/>
    <x v="0"/>
    <n v="6"/>
    <x v="9"/>
    <x v="8"/>
    <n v="4939.09"/>
    <n v="29634.54"/>
  </r>
  <r>
    <x v="44"/>
    <s v="West"/>
    <s v="Maharashtra"/>
    <x v="3"/>
    <x v="4"/>
    <n v="7"/>
    <x v="3"/>
    <x v="20"/>
    <n v="4238.07"/>
    <n v="29666.489999999998"/>
  </r>
  <r>
    <x v="103"/>
    <s v="North"/>
    <s v="Delhi"/>
    <x v="13"/>
    <x v="3"/>
    <n v="7"/>
    <x v="5"/>
    <x v="21"/>
    <n v="4243.95"/>
    <n v="29707.649999999998"/>
  </r>
  <r>
    <x v="31"/>
    <s v="South"/>
    <s v="Karnataka"/>
    <x v="12"/>
    <x v="3"/>
    <n v="19"/>
    <x v="5"/>
    <x v="36"/>
    <n v="1564.94"/>
    <n v="29733.86"/>
  </r>
  <r>
    <x v="242"/>
    <s v="West"/>
    <s v="Maharashtra"/>
    <x v="3"/>
    <x v="3"/>
    <n v="9"/>
    <x v="7"/>
    <x v="38"/>
    <n v="3318.1"/>
    <n v="29862.899999999998"/>
  </r>
  <r>
    <x v="341"/>
    <s v="West"/>
    <s v="Maharashtra"/>
    <x v="3"/>
    <x v="3"/>
    <n v="9"/>
    <x v="4"/>
    <x v="38"/>
    <n v="3318.1"/>
    <n v="29862.899999999998"/>
  </r>
  <r>
    <x v="183"/>
    <s v="North"/>
    <s v="Delhi"/>
    <x v="4"/>
    <x v="2"/>
    <n v="6"/>
    <x v="10"/>
    <x v="7"/>
    <n v="4984.92"/>
    <n v="29909.52"/>
  </r>
  <r>
    <x v="155"/>
    <s v="West"/>
    <s v="Maharashtra"/>
    <x v="11"/>
    <x v="2"/>
    <n v="17"/>
    <x v="3"/>
    <x v="16"/>
    <n v="1759.91"/>
    <n v="29918.47"/>
  </r>
  <r>
    <x v="314"/>
    <s v="West"/>
    <s v="Gujarat"/>
    <x v="14"/>
    <x v="4"/>
    <n v="15"/>
    <x v="10"/>
    <x v="35"/>
    <n v="2006.04"/>
    <n v="30090.6"/>
  </r>
  <r>
    <x v="272"/>
    <s v="West"/>
    <s v="Maharashtra"/>
    <x v="5"/>
    <x v="2"/>
    <n v="20"/>
    <x v="9"/>
    <x v="9"/>
    <n v="1507.52"/>
    <n v="30150.400000000001"/>
  </r>
  <r>
    <x v="185"/>
    <s v="South"/>
    <s v="Karnataka"/>
    <x v="2"/>
    <x v="3"/>
    <n v="17"/>
    <x v="8"/>
    <x v="30"/>
    <n v="1777.42"/>
    <n v="30216.14"/>
  </r>
  <r>
    <x v="262"/>
    <s v="North"/>
    <s v="Delhi"/>
    <x v="13"/>
    <x v="3"/>
    <n v="13"/>
    <x v="1"/>
    <x v="22"/>
    <n v="2327.81"/>
    <n v="30261.53"/>
  </r>
  <r>
    <x v="291"/>
    <s v="South"/>
    <s v="Karnataka"/>
    <x v="2"/>
    <x v="3"/>
    <n v="20"/>
    <x v="1"/>
    <x v="31"/>
    <n v="1514.3"/>
    <n v="30286"/>
  </r>
  <r>
    <x v="104"/>
    <s v="West"/>
    <s v="Gujarat"/>
    <x v="1"/>
    <x v="3"/>
    <n v="17"/>
    <x v="8"/>
    <x v="15"/>
    <n v="1793.43"/>
    <n v="30488.31"/>
  </r>
  <r>
    <x v="342"/>
    <s v="South"/>
    <s v="Tamil Nadu"/>
    <x v="6"/>
    <x v="0"/>
    <n v="13"/>
    <x v="4"/>
    <x v="37"/>
    <n v="2347.66"/>
    <n v="30519.579999999998"/>
  </r>
  <r>
    <x v="23"/>
    <s v="West"/>
    <s v="Gujarat"/>
    <x v="9"/>
    <x v="0"/>
    <n v="16"/>
    <x v="9"/>
    <x v="10"/>
    <n v="1907.95"/>
    <n v="30527.200000000001"/>
  </r>
  <r>
    <x v="243"/>
    <s v="South"/>
    <s v="Tamil Nadu"/>
    <x v="8"/>
    <x v="0"/>
    <n v="9"/>
    <x v="3"/>
    <x v="39"/>
    <n v="3395.02"/>
    <n v="30555.18"/>
  </r>
  <r>
    <x v="158"/>
    <s v="West"/>
    <s v="Gujarat"/>
    <x v="9"/>
    <x v="4"/>
    <n v="13"/>
    <x v="6"/>
    <x v="29"/>
    <n v="2351.59"/>
    <n v="30570.670000000002"/>
  </r>
  <r>
    <x v="335"/>
    <s v="South"/>
    <s v="Tamil Nadu"/>
    <x v="0"/>
    <x v="2"/>
    <n v="12"/>
    <x v="4"/>
    <x v="31"/>
    <n v="2557.5700000000002"/>
    <n v="30690.840000000004"/>
  </r>
  <r>
    <x v="47"/>
    <s v="West"/>
    <s v="Maharashtra"/>
    <x v="11"/>
    <x v="3"/>
    <n v="20"/>
    <x v="9"/>
    <x v="0"/>
    <n v="1536.73"/>
    <n v="30734.6"/>
  </r>
  <r>
    <x v="76"/>
    <s v="West"/>
    <s v="Maharashtra"/>
    <x v="11"/>
    <x v="4"/>
    <n v="16"/>
    <x v="10"/>
    <x v="3"/>
    <n v="1933.33"/>
    <n v="30933.279999999999"/>
  </r>
  <r>
    <x v="198"/>
    <s v="North"/>
    <s v="Delhi"/>
    <x v="13"/>
    <x v="1"/>
    <n v="12"/>
    <x v="9"/>
    <x v="6"/>
    <n v="2581.09"/>
    <n v="30973.08"/>
  </r>
  <r>
    <x v="170"/>
    <s v="North"/>
    <s v="Delhi"/>
    <x v="4"/>
    <x v="0"/>
    <n v="9"/>
    <x v="7"/>
    <x v="21"/>
    <n v="3458"/>
    <n v="31122"/>
  </r>
  <r>
    <x v="214"/>
    <s v="West"/>
    <s v="Gujarat"/>
    <x v="9"/>
    <x v="2"/>
    <n v="19"/>
    <x v="5"/>
    <x v="18"/>
    <n v="1641.98"/>
    <n v="31197.62"/>
  </r>
  <r>
    <x v="197"/>
    <s v="South"/>
    <s v="Karnataka"/>
    <x v="2"/>
    <x v="3"/>
    <n v="15"/>
    <x v="9"/>
    <x v="15"/>
    <n v="2081.27"/>
    <n v="31219.05"/>
  </r>
  <r>
    <x v="181"/>
    <s v="South"/>
    <s v="Tamil Nadu"/>
    <x v="8"/>
    <x v="0"/>
    <n v="10"/>
    <x v="4"/>
    <x v="28"/>
    <n v="3122.59"/>
    <n v="31225.9"/>
  </r>
  <r>
    <x v="343"/>
    <s v="South"/>
    <s v="Tamil Nadu"/>
    <x v="6"/>
    <x v="1"/>
    <n v="11"/>
    <x v="5"/>
    <x v="30"/>
    <n v="2852.22"/>
    <n v="31374.42"/>
  </r>
  <r>
    <x v="91"/>
    <s v="South"/>
    <s v="Tamil Nadu"/>
    <x v="6"/>
    <x v="1"/>
    <n v="11"/>
    <x v="3"/>
    <x v="30"/>
    <n v="2852.22"/>
    <n v="31374.42"/>
  </r>
  <r>
    <x v="344"/>
    <s v="West"/>
    <s v="Gujarat"/>
    <x v="1"/>
    <x v="3"/>
    <n v="7"/>
    <x v="9"/>
    <x v="23"/>
    <n v="4508.28"/>
    <n v="31557.96"/>
  </r>
  <r>
    <x v="288"/>
    <s v="West"/>
    <s v="Gujarat"/>
    <x v="9"/>
    <x v="2"/>
    <n v="14"/>
    <x v="3"/>
    <x v="11"/>
    <n v="2260.17"/>
    <n v="31642.38"/>
  </r>
  <r>
    <x v="345"/>
    <s v="South"/>
    <s v="Tamil Nadu"/>
    <x v="8"/>
    <x v="3"/>
    <n v="7"/>
    <x v="0"/>
    <x v="6"/>
    <n v="4530.8100000000004"/>
    <n v="31715.670000000002"/>
  </r>
  <r>
    <x v="254"/>
    <s v="North"/>
    <s v="Delhi"/>
    <x v="10"/>
    <x v="0"/>
    <n v="7"/>
    <x v="1"/>
    <x v="23"/>
    <n v="4541.83"/>
    <n v="31792.809999999998"/>
  </r>
  <r>
    <x v="295"/>
    <s v="North"/>
    <s v="Delhi"/>
    <x v="13"/>
    <x v="4"/>
    <n v="20"/>
    <x v="6"/>
    <x v="24"/>
    <n v="1592.52"/>
    <n v="31850.400000000001"/>
  </r>
  <r>
    <x v="340"/>
    <s v="North"/>
    <s v="Delhi"/>
    <x v="4"/>
    <x v="3"/>
    <n v="9"/>
    <x v="0"/>
    <x v="7"/>
    <n v="3552.02"/>
    <n v="31968.18"/>
  </r>
  <r>
    <x v="346"/>
    <s v="West"/>
    <s v="Gujarat"/>
    <x v="9"/>
    <x v="2"/>
    <n v="10"/>
    <x v="4"/>
    <x v="9"/>
    <n v="3205.57"/>
    <n v="32055.7"/>
  </r>
  <r>
    <x v="226"/>
    <s v="West"/>
    <s v="Gujarat"/>
    <x v="1"/>
    <x v="3"/>
    <n v="8"/>
    <x v="3"/>
    <x v="36"/>
    <n v="4009.51"/>
    <n v="32076.080000000002"/>
  </r>
  <r>
    <x v="347"/>
    <s v="West"/>
    <s v="Gujarat"/>
    <x v="14"/>
    <x v="2"/>
    <n v="13"/>
    <x v="0"/>
    <x v="24"/>
    <n v="2475.98"/>
    <n v="32187.74"/>
  </r>
  <r>
    <x v="140"/>
    <s v="West"/>
    <s v="Gujarat"/>
    <x v="14"/>
    <x v="2"/>
    <n v="13"/>
    <x v="1"/>
    <x v="24"/>
    <n v="2475.98"/>
    <n v="32187.74"/>
  </r>
  <r>
    <x v="114"/>
    <s v="West"/>
    <s v="Maharashtra"/>
    <x v="3"/>
    <x v="2"/>
    <n v="15"/>
    <x v="8"/>
    <x v="28"/>
    <n v="2148.0100000000002"/>
    <n v="32220.15"/>
  </r>
  <r>
    <x v="281"/>
    <s v="West"/>
    <s v="Gujarat"/>
    <x v="9"/>
    <x v="4"/>
    <n v="15"/>
    <x v="4"/>
    <x v="7"/>
    <n v="2167.91"/>
    <n v="32518.649999999998"/>
  </r>
  <r>
    <x v="305"/>
    <s v="South"/>
    <s v="Tamil Nadu"/>
    <x v="6"/>
    <x v="2"/>
    <n v="15"/>
    <x v="6"/>
    <x v="17"/>
    <n v="2174.4499999999998"/>
    <n v="32616.749999999996"/>
  </r>
  <r>
    <x v="348"/>
    <s v="North"/>
    <s v="Delhi"/>
    <x v="10"/>
    <x v="3"/>
    <n v="12"/>
    <x v="7"/>
    <x v="14"/>
    <n v="2726.43"/>
    <n v="32717.159999999996"/>
  </r>
  <r>
    <x v="215"/>
    <s v="South"/>
    <s v="Tamil Nadu"/>
    <x v="6"/>
    <x v="1"/>
    <n v="9"/>
    <x v="1"/>
    <x v="23"/>
    <n v="3643.26"/>
    <n v="32789.340000000004"/>
  </r>
  <r>
    <x v="349"/>
    <s v="South"/>
    <s v="Tamil Nadu"/>
    <x v="6"/>
    <x v="3"/>
    <n v="12"/>
    <x v="3"/>
    <x v="6"/>
    <n v="2733.87"/>
    <n v="32806.44"/>
  </r>
  <r>
    <x v="309"/>
    <s v="South"/>
    <s v="Tamil Nadu"/>
    <x v="6"/>
    <x v="4"/>
    <n v="7"/>
    <x v="1"/>
    <x v="34"/>
    <n v="4720.63"/>
    <n v="33044.410000000003"/>
  </r>
  <r>
    <x v="93"/>
    <s v="West"/>
    <s v="Maharashtra"/>
    <x v="3"/>
    <x v="4"/>
    <n v="9"/>
    <x v="9"/>
    <x v="8"/>
    <n v="3678.86"/>
    <n v="33109.74"/>
  </r>
  <r>
    <x v="267"/>
    <s v="North"/>
    <s v="Delhi"/>
    <x v="13"/>
    <x v="0"/>
    <n v="11"/>
    <x v="4"/>
    <x v="38"/>
    <n v="3011.73"/>
    <n v="33129.03"/>
  </r>
  <r>
    <x v="334"/>
    <s v="West"/>
    <s v="Maharashtra"/>
    <x v="11"/>
    <x v="0"/>
    <n v="8"/>
    <x v="1"/>
    <x v="4"/>
    <n v="4146.82"/>
    <n v="33174.559999999998"/>
  </r>
  <r>
    <x v="191"/>
    <s v="North"/>
    <s v="Delhi"/>
    <x v="10"/>
    <x v="2"/>
    <n v="14"/>
    <x v="4"/>
    <x v="7"/>
    <n v="2371.85"/>
    <n v="33205.9"/>
  </r>
  <r>
    <x v="190"/>
    <s v="West"/>
    <s v="Gujarat"/>
    <x v="14"/>
    <x v="4"/>
    <n v="8"/>
    <x v="1"/>
    <x v="11"/>
    <n v="4169.8999999999996"/>
    <n v="33359.199999999997"/>
  </r>
  <r>
    <x v="88"/>
    <s v="West"/>
    <s v="Gujarat"/>
    <x v="9"/>
    <x v="1"/>
    <n v="8"/>
    <x v="7"/>
    <x v="4"/>
    <n v="4197.6400000000003"/>
    <n v="33581.120000000003"/>
  </r>
  <r>
    <x v="82"/>
    <s v="South"/>
    <s v="Karnataka"/>
    <x v="12"/>
    <x v="3"/>
    <n v="8"/>
    <x v="5"/>
    <x v="16"/>
    <n v="4201.6899999999996"/>
    <n v="33613.519999999997"/>
  </r>
  <r>
    <x v="65"/>
    <s v="North"/>
    <s v="Delhi"/>
    <x v="13"/>
    <x v="4"/>
    <n v="7"/>
    <x v="8"/>
    <x v="38"/>
    <n v="4803.62"/>
    <n v="33625.339999999997"/>
  </r>
  <r>
    <x v="120"/>
    <s v="North"/>
    <s v="Delhi"/>
    <x v="4"/>
    <x v="3"/>
    <n v="7"/>
    <x v="9"/>
    <x v="34"/>
    <n v="4813.28"/>
    <n v="33692.959999999999"/>
  </r>
  <r>
    <x v="104"/>
    <s v="West"/>
    <s v="Gujarat"/>
    <x v="14"/>
    <x v="3"/>
    <n v="11"/>
    <x v="4"/>
    <x v="1"/>
    <n v="3072.59"/>
    <n v="33798.490000000005"/>
  </r>
  <r>
    <x v="40"/>
    <s v="South"/>
    <s v="Tamil Nadu"/>
    <x v="0"/>
    <x v="3"/>
    <n v="12"/>
    <x v="9"/>
    <x v="16"/>
    <n v="2821.2"/>
    <n v="33854.399999999994"/>
  </r>
  <r>
    <x v="152"/>
    <s v="North"/>
    <s v="Delhi"/>
    <x v="10"/>
    <x v="4"/>
    <n v="14"/>
    <x v="10"/>
    <x v="19"/>
    <n v="2429.23"/>
    <n v="34009.22"/>
  </r>
  <r>
    <x v="194"/>
    <s v="North"/>
    <s v="Delhi"/>
    <x v="4"/>
    <x v="1"/>
    <n v="10"/>
    <x v="9"/>
    <x v="27"/>
    <n v="3411.13"/>
    <n v="34111.300000000003"/>
  </r>
  <r>
    <x v="144"/>
    <s v="West"/>
    <s v="Maharashtra"/>
    <x v="3"/>
    <x v="3"/>
    <n v="8"/>
    <x v="4"/>
    <x v="11"/>
    <n v="4290.04"/>
    <n v="34320.32"/>
  </r>
  <r>
    <x v="153"/>
    <s v="West"/>
    <s v="Gujarat"/>
    <x v="14"/>
    <x v="1"/>
    <n v="19"/>
    <x v="2"/>
    <x v="15"/>
    <n v="1809.9"/>
    <n v="34388.1"/>
  </r>
  <r>
    <x v="350"/>
    <s v="South"/>
    <s v="Karnataka"/>
    <x v="12"/>
    <x v="2"/>
    <n v="10"/>
    <x v="1"/>
    <x v="19"/>
    <n v="3439.35"/>
    <n v="34393.5"/>
  </r>
  <r>
    <x v="202"/>
    <s v="West"/>
    <s v="Maharashtra"/>
    <x v="3"/>
    <x v="0"/>
    <n v="17"/>
    <x v="7"/>
    <x v="33"/>
    <n v="2031.75"/>
    <n v="34539.75"/>
  </r>
  <r>
    <x v="89"/>
    <s v="South"/>
    <s v="Tamil Nadu"/>
    <x v="6"/>
    <x v="2"/>
    <n v="12"/>
    <x v="7"/>
    <x v="9"/>
    <n v="2882.46"/>
    <n v="34589.520000000004"/>
  </r>
  <r>
    <x v="185"/>
    <s v="West"/>
    <s v="Gujarat"/>
    <x v="1"/>
    <x v="3"/>
    <n v="13"/>
    <x v="6"/>
    <x v="6"/>
    <n v="2665.15"/>
    <n v="34646.950000000004"/>
  </r>
  <r>
    <x v="305"/>
    <s v="North"/>
    <s v="Delhi"/>
    <x v="13"/>
    <x v="3"/>
    <n v="8"/>
    <x v="9"/>
    <x v="26"/>
    <n v="4334.41"/>
    <n v="34675.279999999999"/>
  </r>
  <r>
    <x v="211"/>
    <s v="North"/>
    <s v="Delhi"/>
    <x v="4"/>
    <x v="2"/>
    <n v="17"/>
    <x v="9"/>
    <x v="19"/>
    <n v="2045.39"/>
    <n v="34771.630000000005"/>
  </r>
  <r>
    <x v="351"/>
    <s v="North"/>
    <s v="Delhi"/>
    <x v="4"/>
    <x v="4"/>
    <n v="16"/>
    <x v="0"/>
    <x v="26"/>
    <n v="2178.7800000000002"/>
    <n v="34860.480000000003"/>
  </r>
  <r>
    <x v="287"/>
    <s v="North"/>
    <s v="Delhi"/>
    <x v="4"/>
    <x v="4"/>
    <n v="16"/>
    <x v="1"/>
    <x v="26"/>
    <n v="2178.7800000000002"/>
    <n v="34860.480000000003"/>
  </r>
  <r>
    <x v="192"/>
    <s v="West"/>
    <s v="Maharashtra"/>
    <x v="5"/>
    <x v="3"/>
    <n v="15"/>
    <x v="8"/>
    <x v="25"/>
    <n v="2330.62"/>
    <n v="34959.299999999996"/>
  </r>
  <r>
    <x v="106"/>
    <s v="South"/>
    <s v="Tamil Nadu"/>
    <x v="0"/>
    <x v="1"/>
    <n v="13"/>
    <x v="5"/>
    <x v="5"/>
    <n v="2693.09"/>
    <n v="35010.17"/>
  </r>
  <r>
    <x v="309"/>
    <s v="South"/>
    <s v="Karnataka"/>
    <x v="2"/>
    <x v="0"/>
    <n v="15"/>
    <x v="7"/>
    <x v="0"/>
    <n v="2346.4"/>
    <n v="35196"/>
  </r>
  <r>
    <x v="12"/>
    <s v="South"/>
    <s v="Karnataka"/>
    <x v="7"/>
    <x v="1"/>
    <n v="8"/>
    <x v="6"/>
    <x v="36"/>
    <n v="4402.3599999999997"/>
    <n v="35218.879999999997"/>
  </r>
  <r>
    <x v="172"/>
    <s v="South"/>
    <s v="Karnataka"/>
    <x v="7"/>
    <x v="0"/>
    <n v="10"/>
    <x v="3"/>
    <x v="14"/>
    <n v="3540.6"/>
    <n v="35406"/>
  </r>
  <r>
    <x v="211"/>
    <s v="South"/>
    <s v="Karnataka"/>
    <x v="12"/>
    <x v="3"/>
    <n v="18"/>
    <x v="4"/>
    <x v="23"/>
    <n v="1968.87"/>
    <n v="35439.659999999996"/>
  </r>
  <r>
    <x v="257"/>
    <s v="West"/>
    <s v="Maharashtra"/>
    <x v="11"/>
    <x v="2"/>
    <n v="13"/>
    <x v="3"/>
    <x v="20"/>
    <n v="2745.75"/>
    <n v="35694.75"/>
  </r>
  <r>
    <x v="352"/>
    <s v="South"/>
    <s v="Karnataka"/>
    <x v="7"/>
    <x v="0"/>
    <n v="16"/>
    <x v="1"/>
    <x v="34"/>
    <n v="2231.67"/>
    <n v="35706.720000000001"/>
  </r>
  <r>
    <x v="46"/>
    <s v="North"/>
    <s v="Delhi"/>
    <x v="10"/>
    <x v="2"/>
    <n v="18"/>
    <x v="7"/>
    <x v="30"/>
    <n v="1986.52"/>
    <n v="35757.360000000001"/>
  </r>
  <r>
    <x v="185"/>
    <s v="West"/>
    <s v="Gujarat"/>
    <x v="9"/>
    <x v="1"/>
    <n v="17"/>
    <x v="4"/>
    <x v="20"/>
    <n v="2107.36"/>
    <n v="35825.120000000003"/>
  </r>
  <r>
    <x v="70"/>
    <s v="South"/>
    <s v="Karnataka"/>
    <x v="12"/>
    <x v="3"/>
    <n v="8"/>
    <x v="5"/>
    <x v="27"/>
    <n v="4516.82"/>
    <n v="36134.559999999998"/>
  </r>
  <r>
    <x v="353"/>
    <s v="West"/>
    <s v="Maharashtra"/>
    <x v="3"/>
    <x v="3"/>
    <n v="12"/>
    <x v="8"/>
    <x v="8"/>
    <n v="3028.88"/>
    <n v="36346.559999999998"/>
  </r>
  <r>
    <x v="354"/>
    <s v="West"/>
    <s v="Maharashtra"/>
    <x v="5"/>
    <x v="2"/>
    <n v="13"/>
    <x v="9"/>
    <x v="37"/>
    <n v="2809.29"/>
    <n v="36520.769999999997"/>
  </r>
  <r>
    <x v="355"/>
    <s v="West"/>
    <s v="Maharashtra"/>
    <x v="5"/>
    <x v="1"/>
    <n v="8"/>
    <x v="8"/>
    <x v="25"/>
    <n v="4576.97"/>
    <n v="36615.760000000002"/>
  </r>
  <r>
    <x v="78"/>
    <s v="South"/>
    <s v="Tamil Nadu"/>
    <x v="6"/>
    <x v="2"/>
    <n v="13"/>
    <x v="9"/>
    <x v="0"/>
    <n v="2829.47"/>
    <n v="36783.11"/>
  </r>
  <r>
    <x v="159"/>
    <s v="West"/>
    <s v="Maharashtra"/>
    <x v="5"/>
    <x v="4"/>
    <n v="12"/>
    <x v="10"/>
    <x v="22"/>
    <n v="3074.45"/>
    <n v="36893.399999999994"/>
  </r>
  <r>
    <x v="62"/>
    <s v="West"/>
    <s v="Maharashtra"/>
    <x v="11"/>
    <x v="2"/>
    <n v="12"/>
    <x v="3"/>
    <x v="31"/>
    <n v="3076.03"/>
    <n v="36912.36"/>
  </r>
  <r>
    <x v="356"/>
    <s v="West"/>
    <s v="Maharashtra"/>
    <x v="5"/>
    <x v="4"/>
    <n v="8"/>
    <x v="5"/>
    <x v="7"/>
    <n v="4621.75"/>
    <n v="36974"/>
  </r>
  <r>
    <x v="357"/>
    <s v="West"/>
    <s v="Maharashtra"/>
    <x v="5"/>
    <x v="4"/>
    <n v="8"/>
    <x v="4"/>
    <x v="7"/>
    <n v="4621.75"/>
    <n v="36974"/>
  </r>
  <r>
    <x v="30"/>
    <s v="South"/>
    <s v="Karnataka"/>
    <x v="7"/>
    <x v="0"/>
    <n v="15"/>
    <x v="9"/>
    <x v="25"/>
    <n v="2477.09"/>
    <n v="37156.350000000006"/>
  </r>
  <r>
    <x v="300"/>
    <s v="South"/>
    <s v="Tamil Nadu"/>
    <x v="6"/>
    <x v="0"/>
    <n v="8"/>
    <x v="0"/>
    <x v="37"/>
    <n v="4651.3"/>
    <n v="37210.400000000001"/>
  </r>
  <r>
    <x v="302"/>
    <s v="West"/>
    <s v="Maharashtra"/>
    <x v="5"/>
    <x v="2"/>
    <n v="19"/>
    <x v="0"/>
    <x v="8"/>
    <n v="1965.12"/>
    <n v="37337.279999999999"/>
  </r>
  <r>
    <x v="358"/>
    <s v="West"/>
    <s v="Maharashtra"/>
    <x v="5"/>
    <x v="2"/>
    <n v="18"/>
    <x v="5"/>
    <x v="24"/>
    <n v="2074.52"/>
    <n v="37341.360000000001"/>
  </r>
  <r>
    <x v="63"/>
    <s v="North"/>
    <s v="Delhi"/>
    <x v="4"/>
    <x v="1"/>
    <n v="17"/>
    <x v="9"/>
    <x v="31"/>
    <n v="2216.38"/>
    <n v="37678.46"/>
  </r>
  <r>
    <x v="359"/>
    <s v="West"/>
    <s v="Gujarat"/>
    <x v="1"/>
    <x v="1"/>
    <n v="15"/>
    <x v="2"/>
    <x v="22"/>
    <n v="2514.9499999999998"/>
    <n v="37724.25"/>
  </r>
  <r>
    <x v="118"/>
    <s v="South"/>
    <s v="Tamil Nadu"/>
    <x v="6"/>
    <x v="1"/>
    <n v="13"/>
    <x v="1"/>
    <x v="1"/>
    <n v="2913.56"/>
    <n v="37876.28"/>
  </r>
  <r>
    <x v="115"/>
    <s v="West"/>
    <s v="Gujarat"/>
    <x v="1"/>
    <x v="4"/>
    <n v="14"/>
    <x v="9"/>
    <x v="28"/>
    <n v="2715.54"/>
    <n v="38017.56"/>
  </r>
  <r>
    <x v="315"/>
    <s v="West"/>
    <s v="Maharashtra"/>
    <x v="11"/>
    <x v="3"/>
    <n v="10"/>
    <x v="8"/>
    <x v="22"/>
    <n v="3806.67"/>
    <n v="38066.699999999997"/>
  </r>
  <r>
    <x v="243"/>
    <s v="West"/>
    <s v="Maharashtra"/>
    <x v="3"/>
    <x v="1"/>
    <n v="15"/>
    <x v="4"/>
    <x v="27"/>
    <n v="2551.6"/>
    <n v="38274"/>
  </r>
  <r>
    <x v="155"/>
    <s v="West"/>
    <s v="Gujarat"/>
    <x v="1"/>
    <x v="0"/>
    <n v="20"/>
    <x v="9"/>
    <x v="24"/>
    <n v="1916.52"/>
    <n v="38330.400000000001"/>
  </r>
  <r>
    <x v="183"/>
    <s v="South"/>
    <s v="Karnataka"/>
    <x v="2"/>
    <x v="3"/>
    <n v="14"/>
    <x v="6"/>
    <x v="25"/>
    <n v="2746.27"/>
    <n v="38447.78"/>
  </r>
  <r>
    <x v="59"/>
    <s v="North"/>
    <s v="Delhi"/>
    <x v="13"/>
    <x v="2"/>
    <n v="18"/>
    <x v="5"/>
    <x v="31"/>
    <n v="2149.9899999999998"/>
    <n v="38699.819999999992"/>
  </r>
  <r>
    <x v="360"/>
    <s v="West"/>
    <s v="Gujarat"/>
    <x v="14"/>
    <x v="0"/>
    <n v="15"/>
    <x v="8"/>
    <x v="12"/>
    <n v="2586.8000000000002"/>
    <n v="38802"/>
  </r>
  <r>
    <x v="67"/>
    <s v="West"/>
    <s v="Maharashtra"/>
    <x v="3"/>
    <x v="4"/>
    <n v="10"/>
    <x v="0"/>
    <x v="34"/>
    <n v="3882.87"/>
    <n v="38828.699999999997"/>
  </r>
  <r>
    <x v="81"/>
    <s v="West"/>
    <s v="Maharashtra"/>
    <x v="5"/>
    <x v="1"/>
    <n v="14"/>
    <x v="7"/>
    <x v="10"/>
    <n v="2775.33"/>
    <n v="38854.619999999995"/>
  </r>
  <r>
    <x v="184"/>
    <s v="West"/>
    <s v="Gujarat"/>
    <x v="1"/>
    <x v="1"/>
    <n v="11"/>
    <x v="0"/>
    <x v="19"/>
    <n v="3538.83"/>
    <n v="38927.129999999997"/>
  </r>
  <r>
    <x v="174"/>
    <s v="North"/>
    <s v="Delhi"/>
    <x v="4"/>
    <x v="1"/>
    <n v="8"/>
    <x v="9"/>
    <x v="18"/>
    <n v="4866.58"/>
    <n v="38932.639999999999"/>
  </r>
  <r>
    <x v="219"/>
    <s v="West"/>
    <s v="Maharashtra"/>
    <x v="3"/>
    <x v="2"/>
    <n v="14"/>
    <x v="4"/>
    <x v="36"/>
    <n v="2785.95"/>
    <n v="39003.299999999996"/>
  </r>
  <r>
    <x v="226"/>
    <s v="West"/>
    <s v="Maharashtra"/>
    <x v="3"/>
    <x v="2"/>
    <n v="10"/>
    <x v="6"/>
    <x v="15"/>
    <n v="3907.49"/>
    <n v="39074.899999999994"/>
  </r>
  <r>
    <x v="119"/>
    <s v="South"/>
    <s v="Tamil Nadu"/>
    <x v="8"/>
    <x v="0"/>
    <n v="11"/>
    <x v="1"/>
    <x v="37"/>
    <n v="3561.4"/>
    <n v="39175.4"/>
  </r>
  <r>
    <x v="194"/>
    <s v="South"/>
    <s v="Tamil Nadu"/>
    <x v="8"/>
    <x v="0"/>
    <n v="14"/>
    <x v="0"/>
    <x v="21"/>
    <n v="2808.58"/>
    <n v="39320.119999999995"/>
  </r>
  <r>
    <x v="160"/>
    <s v="South"/>
    <s v="Karnataka"/>
    <x v="12"/>
    <x v="3"/>
    <n v="17"/>
    <x v="2"/>
    <x v="28"/>
    <n v="2316.09"/>
    <n v="39373.53"/>
  </r>
  <r>
    <x v="361"/>
    <s v="West"/>
    <s v="Maharashtra"/>
    <x v="3"/>
    <x v="1"/>
    <n v="11"/>
    <x v="2"/>
    <x v="27"/>
    <n v="3584.06"/>
    <n v="39424.659999999996"/>
  </r>
  <r>
    <x v="362"/>
    <s v="South"/>
    <s v="Karnataka"/>
    <x v="7"/>
    <x v="0"/>
    <n v="11"/>
    <x v="5"/>
    <x v="31"/>
    <n v="3590.89"/>
    <n v="39499.79"/>
  </r>
  <r>
    <x v="130"/>
    <s v="South"/>
    <s v="Karnataka"/>
    <x v="7"/>
    <x v="2"/>
    <n v="10"/>
    <x v="1"/>
    <x v="32"/>
    <n v="3950.06"/>
    <n v="39500.6"/>
  </r>
  <r>
    <x v="362"/>
    <s v="West"/>
    <s v="Maharashtra"/>
    <x v="5"/>
    <x v="2"/>
    <n v="20"/>
    <x v="9"/>
    <x v="37"/>
    <n v="1977"/>
    <n v="39540"/>
  </r>
  <r>
    <x v="309"/>
    <s v="South"/>
    <s v="Karnataka"/>
    <x v="12"/>
    <x v="3"/>
    <n v="10"/>
    <x v="8"/>
    <x v="35"/>
    <n v="3964.05"/>
    <n v="39640.5"/>
  </r>
  <r>
    <x v="128"/>
    <s v="North"/>
    <s v="Delhi"/>
    <x v="4"/>
    <x v="1"/>
    <n v="8"/>
    <x v="9"/>
    <x v="36"/>
    <n v="4986.3100000000004"/>
    <n v="39890.480000000003"/>
  </r>
  <r>
    <x v="89"/>
    <s v="North"/>
    <s v="Delhi"/>
    <x v="4"/>
    <x v="4"/>
    <n v="13"/>
    <x v="8"/>
    <x v="27"/>
    <n v="3069.28"/>
    <n v="39900.639999999999"/>
  </r>
  <r>
    <x v="79"/>
    <s v="North"/>
    <s v="Delhi"/>
    <x v="10"/>
    <x v="4"/>
    <n v="16"/>
    <x v="9"/>
    <x v="17"/>
    <n v="2502.5700000000002"/>
    <n v="40041.120000000003"/>
  </r>
  <r>
    <x v="335"/>
    <s v="West"/>
    <s v="Maharashtra"/>
    <x v="3"/>
    <x v="4"/>
    <n v="11"/>
    <x v="4"/>
    <x v="1"/>
    <n v="3646.35"/>
    <n v="40109.85"/>
  </r>
  <r>
    <x v="363"/>
    <s v="South"/>
    <s v="Karnataka"/>
    <x v="12"/>
    <x v="1"/>
    <n v="12"/>
    <x v="5"/>
    <x v="25"/>
    <n v="3358.78"/>
    <n v="40305.360000000001"/>
  </r>
  <r>
    <x v="58"/>
    <s v="South"/>
    <s v="Karnataka"/>
    <x v="12"/>
    <x v="0"/>
    <n v="9"/>
    <x v="2"/>
    <x v="0"/>
    <n v="4485.21"/>
    <n v="40366.89"/>
  </r>
  <r>
    <x v="128"/>
    <s v="West"/>
    <s v="Maharashtra"/>
    <x v="3"/>
    <x v="3"/>
    <n v="15"/>
    <x v="6"/>
    <x v="33"/>
    <n v="2706.66"/>
    <n v="40599.899999999994"/>
  </r>
  <r>
    <x v="242"/>
    <s v="West"/>
    <s v="Gujarat"/>
    <x v="1"/>
    <x v="2"/>
    <n v="19"/>
    <x v="1"/>
    <x v="39"/>
    <n v="2146.17"/>
    <n v="40777.230000000003"/>
  </r>
  <r>
    <x v="23"/>
    <s v="West"/>
    <s v="Maharashtra"/>
    <x v="5"/>
    <x v="2"/>
    <n v="12"/>
    <x v="4"/>
    <x v="22"/>
    <n v="3400.71"/>
    <n v="40808.520000000004"/>
  </r>
  <r>
    <x v="217"/>
    <s v="West"/>
    <s v="Maharashtra"/>
    <x v="5"/>
    <x v="4"/>
    <n v="14"/>
    <x v="2"/>
    <x v="13"/>
    <n v="2918.42"/>
    <n v="40857.880000000005"/>
  </r>
  <r>
    <x v="247"/>
    <s v="North"/>
    <s v="Delhi"/>
    <x v="4"/>
    <x v="0"/>
    <n v="10"/>
    <x v="1"/>
    <x v="26"/>
    <n v="4092.05"/>
    <n v="40920.5"/>
  </r>
  <r>
    <x v="73"/>
    <s v="West"/>
    <s v="Maharashtra"/>
    <x v="5"/>
    <x v="3"/>
    <n v="16"/>
    <x v="9"/>
    <x v="4"/>
    <n v="2563.69"/>
    <n v="41019.040000000001"/>
  </r>
  <r>
    <x v="342"/>
    <s v="South"/>
    <s v="Karnataka"/>
    <x v="7"/>
    <x v="4"/>
    <n v="16"/>
    <x v="6"/>
    <x v="14"/>
    <n v="2573.33"/>
    <n v="41173.279999999999"/>
  </r>
  <r>
    <x v="364"/>
    <s v="West"/>
    <s v="Gujarat"/>
    <x v="9"/>
    <x v="1"/>
    <n v="12"/>
    <x v="9"/>
    <x v="18"/>
    <n v="3443.54"/>
    <n v="41322.479999999996"/>
  </r>
  <r>
    <x v="280"/>
    <s v="South"/>
    <s v="Tamil Nadu"/>
    <x v="8"/>
    <x v="1"/>
    <n v="13"/>
    <x v="10"/>
    <x v="31"/>
    <n v="3190.8"/>
    <n v="41480.400000000001"/>
  </r>
  <r>
    <x v="189"/>
    <s v="South"/>
    <s v="Karnataka"/>
    <x v="2"/>
    <x v="2"/>
    <n v="16"/>
    <x v="0"/>
    <x v="37"/>
    <n v="2600.48"/>
    <n v="41607.68"/>
  </r>
  <r>
    <x v="78"/>
    <s v="South"/>
    <s v="Tamil Nadu"/>
    <x v="0"/>
    <x v="0"/>
    <n v="9"/>
    <x v="1"/>
    <x v="1"/>
    <n v="4638.57"/>
    <n v="41747.129999999997"/>
  </r>
  <r>
    <x v="339"/>
    <s v="South"/>
    <s v="Karnataka"/>
    <x v="2"/>
    <x v="0"/>
    <n v="16"/>
    <x v="2"/>
    <x v="9"/>
    <n v="2619.73"/>
    <n v="41915.68"/>
  </r>
  <r>
    <x v="162"/>
    <s v="South"/>
    <s v="Karnataka"/>
    <x v="2"/>
    <x v="0"/>
    <n v="10"/>
    <x v="3"/>
    <x v="29"/>
    <n v="4196.24"/>
    <n v="41962.399999999994"/>
  </r>
  <r>
    <x v="361"/>
    <s v="South"/>
    <s v="Tamil Nadu"/>
    <x v="0"/>
    <x v="2"/>
    <n v="16"/>
    <x v="6"/>
    <x v="35"/>
    <n v="2640.08"/>
    <n v="42241.279999999999"/>
  </r>
  <r>
    <x v="129"/>
    <s v="South"/>
    <s v="Tamil Nadu"/>
    <x v="0"/>
    <x v="2"/>
    <n v="20"/>
    <x v="2"/>
    <x v="21"/>
    <n v="2123.15"/>
    <n v="42463"/>
  </r>
  <r>
    <x v="25"/>
    <s v="West"/>
    <s v="Gujarat"/>
    <x v="9"/>
    <x v="2"/>
    <n v="16"/>
    <x v="3"/>
    <x v="32"/>
    <n v="2666.78"/>
    <n v="42668.480000000003"/>
  </r>
  <r>
    <x v="223"/>
    <s v="West"/>
    <s v="Gujarat"/>
    <x v="1"/>
    <x v="1"/>
    <n v="20"/>
    <x v="3"/>
    <x v="22"/>
    <n v="2133.5300000000002"/>
    <n v="42670.600000000006"/>
  </r>
  <r>
    <x v="76"/>
    <s v="West"/>
    <s v="Maharashtra"/>
    <x v="5"/>
    <x v="1"/>
    <n v="9"/>
    <x v="7"/>
    <x v="20"/>
    <n v="4757.53"/>
    <n v="42817.77"/>
  </r>
  <r>
    <x v="223"/>
    <s v="South"/>
    <s v="Tamil Nadu"/>
    <x v="0"/>
    <x v="3"/>
    <n v="16"/>
    <x v="7"/>
    <x v="19"/>
    <n v="2682.3"/>
    <n v="42916.800000000003"/>
  </r>
  <r>
    <x v="291"/>
    <s v="North"/>
    <s v="Delhi"/>
    <x v="4"/>
    <x v="2"/>
    <n v="10"/>
    <x v="7"/>
    <x v="16"/>
    <n v="4298.32"/>
    <n v="42983.199999999997"/>
  </r>
  <r>
    <x v="31"/>
    <s v="South"/>
    <s v="Karnataka"/>
    <x v="2"/>
    <x v="3"/>
    <n v="9"/>
    <x v="9"/>
    <x v="11"/>
    <n v="4781.72"/>
    <n v="43035.48"/>
  </r>
  <r>
    <x v="55"/>
    <s v="West"/>
    <s v="Maharashtra"/>
    <x v="3"/>
    <x v="0"/>
    <n v="15"/>
    <x v="9"/>
    <x v="31"/>
    <n v="2869.14"/>
    <n v="43037.1"/>
  </r>
  <r>
    <x v="365"/>
    <s v="South"/>
    <s v="Tamil Nadu"/>
    <x v="0"/>
    <x v="0"/>
    <n v="15"/>
    <x v="3"/>
    <x v="1"/>
    <n v="2905.47"/>
    <n v="43582.049999999996"/>
  </r>
  <r>
    <x v="152"/>
    <s v="West"/>
    <s v="Maharashtra"/>
    <x v="5"/>
    <x v="4"/>
    <n v="11"/>
    <x v="7"/>
    <x v="31"/>
    <n v="3969.39"/>
    <n v="43663.29"/>
  </r>
  <r>
    <x v="366"/>
    <s v="West"/>
    <s v="Maharashtra"/>
    <x v="5"/>
    <x v="3"/>
    <n v="9"/>
    <x v="7"/>
    <x v="20"/>
    <n v="4858.75"/>
    <n v="43728.75"/>
  </r>
  <r>
    <x v="17"/>
    <s v="South"/>
    <s v="Tamil Nadu"/>
    <x v="8"/>
    <x v="2"/>
    <n v="19"/>
    <x v="6"/>
    <x v="6"/>
    <n v="2304.92"/>
    <n v="43793.48"/>
  </r>
  <r>
    <x v="169"/>
    <s v="West"/>
    <s v="Gujarat"/>
    <x v="1"/>
    <x v="3"/>
    <n v="12"/>
    <x v="10"/>
    <x v="13"/>
    <n v="3650.3"/>
    <n v="43803.600000000006"/>
  </r>
  <r>
    <x v="367"/>
    <s v="South"/>
    <s v="Karnataka"/>
    <x v="7"/>
    <x v="3"/>
    <n v="15"/>
    <x v="9"/>
    <x v="27"/>
    <n v="2920.62"/>
    <n v="43809.299999999996"/>
  </r>
  <r>
    <x v="253"/>
    <s v="West"/>
    <s v="Gujarat"/>
    <x v="1"/>
    <x v="3"/>
    <n v="16"/>
    <x v="7"/>
    <x v="30"/>
    <n v="2747.36"/>
    <n v="43957.760000000002"/>
  </r>
  <r>
    <x v="123"/>
    <s v="South"/>
    <s v="Tamil Nadu"/>
    <x v="0"/>
    <x v="0"/>
    <n v="10"/>
    <x v="5"/>
    <x v="20"/>
    <n v="4413.5"/>
    <n v="44135"/>
  </r>
  <r>
    <x v="142"/>
    <s v="West"/>
    <s v="Maharashtra"/>
    <x v="11"/>
    <x v="4"/>
    <n v="12"/>
    <x v="4"/>
    <x v="22"/>
    <n v="3686.27"/>
    <n v="44235.24"/>
  </r>
  <r>
    <x v="119"/>
    <s v="South"/>
    <s v="Tamil Nadu"/>
    <x v="0"/>
    <x v="0"/>
    <n v="17"/>
    <x v="9"/>
    <x v="38"/>
    <n v="2603.4899999999998"/>
    <n v="44259.329999999994"/>
  </r>
  <r>
    <x v="107"/>
    <s v="South"/>
    <s v="Karnataka"/>
    <x v="2"/>
    <x v="3"/>
    <n v="12"/>
    <x v="7"/>
    <x v="11"/>
    <n v="3703.31"/>
    <n v="44439.72"/>
  </r>
  <r>
    <x v="355"/>
    <s v="North"/>
    <s v="Delhi"/>
    <x v="13"/>
    <x v="3"/>
    <n v="13"/>
    <x v="10"/>
    <x v="28"/>
    <n v="3423.36"/>
    <n v="44503.68"/>
  </r>
  <r>
    <x v="34"/>
    <s v="West"/>
    <s v="Maharashtra"/>
    <x v="3"/>
    <x v="1"/>
    <n v="9"/>
    <x v="3"/>
    <x v="2"/>
    <n v="4953.3999999999996"/>
    <n v="44580.6"/>
  </r>
  <r>
    <x v="188"/>
    <s v="South"/>
    <s v="Tamil Nadu"/>
    <x v="8"/>
    <x v="4"/>
    <n v="16"/>
    <x v="0"/>
    <x v="15"/>
    <n v="2793.48"/>
    <n v="44695.68"/>
  </r>
  <r>
    <x v="339"/>
    <s v="South"/>
    <s v="Karnataka"/>
    <x v="7"/>
    <x v="3"/>
    <n v="11"/>
    <x v="2"/>
    <x v="7"/>
    <n v="4066.2"/>
    <n v="44728.2"/>
  </r>
  <r>
    <x v="228"/>
    <s v="West"/>
    <s v="Maharashtra"/>
    <x v="3"/>
    <x v="1"/>
    <n v="18"/>
    <x v="9"/>
    <x v="10"/>
    <n v="2494.9499999999998"/>
    <n v="44909.1"/>
  </r>
  <r>
    <x v="71"/>
    <s v="South"/>
    <s v="Tamil Nadu"/>
    <x v="8"/>
    <x v="4"/>
    <n v="10"/>
    <x v="7"/>
    <x v="16"/>
    <n v="4496.3900000000003"/>
    <n v="44963.9"/>
  </r>
  <r>
    <x v="353"/>
    <s v="South"/>
    <s v="Tamil Nadu"/>
    <x v="8"/>
    <x v="3"/>
    <n v="11"/>
    <x v="4"/>
    <x v="38"/>
    <n v="4089.16"/>
    <n v="44980.759999999995"/>
  </r>
  <r>
    <x v="181"/>
    <s v="West"/>
    <s v="Gujarat"/>
    <x v="9"/>
    <x v="1"/>
    <n v="15"/>
    <x v="4"/>
    <x v="34"/>
    <n v="3005.08"/>
    <n v="45076.2"/>
  </r>
  <r>
    <x v="196"/>
    <s v="South"/>
    <s v="Tamil Nadu"/>
    <x v="8"/>
    <x v="1"/>
    <n v="17"/>
    <x v="4"/>
    <x v="28"/>
    <n v="2664.62"/>
    <n v="45298.54"/>
  </r>
  <r>
    <x v="54"/>
    <s v="South"/>
    <s v="Karnataka"/>
    <x v="2"/>
    <x v="3"/>
    <n v="19"/>
    <x v="1"/>
    <x v="22"/>
    <n v="2386.59"/>
    <n v="45345.210000000006"/>
  </r>
  <r>
    <x v="360"/>
    <s v="South"/>
    <s v="Tamil Nadu"/>
    <x v="0"/>
    <x v="2"/>
    <n v="12"/>
    <x v="7"/>
    <x v="5"/>
    <n v="3785.29"/>
    <n v="45423.479999999996"/>
  </r>
  <r>
    <x v="155"/>
    <s v="West"/>
    <s v="Maharashtra"/>
    <x v="5"/>
    <x v="4"/>
    <n v="14"/>
    <x v="0"/>
    <x v="30"/>
    <n v="3259.64"/>
    <n v="45634.96"/>
  </r>
  <r>
    <x v="368"/>
    <s v="South"/>
    <s v="Tamil Nadu"/>
    <x v="6"/>
    <x v="2"/>
    <n v="15"/>
    <x v="4"/>
    <x v="9"/>
    <n v="3048.36"/>
    <n v="45725.4"/>
  </r>
  <r>
    <x v="32"/>
    <s v="West"/>
    <s v="Gujarat"/>
    <x v="14"/>
    <x v="4"/>
    <n v="11"/>
    <x v="4"/>
    <x v="16"/>
    <n v="4188.37"/>
    <n v="46072.07"/>
  </r>
  <r>
    <x v="314"/>
    <s v="West"/>
    <s v="Maharashtra"/>
    <x v="11"/>
    <x v="4"/>
    <n v="16"/>
    <x v="5"/>
    <x v="2"/>
    <n v="2882.65"/>
    <n v="46122.400000000001"/>
  </r>
  <r>
    <x v="216"/>
    <s v="South"/>
    <s v="Tamil Nadu"/>
    <x v="0"/>
    <x v="3"/>
    <n v="13"/>
    <x v="8"/>
    <x v="2"/>
    <n v="3551.21"/>
    <n v="46165.73"/>
  </r>
  <r>
    <x v="264"/>
    <s v="West"/>
    <s v="Gujarat"/>
    <x v="1"/>
    <x v="4"/>
    <n v="11"/>
    <x v="1"/>
    <x v="38"/>
    <n v="4205.55"/>
    <n v="46261.05"/>
  </r>
  <r>
    <x v="8"/>
    <s v="South"/>
    <s v="Tamil Nadu"/>
    <x v="6"/>
    <x v="2"/>
    <n v="13"/>
    <x v="3"/>
    <x v="3"/>
    <n v="3568.86"/>
    <n v="46395.18"/>
  </r>
  <r>
    <x v="71"/>
    <s v="West"/>
    <s v="Maharashtra"/>
    <x v="11"/>
    <x v="0"/>
    <n v="12"/>
    <x v="9"/>
    <x v="37"/>
    <n v="3895.88"/>
    <n v="46750.559999999998"/>
  </r>
  <r>
    <x v="44"/>
    <s v="North"/>
    <s v="Delhi"/>
    <x v="13"/>
    <x v="0"/>
    <n v="20"/>
    <x v="0"/>
    <x v="36"/>
    <n v="2344.7600000000002"/>
    <n v="46895.200000000004"/>
  </r>
  <r>
    <x v="51"/>
    <s v="West"/>
    <s v="Gujarat"/>
    <x v="9"/>
    <x v="2"/>
    <n v="10"/>
    <x v="7"/>
    <x v="12"/>
    <n v="4718.03"/>
    <n v="47180.299999999996"/>
  </r>
  <r>
    <x v="92"/>
    <s v="South"/>
    <s v="Tamil Nadu"/>
    <x v="8"/>
    <x v="0"/>
    <n v="12"/>
    <x v="2"/>
    <x v="30"/>
    <n v="3932.48"/>
    <n v="47189.760000000002"/>
  </r>
  <r>
    <x v="257"/>
    <s v="West"/>
    <s v="Maharashtra"/>
    <x v="5"/>
    <x v="1"/>
    <n v="16"/>
    <x v="9"/>
    <x v="36"/>
    <n v="2954.32"/>
    <n v="47269.120000000003"/>
  </r>
  <r>
    <x v="279"/>
    <s v="West"/>
    <s v="Gujarat"/>
    <x v="9"/>
    <x v="1"/>
    <n v="19"/>
    <x v="2"/>
    <x v="14"/>
    <n v="2493.0300000000002"/>
    <n v="47367.570000000007"/>
  </r>
  <r>
    <x v="146"/>
    <s v="South"/>
    <s v="Karnataka"/>
    <x v="7"/>
    <x v="0"/>
    <n v="10"/>
    <x v="0"/>
    <x v="38"/>
    <n v="4761.1899999999996"/>
    <n v="47611.899999999994"/>
  </r>
  <r>
    <x v="289"/>
    <s v="South"/>
    <s v="Karnataka"/>
    <x v="2"/>
    <x v="4"/>
    <n v="16"/>
    <x v="4"/>
    <x v="9"/>
    <n v="2976.17"/>
    <n v="47618.720000000001"/>
  </r>
  <r>
    <x v="224"/>
    <s v="South"/>
    <s v="Karnataka"/>
    <x v="12"/>
    <x v="0"/>
    <n v="19"/>
    <x v="10"/>
    <x v="1"/>
    <n v="2513.27"/>
    <n v="47752.13"/>
  </r>
  <r>
    <x v="102"/>
    <s v="North"/>
    <s v="Delhi"/>
    <x v="10"/>
    <x v="1"/>
    <n v="12"/>
    <x v="3"/>
    <x v="5"/>
    <n v="3981.34"/>
    <n v="47776.08"/>
  </r>
  <r>
    <x v="91"/>
    <s v="North"/>
    <s v="Delhi"/>
    <x v="10"/>
    <x v="0"/>
    <n v="16"/>
    <x v="3"/>
    <x v="22"/>
    <n v="2991.84"/>
    <n v="47869.440000000002"/>
  </r>
  <r>
    <x v="245"/>
    <s v="North"/>
    <s v="Delhi"/>
    <x v="13"/>
    <x v="0"/>
    <n v="12"/>
    <x v="5"/>
    <x v="4"/>
    <n v="4003.52"/>
    <n v="48042.239999999998"/>
  </r>
  <r>
    <x v="295"/>
    <s v="West"/>
    <s v="Gujarat"/>
    <x v="1"/>
    <x v="4"/>
    <n v="14"/>
    <x v="0"/>
    <x v="6"/>
    <n v="3433.55"/>
    <n v="48069.700000000004"/>
  </r>
  <r>
    <x v="159"/>
    <s v="North"/>
    <s v="Delhi"/>
    <x v="13"/>
    <x v="4"/>
    <n v="19"/>
    <x v="5"/>
    <x v="20"/>
    <n v="2532.7800000000002"/>
    <n v="48122.820000000007"/>
  </r>
  <r>
    <x v="29"/>
    <s v="North"/>
    <s v="Delhi"/>
    <x v="13"/>
    <x v="4"/>
    <n v="12"/>
    <x v="9"/>
    <x v="15"/>
    <n v="4011.85"/>
    <n v="48142.2"/>
  </r>
  <r>
    <x v="302"/>
    <s v="North"/>
    <s v="Delhi"/>
    <x v="4"/>
    <x v="4"/>
    <n v="15"/>
    <x v="9"/>
    <x v="30"/>
    <n v="3218.59"/>
    <n v="48278.850000000006"/>
  </r>
  <r>
    <x v="307"/>
    <s v="West"/>
    <s v="Maharashtra"/>
    <x v="3"/>
    <x v="0"/>
    <n v="20"/>
    <x v="0"/>
    <x v="10"/>
    <n v="2415.86"/>
    <n v="48317.200000000004"/>
  </r>
  <r>
    <x v="178"/>
    <s v="North"/>
    <s v="Delhi"/>
    <x v="13"/>
    <x v="2"/>
    <n v="13"/>
    <x v="1"/>
    <x v="17"/>
    <n v="3724.27"/>
    <n v="48415.51"/>
  </r>
  <r>
    <x v="34"/>
    <s v="North"/>
    <s v="Delhi"/>
    <x v="10"/>
    <x v="4"/>
    <n v="15"/>
    <x v="6"/>
    <x v="11"/>
    <n v="3256.2"/>
    <n v="48843"/>
  </r>
  <r>
    <x v="314"/>
    <s v="South"/>
    <s v="Tamil Nadu"/>
    <x v="8"/>
    <x v="1"/>
    <n v="20"/>
    <x v="6"/>
    <x v="32"/>
    <n v="2446.31"/>
    <n v="48926.2"/>
  </r>
  <r>
    <x v="369"/>
    <s v="South"/>
    <s v="Karnataka"/>
    <x v="12"/>
    <x v="1"/>
    <n v="15"/>
    <x v="0"/>
    <x v="37"/>
    <n v="3270.81"/>
    <n v="49062.15"/>
  </r>
  <r>
    <x v="81"/>
    <s v="South"/>
    <s v="Karnataka"/>
    <x v="7"/>
    <x v="3"/>
    <n v="15"/>
    <x v="1"/>
    <x v="28"/>
    <n v="3285.68"/>
    <n v="49285.2"/>
  </r>
  <r>
    <x v="309"/>
    <s v="West"/>
    <s v="Gujarat"/>
    <x v="1"/>
    <x v="3"/>
    <n v="16"/>
    <x v="8"/>
    <x v="3"/>
    <n v="3082.84"/>
    <n v="49325.440000000002"/>
  </r>
  <r>
    <x v="308"/>
    <s v="South"/>
    <s v="Karnataka"/>
    <x v="7"/>
    <x v="2"/>
    <n v="17"/>
    <x v="10"/>
    <x v="12"/>
    <n v="2924.72"/>
    <n v="49720.24"/>
  </r>
  <r>
    <x v="90"/>
    <s v="South"/>
    <s v="Tamil Nadu"/>
    <x v="8"/>
    <x v="0"/>
    <n v="20"/>
    <x v="3"/>
    <x v="37"/>
    <n v="2487.65"/>
    <n v="49753"/>
  </r>
  <r>
    <x v="306"/>
    <s v="West"/>
    <s v="Gujarat"/>
    <x v="1"/>
    <x v="4"/>
    <n v="11"/>
    <x v="8"/>
    <x v="22"/>
    <n v="4530.5600000000004"/>
    <n v="49836.160000000003"/>
  </r>
  <r>
    <x v="315"/>
    <s v="West"/>
    <s v="Maharashtra"/>
    <x v="11"/>
    <x v="3"/>
    <n v="10"/>
    <x v="9"/>
    <x v="31"/>
    <n v="4995.74"/>
    <n v="49957.399999999994"/>
  </r>
  <r>
    <x v="370"/>
    <s v="West"/>
    <s v="Maharashtra"/>
    <x v="11"/>
    <x v="2"/>
    <n v="18"/>
    <x v="4"/>
    <x v="29"/>
    <n v="2777.65"/>
    <n v="49997.700000000004"/>
  </r>
  <r>
    <x v="371"/>
    <s v="South"/>
    <s v="Karnataka"/>
    <x v="12"/>
    <x v="1"/>
    <n v="18"/>
    <x v="1"/>
    <x v="20"/>
    <n v="2784.49"/>
    <n v="50120.819999999992"/>
  </r>
  <r>
    <x v="339"/>
    <s v="South"/>
    <s v="Tamil Nadu"/>
    <x v="0"/>
    <x v="0"/>
    <n v="16"/>
    <x v="3"/>
    <x v="4"/>
    <n v="3155.43"/>
    <n v="50486.879999999997"/>
  </r>
  <r>
    <x v="324"/>
    <s v="West"/>
    <s v="Maharashtra"/>
    <x v="11"/>
    <x v="1"/>
    <n v="11"/>
    <x v="3"/>
    <x v="36"/>
    <n v="4681.04"/>
    <n v="51491.44"/>
  </r>
  <r>
    <x v="8"/>
    <s v="North"/>
    <s v="Delhi"/>
    <x v="13"/>
    <x v="2"/>
    <n v="20"/>
    <x v="10"/>
    <x v="24"/>
    <n v="2580.02"/>
    <n v="51600.4"/>
  </r>
  <r>
    <x v="70"/>
    <s v="North"/>
    <s v="Delhi"/>
    <x v="13"/>
    <x v="3"/>
    <n v="18"/>
    <x v="5"/>
    <x v="21"/>
    <n v="2880.41"/>
    <n v="51847.38"/>
  </r>
  <r>
    <x v="63"/>
    <s v="West"/>
    <s v="Gujarat"/>
    <x v="1"/>
    <x v="0"/>
    <n v="19"/>
    <x v="4"/>
    <x v="22"/>
    <n v="2743.67"/>
    <n v="52129.73"/>
  </r>
  <r>
    <x v="181"/>
    <s v="South"/>
    <s v="Tamil Nadu"/>
    <x v="0"/>
    <x v="2"/>
    <n v="13"/>
    <x v="7"/>
    <x v="26"/>
    <n v="4021.84"/>
    <n v="52283.92"/>
  </r>
  <r>
    <x v="44"/>
    <s v="West"/>
    <s v="Gujarat"/>
    <x v="14"/>
    <x v="3"/>
    <n v="19"/>
    <x v="7"/>
    <x v="5"/>
    <n v="2753.24"/>
    <n v="52311.56"/>
  </r>
  <r>
    <x v="96"/>
    <s v="South"/>
    <s v="Karnataka"/>
    <x v="7"/>
    <x v="2"/>
    <n v="11"/>
    <x v="9"/>
    <x v="31"/>
    <n v="4758.46"/>
    <n v="52343.06"/>
  </r>
  <r>
    <x v="46"/>
    <s v="North"/>
    <s v="Delhi"/>
    <x v="10"/>
    <x v="0"/>
    <n v="12"/>
    <x v="7"/>
    <x v="7"/>
    <n v="4378.41"/>
    <n v="52540.92"/>
  </r>
  <r>
    <x v="249"/>
    <s v="West"/>
    <s v="Maharashtra"/>
    <x v="5"/>
    <x v="2"/>
    <n v="20"/>
    <x v="0"/>
    <x v="19"/>
    <n v="2631.58"/>
    <n v="52631.6"/>
  </r>
  <r>
    <x v="161"/>
    <s v="South"/>
    <s v="Tamil Nadu"/>
    <x v="8"/>
    <x v="0"/>
    <n v="12"/>
    <x v="3"/>
    <x v="20"/>
    <n v="4403.8500000000004"/>
    <n v="52846.200000000004"/>
  </r>
  <r>
    <x v="329"/>
    <s v="West"/>
    <s v="Gujarat"/>
    <x v="9"/>
    <x v="1"/>
    <n v="13"/>
    <x v="0"/>
    <x v="32"/>
    <n v="4076.94"/>
    <n v="53000.22"/>
  </r>
  <r>
    <x v="212"/>
    <s v="North"/>
    <s v="Delhi"/>
    <x v="4"/>
    <x v="1"/>
    <n v="13"/>
    <x v="10"/>
    <x v="17"/>
    <n v="4084.32"/>
    <n v="53096.160000000003"/>
  </r>
  <r>
    <x v="304"/>
    <s v="West"/>
    <s v="Gujarat"/>
    <x v="14"/>
    <x v="0"/>
    <n v="15"/>
    <x v="10"/>
    <x v="6"/>
    <n v="3555.88"/>
    <n v="53338.200000000004"/>
  </r>
  <r>
    <x v="260"/>
    <s v="South"/>
    <s v="Tamil Nadu"/>
    <x v="6"/>
    <x v="2"/>
    <n v="19"/>
    <x v="7"/>
    <x v="16"/>
    <n v="2814.94"/>
    <n v="53483.86"/>
  </r>
  <r>
    <x v="237"/>
    <s v="South"/>
    <s v="Karnataka"/>
    <x v="7"/>
    <x v="4"/>
    <n v="19"/>
    <x v="6"/>
    <x v="1"/>
    <n v="2848.96"/>
    <n v="54130.239999999998"/>
  </r>
  <r>
    <x v="358"/>
    <s v="South"/>
    <s v="Karnataka"/>
    <x v="7"/>
    <x v="2"/>
    <n v="15"/>
    <x v="8"/>
    <x v="5"/>
    <n v="3611.2"/>
    <n v="54168"/>
  </r>
  <r>
    <x v="103"/>
    <s v="South"/>
    <s v="Karnataka"/>
    <x v="12"/>
    <x v="2"/>
    <n v="19"/>
    <x v="7"/>
    <x v="38"/>
    <n v="2873.83"/>
    <n v="54602.77"/>
  </r>
  <r>
    <x v="372"/>
    <s v="South"/>
    <s v="Karnataka"/>
    <x v="12"/>
    <x v="2"/>
    <n v="19"/>
    <x v="4"/>
    <x v="38"/>
    <n v="2873.83"/>
    <n v="54602.77"/>
  </r>
  <r>
    <x v="49"/>
    <s v="West"/>
    <s v="Maharashtra"/>
    <x v="11"/>
    <x v="0"/>
    <n v="18"/>
    <x v="9"/>
    <x v="34"/>
    <n v="3040.28"/>
    <n v="54725.04"/>
  </r>
  <r>
    <x v="103"/>
    <s v="South"/>
    <s v="Karnataka"/>
    <x v="2"/>
    <x v="0"/>
    <n v="12"/>
    <x v="5"/>
    <x v="0"/>
    <n v="4572.79"/>
    <n v="54873.479999999996"/>
  </r>
  <r>
    <x v="10"/>
    <s v="South"/>
    <s v="Karnataka"/>
    <x v="2"/>
    <x v="0"/>
    <n v="13"/>
    <x v="0"/>
    <x v="10"/>
    <n v="4226.47"/>
    <n v="54944.11"/>
  </r>
  <r>
    <x v="373"/>
    <s v="South"/>
    <s v="Karnataka"/>
    <x v="2"/>
    <x v="0"/>
    <n v="13"/>
    <x v="0"/>
    <x v="10"/>
    <n v="4226.47"/>
    <n v="54944.11"/>
  </r>
  <r>
    <x v="261"/>
    <s v="South"/>
    <s v="Tamil Nadu"/>
    <x v="6"/>
    <x v="3"/>
    <n v="17"/>
    <x v="1"/>
    <x v="28"/>
    <n v="3233.82"/>
    <n v="54974.94"/>
  </r>
  <r>
    <x v="11"/>
    <s v="South"/>
    <s v="Karnataka"/>
    <x v="12"/>
    <x v="2"/>
    <n v="20"/>
    <x v="2"/>
    <x v="38"/>
    <n v="2750.28"/>
    <n v="55005.600000000006"/>
  </r>
  <r>
    <x v="223"/>
    <s v="West"/>
    <s v="Gujarat"/>
    <x v="9"/>
    <x v="2"/>
    <n v="14"/>
    <x v="1"/>
    <x v="36"/>
    <n v="3931.74"/>
    <n v="55044.36"/>
  </r>
  <r>
    <x v="282"/>
    <s v="South"/>
    <s v="Karnataka"/>
    <x v="7"/>
    <x v="1"/>
    <n v="19"/>
    <x v="10"/>
    <x v="8"/>
    <n v="2900.31"/>
    <n v="55105.89"/>
  </r>
  <r>
    <x v="85"/>
    <s v="South"/>
    <s v="Karnataka"/>
    <x v="2"/>
    <x v="3"/>
    <n v="18"/>
    <x v="5"/>
    <x v="12"/>
    <n v="3102.47"/>
    <n v="55844.46"/>
  </r>
  <r>
    <x v="85"/>
    <s v="South"/>
    <s v="Tamil Nadu"/>
    <x v="8"/>
    <x v="3"/>
    <n v="14"/>
    <x v="6"/>
    <x v="5"/>
    <n v="4009.33"/>
    <n v="56130.619999999995"/>
  </r>
  <r>
    <x v="53"/>
    <s v="South"/>
    <s v="Karnataka"/>
    <x v="12"/>
    <x v="2"/>
    <n v="13"/>
    <x v="5"/>
    <x v="17"/>
    <n v="4337.22"/>
    <n v="56383.86"/>
  </r>
  <r>
    <x v="153"/>
    <s v="North"/>
    <s v="Delhi"/>
    <x v="4"/>
    <x v="1"/>
    <n v="13"/>
    <x v="1"/>
    <x v="17"/>
    <n v="4339.46"/>
    <n v="56412.98"/>
  </r>
  <r>
    <x v="236"/>
    <s v="West"/>
    <s v="Maharashtra"/>
    <x v="3"/>
    <x v="1"/>
    <n v="12"/>
    <x v="9"/>
    <x v="27"/>
    <n v="4713.26"/>
    <n v="56559.12"/>
  </r>
  <r>
    <x v="166"/>
    <s v="West"/>
    <s v="Maharashtra"/>
    <x v="3"/>
    <x v="3"/>
    <n v="13"/>
    <x v="0"/>
    <x v="16"/>
    <n v="4357.0200000000004"/>
    <n v="56641.260000000009"/>
  </r>
  <r>
    <x v="115"/>
    <s v="South"/>
    <s v="Karnataka"/>
    <x v="12"/>
    <x v="2"/>
    <n v="17"/>
    <x v="8"/>
    <x v="15"/>
    <n v="3342.49"/>
    <n v="56822.329999999994"/>
  </r>
  <r>
    <x v="288"/>
    <s v="West"/>
    <s v="Maharashtra"/>
    <x v="11"/>
    <x v="3"/>
    <n v="12"/>
    <x v="6"/>
    <x v="21"/>
    <n v="4765.33"/>
    <n v="57183.96"/>
  </r>
  <r>
    <x v="269"/>
    <s v="South"/>
    <s v="Tamil Nadu"/>
    <x v="6"/>
    <x v="4"/>
    <n v="20"/>
    <x v="1"/>
    <x v="24"/>
    <n v="2860.11"/>
    <n v="57202.200000000004"/>
  </r>
  <r>
    <x v="123"/>
    <s v="South"/>
    <s v="Tamil Nadu"/>
    <x v="8"/>
    <x v="1"/>
    <n v="20"/>
    <x v="9"/>
    <x v="38"/>
    <n v="2860.96"/>
    <n v="57219.199999999997"/>
  </r>
  <r>
    <x v="336"/>
    <s v="West"/>
    <s v="Maharashtra"/>
    <x v="5"/>
    <x v="3"/>
    <n v="16"/>
    <x v="0"/>
    <x v="13"/>
    <n v="3580.79"/>
    <n v="57292.639999999999"/>
  </r>
  <r>
    <x v="363"/>
    <s v="South"/>
    <s v="Tamil Nadu"/>
    <x v="8"/>
    <x v="2"/>
    <n v="16"/>
    <x v="6"/>
    <x v="25"/>
    <n v="3586.87"/>
    <n v="57389.919999999998"/>
  </r>
  <r>
    <x v="14"/>
    <s v="West"/>
    <s v="Maharashtra"/>
    <x v="3"/>
    <x v="2"/>
    <n v="16"/>
    <x v="4"/>
    <x v="23"/>
    <n v="3599.32"/>
    <n v="57589.120000000003"/>
  </r>
  <r>
    <x v="374"/>
    <s v="South"/>
    <s v="Karnataka"/>
    <x v="12"/>
    <x v="4"/>
    <n v="19"/>
    <x v="5"/>
    <x v="16"/>
    <n v="3044.32"/>
    <n v="57842.080000000002"/>
  </r>
  <r>
    <x v="344"/>
    <s v="North"/>
    <s v="Delhi"/>
    <x v="4"/>
    <x v="1"/>
    <n v="16"/>
    <x v="5"/>
    <x v="39"/>
    <n v="3625.28"/>
    <n v="58004.480000000003"/>
  </r>
  <r>
    <x v="100"/>
    <s v="South"/>
    <s v="Tamil Nadu"/>
    <x v="8"/>
    <x v="4"/>
    <n v="19"/>
    <x v="7"/>
    <x v="30"/>
    <n v="3074.32"/>
    <n v="58412.08"/>
  </r>
  <r>
    <x v="375"/>
    <s v="South"/>
    <s v="Tamil Nadu"/>
    <x v="6"/>
    <x v="3"/>
    <n v="15"/>
    <x v="9"/>
    <x v="15"/>
    <n v="3897.39"/>
    <n v="58460.85"/>
  </r>
  <r>
    <x v="246"/>
    <s v="South"/>
    <s v="Tamil Nadu"/>
    <x v="0"/>
    <x v="3"/>
    <n v="15"/>
    <x v="2"/>
    <x v="0"/>
    <n v="3909.42"/>
    <n v="58641.3"/>
  </r>
  <r>
    <x v="212"/>
    <s v="South"/>
    <s v="Karnataka"/>
    <x v="12"/>
    <x v="3"/>
    <n v="14"/>
    <x v="5"/>
    <x v="9"/>
    <n v="4192.8599999999997"/>
    <n v="58700.039999999994"/>
  </r>
  <r>
    <x v="187"/>
    <s v="South"/>
    <s v="Karnataka"/>
    <x v="7"/>
    <x v="2"/>
    <n v="14"/>
    <x v="2"/>
    <x v="17"/>
    <n v="4200.9799999999996"/>
    <n v="58813.719999999994"/>
  </r>
  <r>
    <x v="86"/>
    <s v="North"/>
    <s v="Delhi"/>
    <x v="13"/>
    <x v="1"/>
    <n v="13"/>
    <x v="10"/>
    <x v="39"/>
    <n v="4542.74"/>
    <n v="59055.619999999995"/>
  </r>
  <r>
    <x v="125"/>
    <s v="South"/>
    <s v="Karnataka"/>
    <x v="2"/>
    <x v="0"/>
    <n v="15"/>
    <x v="9"/>
    <x v="8"/>
    <n v="3943.63"/>
    <n v="59154.450000000004"/>
  </r>
  <r>
    <x v="217"/>
    <s v="North"/>
    <s v="Delhi"/>
    <x v="4"/>
    <x v="3"/>
    <n v="18"/>
    <x v="2"/>
    <x v="20"/>
    <n v="3287.05"/>
    <n v="59166.9"/>
  </r>
  <r>
    <x v="117"/>
    <s v="West"/>
    <s v="Maharashtra"/>
    <x v="11"/>
    <x v="3"/>
    <n v="16"/>
    <x v="5"/>
    <x v="23"/>
    <n v="3702.43"/>
    <n v="59238.879999999997"/>
  </r>
  <r>
    <x v="22"/>
    <s v="West"/>
    <s v="Maharashtra"/>
    <x v="5"/>
    <x v="3"/>
    <n v="17"/>
    <x v="6"/>
    <x v="31"/>
    <n v="3490.72"/>
    <n v="59342.239999999998"/>
  </r>
  <r>
    <x v="31"/>
    <s v="South"/>
    <s v="Karnataka"/>
    <x v="2"/>
    <x v="4"/>
    <n v="12"/>
    <x v="0"/>
    <x v="16"/>
    <n v="4945.7700000000004"/>
    <n v="59349.240000000005"/>
  </r>
  <r>
    <x v="286"/>
    <s v="South"/>
    <s v="Karnataka"/>
    <x v="2"/>
    <x v="0"/>
    <n v="12"/>
    <x v="8"/>
    <x v="16"/>
    <n v="4964.87"/>
    <n v="59578.44"/>
  </r>
  <r>
    <x v="42"/>
    <s v="South"/>
    <s v="Karnataka"/>
    <x v="7"/>
    <x v="4"/>
    <n v="13"/>
    <x v="3"/>
    <x v="19"/>
    <n v="4650.74"/>
    <n v="60459.619999999995"/>
  </r>
  <r>
    <x v="271"/>
    <s v="North"/>
    <s v="Delhi"/>
    <x v="10"/>
    <x v="0"/>
    <n v="16"/>
    <x v="7"/>
    <x v="3"/>
    <n v="3788.36"/>
    <n v="60613.760000000002"/>
  </r>
  <r>
    <x v="217"/>
    <s v="North"/>
    <s v="Delhi"/>
    <x v="10"/>
    <x v="0"/>
    <n v="16"/>
    <x v="9"/>
    <x v="34"/>
    <n v="3836.1"/>
    <n v="61377.599999999999"/>
  </r>
  <r>
    <x v="332"/>
    <s v="North"/>
    <s v="Delhi"/>
    <x v="4"/>
    <x v="3"/>
    <n v="20"/>
    <x v="7"/>
    <x v="13"/>
    <n v="3069.92"/>
    <n v="61398.400000000001"/>
  </r>
  <r>
    <x v="66"/>
    <s v="West"/>
    <s v="Maharashtra"/>
    <x v="5"/>
    <x v="1"/>
    <n v="14"/>
    <x v="0"/>
    <x v="2"/>
    <n v="4428"/>
    <n v="61992"/>
  </r>
  <r>
    <x v="179"/>
    <s v="South"/>
    <s v="Karnataka"/>
    <x v="7"/>
    <x v="0"/>
    <n v="16"/>
    <x v="9"/>
    <x v="26"/>
    <n v="3895.18"/>
    <n v="62322.879999999997"/>
  </r>
  <r>
    <x v="326"/>
    <s v="South"/>
    <s v="Karnataka"/>
    <x v="12"/>
    <x v="1"/>
    <n v="16"/>
    <x v="6"/>
    <x v="21"/>
    <n v="3897.57"/>
    <n v="62361.120000000003"/>
  </r>
  <r>
    <x v="13"/>
    <s v="North"/>
    <s v="Delhi"/>
    <x v="4"/>
    <x v="0"/>
    <n v="14"/>
    <x v="5"/>
    <x v="1"/>
    <n v="4457.21"/>
    <n v="62400.94"/>
  </r>
  <r>
    <x v="376"/>
    <s v="North"/>
    <s v="Delhi"/>
    <x v="4"/>
    <x v="0"/>
    <n v="14"/>
    <x v="4"/>
    <x v="1"/>
    <n v="4457.21"/>
    <n v="62400.94"/>
  </r>
  <r>
    <x v="245"/>
    <s v="North"/>
    <s v="Delhi"/>
    <x v="4"/>
    <x v="2"/>
    <n v="17"/>
    <x v="10"/>
    <x v="5"/>
    <n v="3679.89"/>
    <n v="62558.13"/>
  </r>
  <r>
    <x v="377"/>
    <s v="South"/>
    <s v="Karnataka"/>
    <x v="7"/>
    <x v="0"/>
    <n v="16"/>
    <x v="1"/>
    <x v="26"/>
    <n v="3931.95"/>
    <n v="62911.199999999997"/>
  </r>
  <r>
    <x v="261"/>
    <s v="West"/>
    <s v="Maharashtra"/>
    <x v="5"/>
    <x v="3"/>
    <n v="13"/>
    <x v="10"/>
    <x v="16"/>
    <n v="4850.17"/>
    <n v="63052.21"/>
  </r>
  <r>
    <x v="378"/>
    <s v="West"/>
    <s v="Gujarat"/>
    <x v="9"/>
    <x v="0"/>
    <n v="19"/>
    <x v="0"/>
    <x v="15"/>
    <n v="3326.91"/>
    <n v="63211.289999999994"/>
  </r>
  <r>
    <x v="92"/>
    <s v="South"/>
    <s v="Tamil Nadu"/>
    <x v="8"/>
    <x v="1"/>
    <n v="19"/>
    <x v="8"/>
    <x v="33"/>
    <n v="3336.46"/>
    <n v="63392.74"/>
  </r>
  <r>
    <x v="305"/>
    <s v="West"/>
    <s v="Gujarat"/>
    <x v="9"/>
    <x v="4"/>
    <n v="18"/>
    <x v="8"/>
    <x v="32"/>
    <n v="3524.11"/>
    <n v="63433.98"/>
  </r>
  <r>
    <x v="246"/>
    <s v="South"/>
    <s v="Karnataka"/>
    <x v="7"/>
    <x v="3"/>
    <n v="16"/>
    <x v="2"/>
    <x v="24"/>
    <n v="3981.76"/>
    <n v="63708.160000000003"/>
  </r>
  <r>
    <x v="69"/>
    <s v="West"/>
    <s v="Maharashtra"/>
    <x v="3"/>
    <x v="4"/>
    <n v="16"/>
    <x v="5"/>
    <x v="2"/>
    <n v="3988.32"/>
    <n v="63813.120000000003"/>
  </r>
  <r>
    <x v="104"/>
    <s v="South"/>
    <s v="Tamil Nadu"/>
    <x v="6"/>
    <x v="4"/>
    <n v="13"/>
    <x v="10"/>
    <x v="18"/>
    <n v="4911.57"/>
    <n v="63850.409999999996"/>
  </r>
  <r>
    <x v="254"/>
    <s v="South"/>
    <s v="Karnataka"/>
    <x v="7"/>
    <x v="0"/>
    <n v="15"/>
    <x v="9"/>
    <x v="3"/>
    <n v="4262.53"/>
    <n v="63937.95"/>
  </r>
  <r>
    <x v="219"/>
    <s v="South"/>
    <s v="Karnataka"/>
    <x v="12"/>
    <x v="0"/>
    <n v="15"/>
    <x v="1"/>
    <x v="20"/>
    <n v="4269.32"/>
    <n v="64039.799999999996"/>
  </r>
  <r>
    <x v="305"/>
    <s v="West"/>
    <s v="Gujarat"/>
    <x v="14"/>
    <x v="1"/>
    <n v="18"/>
    <x v="5"/>
    <x v="11"/>
    <n v="3561.06"/>
    <n v="64099.08"/>
  </r>
  <r>
    <x v="198"/>
    <s v="West"/>
    <s v="Maharashtra"/>
    <x v="3"/>
    <x v="1"/>
    <n v="19"/>
    <x v="9"/>
    <x v="29"/>
    <n v="3374.33"/>
    <n v="64112.27"/>
  </r>
  <r>
    <x v="261"/>
    <s v="South"/>
    <s v="Tamil Nadu"/>
    <x v="8"/>
    <x v="3"/>
    <n v="17"/>
    <x v="3"/>
    <x v="30"/>
    <n v="3771.79"/>
    <n v="64120.43"/>
  </r>
  <r>
    <x v="84"/>
    <s v="West"/>
    <s v="Gujarat"/>
    <x v="1"/>
    <x v="4"/>
    <n v="17"/>
    <x v="10"/>
    <x v="21"/>
    <n v="3791.82"/>
    <n v="64460.94"/>
  </r>
  <r>
    <x v="228"/>
    <s v="West"/>
    <s v="Maharashtra"/>
    <x v="11"/>
    <x v="3"/>
    <n v="13"/>
    <x v="4"/>
    <x v="4"/>
    <n v="4985.82"/>
    <n v="64815.659999999996"/>
  </r>
  <r>
    <x v="379"/>
    <s v="West"/>
    <s v="Maharashtra"/>
    <x v="11"/>
    <x v="3"/>
    <n v="13"/>
    <x v="4"/>
    <x v="4"/>
    <n v="4985.82"/>
    <n v="64815.659999999996"/>
  </r>
  <r>
    <x v="90"/>
    <s v="West"/>
    <s v="Gujarat"/>
    <x v="1"/>
    <x v="4"/>
    <n v="18"/>
    <x v="0"/>
    <x v="30"/>
    <n v="3602.65"/>
    <n v="64847.700000000004"/>
  </r>
  <r>
    <x v="217"/>
    <s v="North"/>
    <s v="Delhi"/>
    <x v="13"/>
    <x v="3"/>
    <n v="18"/>
    <x v="10"/>
    <x v="0"/>
    <n v="3614.6"/>
    <n v="65062.799999999996"/>
  </r>
  <r>
    <x v="232"/>
    <s v="West"/>
    <s v="Maharashtra"/>
    <x v="5"/>
    <x v="4"/>
    <n v="14"/>
    <x v="0"/>
    <x v="32"/>
    <n v="4649.53"/>
    <n v="65093.42"/>
  </r>
  <r>
    <x v="380"/>
    <s v="West"/>
    <s v="Maharashtra"/>
    <x v="5"/>
    <x v="4"/>
    <n v="14"/>
    <x v="0"/>
    <x v="32"/>
    <n v="4649.53"/>
    <n v="65093.42"/>
  </r>
  <r>
    <x v="311"/>
    <s v="South"/>
    <s v="Tamil Nadu"/>
    <x v="6"/>
    <x v="3"/>
    <n v="20"/>
    <x v="4"/>
    <x v="17"/>
    <n v="3280.87"/>
    <n v="65617.399999999994"/>
  </r>
  <r>
    <x v="381"/>
    <s v="North"/>
    <s v="Delhi"/>
    <x v="10"/>
    <x v="2"/>
    <n v="17"/>
    <x v="2"/>
    <x v="6"/>
    <n v="3878.66"/>
    <n v="65937.22"/>
  </r>
  <r>
    <x v="210"/>
    <s v="South"/>
    <s v="Karnataka"/>
    <x v="2"/>
    <x v="4"/>
    <n v="15"/>
    <x v="2"/>
    <x v="18"/>
    <n v="4402.43"/>
    <n v="66036.450000000012"/>
  </r>
  <r>
    <x v="382"/>
    <s v="South"/>
    <s v="Karnataka"/>
    <x v="2"/>
    <x v="4"/>
    <n v="15"/>
    <x v="4"/>
    <x v="18"/>
    <n v="4402.43"/>
    <n v="66036.450000000012"/>
  </r>
  <r>
    <x v="96"/>
    <s v="South"/>
    <s v="Tamil Nadu"/>
    <x v="6"/>
    <x v="4"/>
    <n v="15"/>
    <x v="2"/>
    <x v="27"/>
    <n v="4426.4399999999996"/>
    <n v="66396.599999999991"/>
  </r>
  <r>
    <x v="328"/>
    <s v="South"/>
    <s v="Tamil Nadu"/>
    <x v="8"/>
    <x v="2"/>
    <n v="20"/>
    <x v="1"/>
    <x v="32"/>
    <n v="3331.04"/>
    <n v="66620.800000000003"/>
  </r>
  <r>
    <x v="188"/>
    <s v="South"/>
    <s v="Tamil Nadu"/>
    <x v="6"/>
    <x v="1"/>
    <n v="17"/>
    <x v="7"/>
    <x v="22"/>
    <n v="3933.92"/>
    <n v="66876.639999999999"/>
  </r>
  <r>
    <x v="31"/>
    <s v="West"/>
    <s v="Gujarat"/>
    <x v="1"/>
    <x v="4"/>
    <n v="17"/>
    <x v="1"/>
    <x v="35"/>
    <n v="3971.7"/>
    <n v="67518.899999999994"/>
  </r>
  <r>
    <x v="326"/>
    <s v="West"/>
    <s v="Gujarat"/>
    <x v="9"/>
    <x v="4"/>
    <n v="14"/>
    <x v="1"/>
    <x v="25"/>
    <n v="4839.1099999999997"/>
    <n v="67747.539999999994"/>
  </r>
  <r>
    <x v="54"/>
    <s v="South"/>
    <s v="Karnataka"/>
    <x v="12"/>
    <x v="3"/>
    <n v="15"/>
    <x v="0"/>
    <x v="6"/>
    <n v="4545.26"/>
    <n v="68178.900000000009"/>
  </r>
  <r>
    <x v="37"/>
    <s v="South"/>
    <s v="Karnataka"/>
    <x v="7"/>
    <x v="1"/>
    <n v="14"/>
    <x v="6"/>
    <x v="30"/>
    <n v="4894.84"/>
    <n v="68527.760000000009"/>
  </r>
  <r>
    <x v="263"/>
    <s v="North"/>
    <s v="Delhi"/>
    <x v="4"/>
    <x v="4"/>
    <n v="17"/>
    <x v="8"/>
    <x v="11"/>
    <n v="4033.84"/>
    <n v="68575.28"/>
  </r>
  <r>
    <x v="203"/>
    <s v="South"/>
    <s v="Tamil Nadu"/>
    <x v="8"/>
    <x v="2"/>
    <n v="15"/>
    <x v="8"/>
    <x v="26"/>
    <n v="4579.29"/>
    <n v="68689.350000000006"/>
  </r>
  <r>
    <x v="5"/>
    <s v="North"/>
    <s v="Delhi"/>
    <x v="10"/>
    <x v="1"/>
    <n v="20"/>
    <x v="9"/>
    <x v="27"/>
    <n v="3438.25"/>
    <n v="68765"/>
  </r>
  <r>
    <x v="383"/>
    <s v="South"/>
    <s v="Tamil Nadu"/>
    <x v="8"/>
    <x v="3"/>
    <n v="14"/>
    <x v="10"/>
    <x v="37"/>
    <n v="4935.34"/>
    <n v="69094.760000000009"/>
  </r>
  <r>
    <x v="2"/>
    <s v="West"/>
    <s v="Gujarat"/>
    <x v="14"/>
    <x v="2"/>
    <n v="19"/>
    <x v="9"/>
    <x v="9"/>
    <n v="3649.75"/>
    <n v="69345.25"/>
  </r>
  <r>
    <x v="229"/>
    <s v="West"/>
    <s v="Maharashtra"/>
    <x v="3"/>
    <x v="2"/>
    <n v="17"/>
    <x v="9"/>
    <x v="25"/>
    <n v="4082.38"/>
    <n v="69400.460000000006"/>
  </r>
  <r>
    <x v="22"/>
    <s v="West"/>
    <s v="Gujarat"/>
    <x v="14"/>
    <x v="4"/>
    <n v="20"/>
    <x v="8"/>
    <x v="26"/>
    <n v="3470.23"/>
    <n v="69404.600000000006"/>
  </r>
  <r>
    <x v="178"/>
    <s v="West"/>
    <s v="Maharashtra"/>
    <x v="3"/>
    <x v="4"/>
    <n v="20"/>
    <x v="8"/>
    <x v="15"/>
    <n v="3474.05"/>
    <n v="69481"/>
  </r>
  <r>
    <x v="4"/>
    <s v="South"/>
    <s v="Karnataka"/>
    <x v="7"/>
    <x v="2"/>
    <n v="17"/>
    <x v="0"/>
    <x v="32"/>
    <n v="4088.77"/>
    <n v="69509.09"/>
  </r>
  <r>
    <x v="69"/>
    <s v="South"/>
    <s v="Karnataka"/>
    <x v="7"/>
    <x v="0"/>
    <n v="16"/>
    <x v="9"/>
    <x v="13"/>
    <n v="4354.03"/>
    <n v="69664.479999999996"/>
  </r>
  <r>
    <x v="144"/>
    <s v="West"/>
    <s v="Maharashtra"/>
    <x v="5"/>
    <x v="1"/>
    <n v="17"/>
    <x v="7"/>
    <x v="17"/>
    <n v="4100.2700000000004"/>
    <n v="69704.590000000011"/>
  </r>
  <r>
    <x v="146"/>
    <s v="North"/>
    <s v="Delhi"/>
    <x v="4"/>
    <x v="4"/>
    <n v="16"/>
    <x v="9"/>
    <x v="34"/>
    <n v="4364.8999999999996"/>
    <n v="69838.399999999994"/>
  </r>
  <r>
    <x v="114"/>
    <s v="West"/>
    <s v="Maharashtra"/>
    <x v="5"/>
    <x v="3"/>
    <n v="15"/>
    <x v="10"/>
    <x v="15"/>
    <n v="4657.82"/>
    <n v="69867.299999999988"/>
  </r>
  <r>
    <x v="89"/>
    <s v="South"/>
    <s v="Karnataka"/>
    <x v="7"/>
    <x v="0"/>
    <n v="15"/>
    <x v="10"/>
    <x v="31"/>
    <n v="4659.8"/>
    <n v="69897"/>
  </r>
  <r>
    <x v="242"/>
    <s v="West"/>
    <s v="Maharashtra"/>
    <x v="11"/>
    <x v="2"/>
    <n v="19"/>
    <x v="3"/>
    <x v="19"/>
    <n v="3683.04"/>
    <n v="69977.759999999995"/>
  </r>
  <r>
    <x v="333"/>
    <s v="North"/>
    <s v="Delhi"/>
    <x v="4"/>
    <x v="1"/>
    <n v="15"/>
    <x v="1"/>
    <x v="32"/>
    <n v="4667.42"/>
    <n v="70011.3"/>
  </r>
  <r>
    <x v="135"/>
    <s v="West"/>
    <s v="Gujarat"/>
    <x v="9"/>
    <x v="4"/>
    <n v="15"/>
    <x v="3"/>
    <x v="14"/>
    <n v="4678.57"/>
    <n v="70178.549999999988"/>
  </r>
  <r>
    <x v="249"/>
    <s v="North"/>
    <s v="Delhi"/>
    <x v="10"/>
    <x v="4"/>
    <n v="19"/>
    <x v="8"/>
    <x v="2"/>
    <n v="3694.62"/>
    <n v="70197.78"/>
  </r>
  <r>
    <x v="117"/>
    <s v="West"/>
    <s v="Gujarat"/>
    <x v="1"/>
    <x v="3"/>
    <n v="17"/>
    <x v="9"/>
    <x v="12"/>
    <n v="4136.3100000000004"/>
    <n v="70317.27"/>
  </r>
  <r>
    <x v="192"/>
    <s v="South"/>
    <s v="Karnataka"/>
    <x v="7"/>
    <x v="2"/>
    <n v="18"/>
    <x v="5"/>
    <x v="24"/>
    <n v="3913.42"/>
    <n v="70441.56"/>
  </r>
  <r>
    <x v="272"/>
    <s v="West"/>
    <s v="Maharashtra"/>
    <x v="5"/>
    <x v="1"/>
    <n v="19"/>
    <x v="1"/>
    <x v="1"/>
    <n v="3718.59"/>
    <n v="70653.210000000006"/>
  </r>
  <r>
    <x v="9"/>
    <s v="South"/>
    <s v="Tamil Nadu"/>
    <x v="6"/>
    <x v="3"/>
    <n v="15"/>
    <x v="9"/>
    <x v="0"/>
    <n v="4724.91"/>
    <n v="70873.649999999994"/>
  </r>
  <r>
    <x v="296"/>
    <s v="West"/>
    <s v="Gujarat"/>
    <x v="1"/>
    <x v="0"/>
    <n v="18"/>
    <x v="10"/>
    <x v="22"/>
    <n v="3943.82"/>
    <n v="70988.760000000009"/>
  </r>
  <r>
    <x v="277"/>
    <s v="West"/>
    <s v="Gujarat"/>
    <x v="14"/>
    <x v="1"/>
    <n v="18"/>
    <x v="0"/>
    <x v="25"/>
    <n v="3982.89"/>
    <n v="71692.02"/>
  </r>
  <r>
    <x v="59"/>
    <s v="West"/>
    <s v="Maharashtra"/>
    <x v="5"/>
    <x v="4"/>
    <n v="15"/>
    <x v="2"/>
    <x v="32"/>
    <n v="4785.6099999999997"/>
    <n v="71784.149999999994"/>
  </r>
  <r>
    <x v="349"/>
    <s v="West"/>
    <s v="Maharashtra"/>
    <x v="5"/>
    <x v="2"/>
    <n v="15"/>
    <x v="0"/>
    <x v="29"/>
    <n v="4822.26"/>
    <n v="72333.900000000009"/>
  </r>
  <r>
    <x v="337"/>
    <s v="West"/>
    <s v="Maharashtra"/>
    <x v="3"/>
    <x v="3"/>
    <n v="18"/>
    <x v="9"/>
    <x v="14"/>
    <n v="4022.66"/>
    <n v="72407.88"/>
  </r>
  <r>
    <x v="36"/>
    <s v="North"/>
    <s v="Delhi"/>
    <x v="4"/>
    <x v="0"/>
    <n v="18"/>
    <x v="7"/>
    <x v="13"/>
    <n v="4059.82"/>
    <n v="73076.760000000009"/>
  </r>
  <r>
    <x v="302"/>
    <s v="South"/>
    <s v="Tamil Nadu"/>
    <x v="6"/>
    <x v="0"/>
    <n v="20"/>
    <x v="5"/>
    <x v="37"/>
    <n v="3684.86"/>
    <n v="73697.2"/>
  </r>
  <r>
    <x v="384"/>
    <s v="West"/>
    <s v="Gujarat"/>
    <x v="9"/>
    <x v="4"/>
    <n v="16"/>
    <x v="10"/>
    <x v="15"/>
    <n v="4614.01"/>
    <n v="73824.160000000003"/>
  </r>
  <r>
    <x v="374"/>
    <s v="South"/>
    <s v="Tamil Nadu"/>
    <x v="0"/>
    <x v="3"/>
    <n v="18"/>
    <x v="10"/>
    <x v="21"/>
    <n v="4103.6099999999997"/>
    <n v="73864.98"/>
  </r>
  <r>
    <x v="33"/>
    <s v="West"/>
    <s v="Gujarat"/>
    <x v="1"/>
    <x v="4"/>
    <n v="19"/>
    <x v="9"/>
    <x v="1"/>
    <n v="3907.56"/>
    <n v="74243.64"/>
  </r>
  <r>
    <x v="231"/>
    <s v="South"/>
    <s v="Karnataka"/>
    <x v="2"/>
    <x v="1"/>
    <n v="20"/>
    <x v="5"/>
    <x v="6"/>
    <n v="3728.46"/>
    <n v="74569.2"/>
  </r>
  <r>
    <x v="12"/>
    <s v="West"/>
    <s v="Maharashtra"/>
    <x v="11"/>
    <x v="3"/>
    <n v="19"/>
    <x v="9"/>
    <x v="11"/>
    <n v="3927.27"/>
    <n v="74618.13"/>
  </r>
  <r>
    <x v="288"/>
    <s v="South"/>
    <s v="Tamil Nadu"/>
    <x v="8"/>
    <x v="2"/>
    <n v="20"/>
    <x v="9"/>
    <x v="27"/>
    <n v="3751.01"/>
    <n v="75020.200000000012"/>
  </r>
  <r>
    <x v="344"/>
    <s v="South"/>
    <s v="Tamil Nadu"/>
    <x v="6"/>
    <x v="2"/>
    <n v="18"/>
    <x v="3"/>
    <x v="22"/>
    <n v="4168.59"/>
    <n v="75034.62"/>
  </r>
  <r>
    <x v="385"/>
    <s v="North"/>
    <s v="Delhi"/>
    <x v="10"/>
    <x v="4"/>
    <n v="20"/>
    <x v="9"/>
    <x v="37"/>
    <n v="3753.15"/>
    <n v="75063"/>
  </r>
  <r>
    <x v="194"/>
    <s v="West"/>
    <s v="Gujarat"/>
    <x v="1"/>
    <x v="3"/>
    <n v="17"/>
    <x v="9"/>
    <x v="28"/>
    <n v="4427.79"/>
    <n v="75272.429999999993"/>
  </r>
  <r>
    <x v="31"/>
    <s v="South"/>
    <s v="Karnataka"/>
    <x v="2"/>
    <x v="1"/>
    <n v="16"/>
    <x v="3"/>
    <x v="11"/>
    <n v="4720.2299999999996"/>
    <n v="75523.679999999993"/>
  </r>
  <r>
    <x v="203"/>
    <s v="West"/>
    <s v="Maharashtra"/>
    <x v="3"/>
    <x v="2"/>
    <n v="16"/>
    <x v="4"/>
    <x v="14"/>
    <n v="4780.7700000000004"/>
    <n v="76492.320000000007"/>
  </r>
  <r>
    <x v="37"/>
    <s v="North"/>
    <s v="Delhi"/>
    <x v="4"/>
    <x v="4"/>
    <n v="17"/>
    <x v="3"/>
    <x v="9"/>
    <n v="4502.3900000000003"/>
    <n v="76540.63"/>
  </r>
  <r>
    <x v="48"/>
    <s v="South"/>
    <s v="Tamil Nadu"/>
    <x v="0"/>
    <x v="2"/>
    <n v="17"/>
    <x v="8"/>
    <x v="32"/>
    <n v="4515.21"/>
    <n v="76758.570000000007"/>
  </r>
  <r>
    <x v="50"/>
    <s v="South"/>
    <s v="Karnataka"/>
    <x v="2"/>
    <x v="2"/>
    <n v="17"/>
    <x v="9"/>
    <x v="12"/>
    <n v="4517.78"/>
    <n v="76802.259999999995"/>
  </r>
  <r>
    <x v="76"/>
    <s v="West"/>
    <s v="Gujarat"/>
    <x v="1"/>
    <x v="0"/>
    <n v="16"/>
    <x v="2"/>
    <x v="2"/>
    <n v="4858.3100000000004"/>
    <n v="77732.960000000006"/>
  </r>
  <r>
    <x v="193"/>
    <s v="North"/>
    <s v="Delhi"/>
    <x v="4"/>
    <x v="1"/>
    <n v="16"/>
    <x v="4"/>
    <x v="2"/>
    <n v="4860.07"/>
    <n v="77761.119999999995"/>
  </r>
  <r>
    <x v="30"/>
    <s v="South"/>
    <s v="Tamil Nadu"/>
    <x v="8"/>
    <x v="0"/>
    <n v="20"/>
    <x v="10"/>
    <x v="7"/>
    <n v="3891.28"/>
    <n v="77825.600000000006"/>
  </r>
  <r>
    <x v="332"/>
    <s v="South"/>
    <s v="Tamil Nadu"/>
    <x v="8"/>
    <x v="3"/>
    <n v="19"/>
    <x v="10"/>
    <x v="0"/>
    <n v="4134.01"/>
    <n v="78546.19"/>
  </r>
  <r>
    <x v="298"/>
    <s v="West"/>
    <s v="Maharashtra"/>
    <x v="5"/>
    <x v="2"/>
    <n v="19"/>
    <x v="5"/>
    <x v="12"/>
    <n v="4137.4399999999996"/>
    <n v="78611.359999999986"/>
  </r>
  <r>
    <x v="58"/>
    <s v="South"/>
    <s v="Karnataka"/>
    <x v="12"/>
    <x v="2"/>
    <n v="20"/>
    <x v="7"/>
    <x v="7"/>
    <n v="3937.67"/>
    <n v="78753.399999999994"/>
  </r>
  <r>
    <x v="216"/>
    <s v="South"/>
    <s v="Tamil Nadu"/>
    <x v="0"/>
    <x v="2"/>
    <n v="18"/>
    <x v="1"/>
    <x v="10"/>
    <n v="4403.6899999999996"/>
    <n v="79266.42"/>
  </r>
  <r>
    <x v="112"/>
    <s v="South"/>
    <s v="Tamil Nadu"/>
    <x v="8"/>
    <x v="2"/>
    <n v="18"/>
    <x v="10"/>
    <x v="18"/>
    <n v="4422.21"/>
    <n v="79599.78"/>
  </r>
  <r>
    <x v="143"/>
    <s v="South"/>
    <s v="Karnataka"/>
    <x v="12"/>
    <x v="1"/>
    <n v="16"/>
    <x v="2"/>
    <x v="0"/>
    <n v="4999.8999999999996"/>
    <n v="79998.399999999994"/>
  </r>
  <r>
    <x v="48"/>
    <s v="South"/>
    <s v="Karnataka"/>
    <x v="2"/>
    <x v="1"/>
    <n v="18"/>
    <x v="0"/>
    <x v="9"/>
    <n v="4450.2299999999996"/>
    <n v="80104.139999999985"/>
  </r>
  <r>
    <x v="386"/>
    <s v="West"/>
    <s v="Maharashtra"/>
    <x v="11"/>
    <x v="3"/>
    <n v="19"/>
    <x v="6"/>
    <x v="2"/>
    <n v="4229.42"/>
    <n v="80358.98"/>
  </r>
  <r>
    <x v="17"/>
    <s v="North"/>
    <s v="Delhi"/>
    <x v="4"/>
    <x v="4"/>
    <n v="20"/>
    <x v="9"/>
    <x v="28"/>
    <n v="4035.61"/>
    <n v="80712.2"/>
  </r>
  <r>
    <x v="342"/>
    <s v="West"/>
    <s v="Gujarat"/>
    <x v="14"/>
    <x v="4"/>
    <n v="20"/>
    <x v="3"/>
    <x v="23"/>
    <n v="4066.74"/>
    <n v="81334.799999999988"/>
  </r>
  <r>
    <x v="156"/>
    <s v="South"/>
    <s v="Karnataka"/>
    <x v="2"/>
    <x v="0"/>
    <n v="17"/>
    <x v="6"/>
    <x v="18"/>
    <n v="4825.24"/>
    <n v="82029.08"/>
  </r>
  <r>
    <x v="243"/>
    <s v="West"/>
    <s v="Gujarat"/>
    <x v="1"/>
    <x v="4"/>
    <n v="19"/>
    <x v="7"/>
    <x v="14"/>
    <n v="4348.7299999999996"/>
    <n v="82625.87"/>
  </r>
  <r>
    <x v="120"/>
    <s v="South"/>
    <s v="Tamil Nadu"/>
    <x v="6"/>
    <x v="4"/>
    <n v="17"/>
    <x v="6"/>
    <x v="30"/>
    <n v="4890.5"/>
    <n v="83138.5"/>
  </r>
  <r>
    <x v="210"/>
    <s v="South"/>
    <s v="Karnataka"/>
    <x v="2"/>
    <x v="4"/>
    <n v="19"/>
    <x v="5"/>
    <x v="6"/>
    <n v="4411.57"/>
    <n v="83819.829999999987"/>
  </r>
  <r>
    <x v="30"/>
    <s v="South"/>
    <s v="Karnataka"/>
    <x v="12"/>
    <x v="4"/>
    <n v="19"/>
    <x v="1"/>
    <x v="13"/>
    <n v="4421.6899999999996"/>
    <n v="84012.109999999986"/>
  </r>
  <r>
    <x v="148"/>
    <s v="West"/>
    <s v="Gujarat"/>
    <x v="1"/>
    <x v="3"/>
    <n v="17"/>
    <x v="8"/>
    <x v="17"/>
    <n v="4953.04"/>
    <n v="84201.68"/>
  </r>
  <r>
    <x v="342"/>
    <s v="West"/>
    <s v="Maharashtra"/>
    <x v="11"/>
    <x v="0"/>
    <n v="20"/>
    <x v="4"/>
    <x v="15"/>
    <n v="4226.93"/>
    <n v="84538.6"/>
  </r>
  <r>
    <x v="146"/>
    <s v="West"/>
    <s v="Maharashtra"/>
    <x v="3"/>
    <x v="3"/>
    <n v="17"/>
    <x v="8"/>
    <x v="10"/>
    <n v="4982.8100000000004"/>
    <n v="84707.77"/>
  </r>
  <r>
    <x v="370"/>
    <s v="West"/>
    <s v="Maharashtra"/>
    <x v="11"/>
    <x v="3"/>
    <n v="18"/>
    <x v="3"/>
    <x v="17"/>
    <n v="4721.4399999999996"/>
    <n v="84985.919999999998"/>
  </r>
  <r>
    <x v="345"/>
    <s v="West"/>
    <s v="Maharashtra"/>
    <x v="5"/>
    <x v="4"/>
    <n v="20"/>
    <x v="8"/>
    <x v="23"/>
    <n v="4270.08"/>
    <n v="85401.600000000006"/>
  </r>
  <r>
    <x v="26"/>
    <s v="North"/>
    <s v="Delhi"/>
    <x v="4"/>
    <x v="3"/>
    <n v="18"/>
    <x v="1"/>
    <x v="38"/>
    <n v="4861.3100000000004"/>
    <n v="87503.58"/>
  </r>
  <r>
    <x v="335"/>
    <s v="West"/>
    <s v="Gujarat"/>
    <x v="1"/>
    <x v="3"/>
    <n v="18"/>
    <x v="6"/>
    <x v="9"/>
    <n v="4862.63"/>
    <n v="87527.34"/>
  </r>
  <r>
    <x v="292"/>
    <s v="South"/>
    <s v="Tamil Nadu"/>
    <x v="0"/>
    <x v="2"/>
    <n v="20"/>
    <x v="2"/>
    <x v="7"/>
    <n v="4398.47"/>
    <n v="87969.400000000009"/>
  </r>
  <r>
    <x v="79"/>
    <s v="South"/>
    <s v="Karnataka"/>
    <x v="2"/>
    <x v="3"/>
    <n v="18"/>
    <x v="10"/>
    <x v="39"/>
    <n v="4888.0200000000004"/>
    <n v="87984.360000000015"/>
  </r>
  <r>
    <x v="119"/>
    <s v="South"/>
    <s v="Tamil Nadu"/>
    <x v="0"/>
    <x v="1"/>
    <n v="19"/>
    <x v="7"/>
    <x v="34"/>
    <n v="4642.84"/>
    <n v="88213.96"/>
  </r>
  <r>
    <x v="305"/>
    <s v="South"/>
    <s v="Tamil Nadu"/>
    <x v="6"/>
    <x v="4"/>
    <n v="19"/>
    <x v="9"/>
    <x v="28"/>
    <n v="4771.5"/>
    <n v="90658.5"/>
  </r>
  <r>
    <x v="286"/>
    <s v="West"/>
    <s v="Maharashtra"/>
    <x v="5"/>
    <x v="0"/>
    <n v="20"/>
    <x v="9"/>
    <x v="20"/>
    <n v="4638.2"/>
    <n v="92764"/>
  </r>
  <r>
    <x v="221"/>
    <s v="West"/>
    <s v="Gujarat"/>
    <x v="1"/>
    <x v="3"/>
    <n v="19"/>
    <x v="3"/>
    <x v="14"/>
    <n v="4920.4399999999996"/>
    <n v="93488.359999999986"/>
  </r>
  <r>
    <x v="234"/>
    <s v="West"/>
    <s v="Maharashtra"/>
    <x v="3"/>
    <x v="1"/>
    <n v="19"/>
    <x v="9"/>
    <x v="31"/>
    <n v="4943.6899999999996"/>
    <n v="93930.109999999986"/>
  </r>
  <r>
    <x v="174"/>
    <s v="South"/>
    <s v="Tamil Nadu"/>
    <x v="0"/>
    <x v="1"/>
    <n v="20"/>
    <x v="9"/>
    <x v="34"/>
    <n v="4710.8500000000004"/>
    <n v="94217"/>
  </r>
  <r>
    <x v="69"/>
    <s v="West"/>
    <s v="Gujarat"/>
    <x v="14"/>
    <x v="2"/>
    <n v="20"/>
    <x v="1"/>
    <x v="0"/>
    <n v="4712.75"/>
    <n v="9425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5">
  <r>
    <s v="ORD_1"/>
    <x v="0"/>
    <s v="South"/>
    <s v="Tamil Nadu"/>
    <x v="0"/>
    <x v="0"/>
    <n v="10"/>
    <x v="0"/>
    <n v="21"/>
    <n v="267.32"/>
    <n v="2673.2"/>
  </r>
  <r>
    <s v="ORD_2"/>
    <x v="0"/>
    <s v="South"/>
    <s v="Tamil Nadu"/>
    <x v="0"/>
    <x v="0"/>
    <n v="1"/>
    <x v="0"/>
    <n v="21"/>
    <n v="267.32"/>
    <n v="267.32"/>
  </r>
  <r>
    <s v="ORD_3"/>
    <x v="1"/>
    <s v="South"/>
    <s v="Tamil Nadu"/>
    <x v="0"/>
    <x v="0"/>
    <n v="1"/>
    <x v="1"/>
    <n v="21"/>
    <n v="267.32"/>
    <n v="267.32"/>
  </r>
  <r>
    <s v="ORD_4"/>
    <x v="2"/>
    <s v="West"/>
    <s v="Gujarat"/>
    <x v="1"/>
    <x v="0"/>
    <n v="1"/>
    <x v="2"/>
    <n v="23"/>
    <n v="302.02"/>
    <n v="302.02"/>
  </r>
  <r>
    <s v="ORD_5"/>
    <x v="2"/>
    <s v="West"/>
    <s v="Gujarat"/>
    <x v="1"/>
    <x v="0"/>
    <n v="1"/>
    <x v="1"/>
    <n v="23"/>
    <n v="302.02"/>
    <n v="302.02"/>
  </r>
  <r>
    <s v="ORD_6"/>
    <x v="3"/>
    <s v="South"/>
    <s v="Karnataka"/>
    <x v="2"/>
    <x v="1"/>
    <n v="2"/>
    <x v="3"/>
    <n v="34"/>
    <n v="161.19"/>
    <n v="322.38"/>
  </r>
  <r>
    <s v="ORD_7"/>
    <x v="4"/>
    <s v="West"/>
    <s v="Maharashtra"/>
    <x v="3"/>
    <x v="2"/>
    <n v="3"/>
    <x v="4"/>
    <n v="51"/>
    <n v="116.58"/>
    <n v="349.74"/>
  </r>
  <r>
    <s v="ORD_8"/>
    <x v="5"/>
    <s v="South"/>
    <s v="Tamil Nadu"/>
    <x v="0"/>
    <x v="2"/>
    <n v="1"/>
    <x v="5"/>
    <n v="41"/>
    <n v="421.27"/>
    <n v="421.27"/>
  </r>
  <r>
    <s v="ORD_9"/>
    <x v="6"/>
    <s v="North"/>
    <s v="Delhi"/>
    <x v="4"/>
    <x v="2"/>
    <n v="3"/>
    <x v="5"/>
    <n v="36"/>
    <n v="144.38999999999999"/>
    <n v="433.16999999999996"/>
  </r>
  <r>
    <s v="ORD_10"/>
    <x v="7"/>
    <s v="North"/>
    <s v="Delhi"/>
    <x v="4"/>
    <x v="2"/>
    <n v="3"/>
    <x v="3"/>
    <n v="36"/>
    <n v="144.38999999999999"/>
    <n v="433.16999999999996"/>
  </r>
  <r>
    <s v="ORD_11"/>
    <x v="8"/>
    <s v="North"/>
    <s v="Delhi"/>
    <x v="4"/>
    <x v="2"/>
    <n v="2"/>
    <x v="2"/>
    <n v="20"/>
    <n v="233.75"/>
    <n v="467.5"/>
  </r>
  <r>
    <s v="ORD_12"/>
    <x v="8"/>
    <s v="North"/>
    <s v="Delhi"/>
    <x v="4"/>
    <x v="2"/>
    <n v="2"/>
    <x v="1"/>
    <n v="20"/>
    <n v="233.75"/>
    <n v="467.5"/>
  </r>
  <r>
    <s v="ORD_13"/>
    <x v="9"/>
    <s v="West"/>
    <s v="Maharashtra"/>
    <x v="5"/>
    <x v="1"/>
    <n v="1"/>
    <x v="6"/>
    <n v="26"/>
    <n v="568.54999999999995"/>
    <n v="568.54999999999995"/>
  </r>
  <r>
    <s v="ORD_14"/>
    <x v="10"/>
    <s v="South"/>
    <s v="Tamil Nadu"/>
    <x v="6"/>
    <x v="1"/>
    <n v="1"/>
    <x v="0"/>
    <n v="48"/>
    <n v="585.58000000000004"/>
    <n v="585.58000000000004"/>
  </r>
  <r>
    <s v="ORD_15"/>
    <x v="11"/>
    <s v="South"/>
    <s v="Karnataka"/>
    <x v="7"/>
    <x v="3"/>
    <n v="2"/>
    <x v="0"/>
    <n v="18"/>
    <n v="296.52999999999997"/>
    <n v="593.05999999999995"/>
  </r>
  <r>
    <s v="ORD_16"/>
    <x v="12"/>
    <s v="South"/>
    <s v="Tamil Nadu"/>
    <x v="8"/>
    <x v="4"/>
    <n v="1"/>
    <x v="7"/>
    <n v="31"/>
    <n v="632.39"/>
    <n v="632.39"/>
  </r>
  <r>
    <s v="ORD_17"/>
    <x v="12"/>
    <s v="South"/>
    <s v="Tamil Nadu"/>
    <x v="8"/>
    <x v="4"/>
    <n v="1"/>
    <x v="1"/>
    <n v="31"/>
    <n v="632.39"/>
    <n v="632.39"/>
  </r>
  <r>
    <s v="ORD_18"/>
    <x v="13"/>
    <s v="South"/>
    <s v="Tamil Nadu"/>
    <x v="6"/>
    <x v="3"/>
    <n v="1"/>
    <x v="8"/>
    <n v="49"/>
    <n v="648.88"/>
    <n v="648.88"/>
  </r>
  <r>
    <s v="ORD_19"/>
    <x v="14"/>
    <s v="South"/>
    <s v="Tamil Nadu"/>
    <x v="0"/>
    <x v="2"/>
    <n v="1"/>
    <x v="4"/>
    <n v="39"/>
    <n v="696.38"/>
    <n v="696.38"/>
  </r>
  <r>
    <s v="ORD_20"/>
    <x v="15"/>
    <s v="North"/>
    <s v="Delhi"/>
    <x v="4"/>
    <x v="0"/>
    <n v="5"/>
    <x v="3"/>
    <n v="31"/>
    <n v="143.78"/>
    <n v="718.9"/>
  </r>
  <r>
    <s v="ORD_21"/>
    <x v="16"/>
    <s v="West"/>
    <s v="Maharashtra"/>
    <x v="3"/>
    <x v="3"/>
    <n v="3"/>
    <x v="2"/>
    <n v="40"/>
    <n v="264.98"/>
    <n v="794.94"/>
  </r>
  <r>
    <s v="ORD_22"/>
    <x v="17"/>
    <s v="North"/>
    <s v="Delhi"/>
    <x v="4"/>
    <x v="0"/>
    <n v="1"/>
    <x v="6"/>
    <n v="26"/>
    <n v="840.65"/>
    <n v="840.65"/>
  </r>
  <r>
    <s v="ORD_23"/>
    <x v="18"/>
    <s v="West"/>
    <s v="Gujarat"/>
    <x v="1"/>
    <x v="4"/>
    <n v="5"/>
    <x v="2"/>
    <n v="28"/>
    <n v="172.99"/>
    <n v="864.95"/>
  </r>
  <r>
    <s v="ORD_24"/>
    <x v="19"/>
    <s v="South"/>
    <s v="Karnataka"/>
    <x v="2"/>
    <x v="1"/>
    <n v="1"/>
    <x v="6"/>
    <n v="25"/>
    <n v="979.17"/>
    <n v="979.17"/>
  </r>
  <r>
    <s v="ORD_25"/>
    <x v="20"/>
    <s v="West"/>
    <s v="Gujarat"/>
    <x v="9"/>
    <x v="1"/>
    <n v="1"/>
    <x v="5"/>
    <n v="51"/>
    <n v="983.24"/>
    <n v="983.24"/>
  </r>
  <r>
    <s v="ORD_26"/>
    <x v="21"/>
    <s v="North"/>
    <s v="Delhi"/>
    <x v="10"/>
    <x v="2"/>
    <n v="2"/>
    <x v="7"/>
    <n v="31"/>
    <n v="528.62"/>
    <n v="1057.24"/>
  </r>
  <r>
    <s v="ORD_27"/>
    <x v="20"/>
    <s v="West"/>
    <s v="Maharashtra"/>
    <x v="11"/>
    <x v="3"/>
    <n v="6"/>
    <x v="2"/>
    <n v="53"/>
    <n v="177.34"/>
    <n v="1064.04"/>
  </r>
  <r>
    <s v="ORD_28"/>
    <x v="22"/>
    <s v="North"/>
    <s v="Delhi"/>
    <x v="10"/>
    <x v="3"/>
    <n v="5"/>
    <x v="0"/>
    <n v="42"/>
    <n v="214.25"/>
    <n v="1071.25"/>
  </r>
  <r>
    <s v="ORD_29"/>
    <x v="23"/>
    <s v="South"/>
    <s v="Tamil Nadu"/>
    <x v="0"/>
    <x v="0"/>
    <n v="1"/>
    <x v="5"/>
    <n v="53"/>
    <n v="1094.8800000000001"/>
    <n v="1094.8800000000001"/>
  </r>
  <r>
    <s v="ORD_30"/>
    <x v="24"/>
    <s v="South"/>
    <s v="Karnataka"/>
    <x v="2"/>
    <x v="2"/>
    <n v="4"/>
    <x v="8"/>
    <n v="55"/>
    <n v="277.45"/>
    <n v="1109.8"/>
  </r>
  <r>
    <s v="ORD_31"/>
    <x v="25"/>
    <s v="West"/>
    <s v="Gujarat"/>
    <x v="9"/>
    <x v="1"/>
    <n v="3"/>
    <x v="3"/>
    <n v="53"/>
    <n v="403.5"/>
    <n v="1210.5"/>
  </r>
  <r>
    <s v="ORD_32"/>
    <x v="26"/>
    <s v="South"/>
    <s v="Karnataka"/>
    <x v="7"/>
    <x v="2"/>
    <n v="1"/>
    <x v="9"/>
    <n v="39"/>
    <n v="1219.0999999999999"/>
    <n v="1219.0999999999999"/>
  </r>
  <r>
    <s v="ORD_33"/>
    <x v="27"/>
    <s v="South"/>
    <s v="Tamil Nadu"/>
    <x v="6"/>
    <x v="0"/>
    <n v="1"/>
    <x v="1"/>
    <n v="50"/>
    <n v="1239.25"/>
    <n v="1239.25"/>
  </r>
  <r>
    <s v="ORD_34"/>
    <x v="28"/>
    <s v="West"/>
    <s v="Gujarat"/>
    <x v="1"/>
    <x v="0"/>
    <n v="1"/>
    <x v="8"/>
    <n v="27"/>
    <n v="1286.1099999999999"/>
    <n v="1286.1099999999999"/>
  </r>
  <r>
    <s v="ORD_35"/>
    <x v="29"/>
    <s v="South"/>
    <s v="Karnataka"/>
    <x v="12"/>
    <x v="1"/>
    <n v="2"/>
    <x v="3"/>
    <n v="54"/>
    <n v="659.83"/>
    <n v="1319.66"/>
  </r>
  <r>
    <s v="ORD_36"/>
    <x v="30"/>
    <s v="South"/>
    <s v="Tamil Nadu"/>
    <x v="8"/>
    <x v="1"/>
    <n v="1"/>
    <x v="0"/>
    <n v="34"/>
    <n v="1355.14"/>
    <n v="1355.14"/>
  </r>
  <r>
    <s v="ORD_37"/>
    <x v="31"/>
    <s v="North"/>
    <s v="Delhi"/>
    <x v="10"/>
    <x v="3"/>
    <n v="11"/>
    <x v="10"/>
    <n v="32"/>
    <n v="124.03"/>
    <n v="1364.33"/>
  </r>
  <r>
    <s v="ORD_38"/>
    <x v="32"/>
    <s v="South"/>
    <s v="Tamil Nadu"/>
    <x v="0"/>
    <x v="4"/>
    <n v="5"/>
    <x v="1"/>
    <n v="45"/>
    <n v="278.31"/>
    <n v="1391.55"/>
  </r>
  <r>
    <s v="ORD_39"/>
    <x v="33"/>
    <s v="South"/>
    <s v="Karnataka"/>
    <x v="7"/>
    <x v="2"/>
    <n v="3"/>
    <x v="4"/>
    <n v="24"/>
    <n v="468.7"/>
    <n v="1406.1"/>
  </r>
  <r>
    <s v="ORD_40"/>
    <x v="15"/>
    <s v="North"/>
    <s v="Delhi"/>
    <x v="4"/>
    <x v="4"/>
    <n v="1"/>
    <x v="1"/>
    <n v="34"/>
    <n v="1410.8"/>
    <n v="1410.8"/>
  </r>
  <r>
    <s v="ORD_41"/>
    <x v="34"/>
    <s v="South"/>
    <s v="Tamil Nadu"/>
    <x v="0"/>
    <x v="4"/>
    <n v="4"/>
    <x v="8"/>
    <n v="25"/>
    <n v="366.33"/>
    <n v="1465.32"/>
  </r>
  <r>
    <s v="ORD_42"/>
    <x v="35"/>
    <s v="West"/>
    <s v="Maharashtra"/>
    <x v="3"/>
    <x v="3"/>
    <n v="2"/>
    <x v="9"/>
    <n v="46"/>
    <n v="741.33"/>
    <n v="1482.66"/>
  </r>
  <r>
    <s v="ORD_43"/>
    <x v="19"/>
    <s v="West"/>
    <s v="Maharashtra"/>
    <x v="11"/>
    <x v="3"/>
    <n v="1"/>
    <x v="3"/>
    <n v="30"/>
    <n v="1520.22"/>
    <n v="1520.22"/>
  </r>
  <r>
    <s v="ORD_44"/>
    <x v="36"/>
    <s v="South"/>
    <s v="Tamil Nadu"/>
    <x v="0"/>
    <x v="2"/>
    <n v="1"/>
    <x v="3"/>
    <n v="19"/>
    <n v="1520.97"/>
    <n v="1520.97"/>
  </r>
  <r>
    <s v="ORD_45"/>
    <x v="37"/>
    <s v="South"/>
    <s v="Tamil Nadu"/>
    <x v="8"/>
    <x v="1"/>
    <n v="7"/>
    <x v="3"/>
    <n v="45"/>
    <n v="222.61"/>
    <n v="1558.27"/>
  </r>
  <r>
    <s v="ORD_46"/>
    <x v="38"/>
    <s v="South"/>
    <s v="Tamil Nadu"/>
    <x v="0"/>
    <x v="0"/>
    <n v="2"/>
    <x v="10"/>
    <n v="48"/>
    <n v="779.35"/>
    <n v="1558.7"/>
  </r>
  <r>
    <s v="ORD_47"/>
    <x v="39"/>
    <s v="North"/>
    <s v="Delhi"/>
    <x v="13"/>
    <x v="1"/>
    <n v="1"/>
    <x v="0"/>
    <n v="43"/>
    <n v="1591.88"/>
    <n v="1591.88"/>
  </r>
  <r>
    <s v="ORD_48"/>
    <x v="40"/>
    <s v="South"/>
    <s v="Karnataka"/>
    <x v="2"/>
    <x v="2"/>
    <n v="10"/>
    <x v="7"/>
    <n v="31"/>
    <n v="159.27000000000001"/>
    <n v="1592.7"/>
  </r>
  <r>
    <s v="ORD_49"/>
    <x v="41"/>
    <s v="South"/>
    <s v="Tamil Nadu"/>
    <x v="6"/>
    <x v="2"/>
    <n v="11"/>
    <x v="10"/>
    <n v="24"/>
    <n v="146.47"/>
    <n v="1611.17"/>
  </r>
  <r>
    <s v="ORD_50"/>
    <x v="42"/>
    <s v="West"/>
    <s v="Maharashtra"/>
    <x v="5"/>
    <x v="3"/>
    <n v="2"/>
    <x v="3"/>
    <n v="22"/>
    <n v="816.12"/>
    <n v="1632.24"/>
  </r>
  <r>
    <s v="ORD_51"/>
    <x v="43"/>
    <s v="North"/>
    <s v="Delhi"/>
    <x v="4"/>
    <x v="0"/>
    <n v="5"/>
    <x v="4"/>
    <n v="30"/>
    <n v="334.29"/>
    <n v="1671.45"/>
  </r>
  <r>
    <s v="ORD_52"/>
    <x v="44"/>
    <s v="South"/>
    <s v="Tamil Nadu"/>
    <x v="6"/>
    <x v="0"/>
    <n v="4"/>
    <x v="2"/>
    <n v="46"/>
    <n v="430.91"/>
    <n v="1723.64"/>
  </r>
  <r>
    <s v="ORD_53"/>
    <x v="45"/>
    <s v="North"/>
    <s v="Delhi"/>
    <x v="4"/>
    <x v="0"/>
    <n v="4"/>
    <x v="8"/>
    <n v="31"/>
    <n v="431.75"/>
    <n v="1727"/>
  </r>
  <r>
    <s v="ORD_54"/>
    <x v="46"/>
    <s v="North"/>
    <s v="Delhi"/>
    <x v="4"/>
    <x v="2"/>
    <n v="7"/>
    <x v="9"/>
    <n v="48"/>
    <n v="252.75"/>
    <n v="1769.25"/>
  </r>
  <r>
    <s v="ORD_55"/>
    <x v="47"/>
    <s v="North"/>
    <s v="Delhi"/>
    <x v="10"/>
    <x v="2"/>
    <n v="1"/>
    <x v="9"/>
    <n v="18"/>
    <n v="1793.18"/>
    <n v="1793.18"/>
  </r>
  <r>
    <s v="ORD_56"/>
    <x v="14"/>
    <s v="South"/>
    <s v="Karnataka"/>
    <x v="7"/>
    <x v="2"/>
    <n v="9"/>
    <x v="9"/>
    <n v="31"/>
    <n v="203.38"/>
    <n v="1830.42"/>
  </r>
  <r>
    <s v="ORD_57"/>
    <x v="48"/>
    <s v="West"/>
    <s v="Maharashtra"/>
    <x v="11"/>
    <x v="0"/>
    <n v="1"/>
    <x v="9"/>
    <n v="41"/>
    <n v="1889.5"/>
    <n v="1889.5"/>
  </r>
  <r>
    <s v="ORD_58"/>
    <x v="49"/>
    <s v="West"/>
    <s v="Gujarat"/>
    <x v="1"/>
    <x v="4"/>
    <n v="1"/>
    <x v="4"/>
    <n v="46"/>
    <n v="1898.15"/>
    <n v="1898.15"/>
  </r>
  <r>
    <s v="ORD_59"/>
    <x v="50"/>
    <s v="South"/>
    <s v="Karnataka"/>
    <x v="7"/>
    <x v="2"/>
    <n v="8"/>
    <x v="9"/>
    <n v="16"/>
    <n v="244.6"/>
    <n v="1956.8"/>
  </r>
  <r>
    <s v="ORD_60"/>
    <x v="51"/>
    <s v="North"/>
    <s v="Delhi"/>
    <x v="4"/>
    <x v="1"/>
    <n v="1"/>
    <x v="3"/>
    <n v="23"/>
    <n v="1967.8"/>
    <n v="1967.8"/>
  </r>
  <r>
    <s v="ORD_61"/>
    <x v="52"/>
    <s v="West"/>
    <s v="Gujarat"/>
    <x v="9"/>
    <x v="4"/>
    <n v="7"/>
    <x v="0"/>
    <n v="34"/>
    <n v="281.29000000000002"/>
    <n v="1969.0300000000002"/>
  </r>
  <r>
    <s v="ORD_62"/>
    <x v="53"/>
    <s v="North"/>
    <s v="Delhi"/>
    <x v="13"/>
    <x v="0"/>
    <n v="1"/>
    <x v="1"/>
    <n v="52"/>
    <n v="1981.82"/>
    <n v="1981.82"/>
  </r>
  <r>
    <s v="ORD_63"/>
    <x v="54"/>
    <s v="West"/>
    <s v="Maharashtra"/>
    <x v="11"/>
    <x v="0"/>
    <n v="1"/>
    <x v="7"/>
    <n v="45"/>
    <n v="1999.98"/>
    <n v="1999.98"/>
  </r>
  <r>
    <s v="ORD_64"/>
    <x v="55"/>
    <s v="South"/>
    <s v="Karnataka"/>
    <x v="12"/>
    <x v="2"/>
    <n v="9"/>
    <x v="8"/>
    <n v="52"/>
    <n v="228.49"/>
    <n v="2056.41"/>
  </r>
  <r>
    <s v="ORD_65"/>
    <x v="56"/>
    <s v="South"/>
    <s v="Tamil Nadu"/>
    <x v="8"/>
    <x v="3"/>
    <n v="7"/>
    <x v="4"/>
    <n v="34"/>
    <n v="299.68"/>
    <n v="2097.7600000000002"/>
  </r>
  <r>
    <s v="ORD_66"/>
    <x v="57"/>
    <s v="South"/>
    <s v="Karnataka"/>
    <x v="7"/>
    <x v="3"/>
    <n v="2"/>
    <x v="4"/>
    <n v="34"/>
    <n v="1063.3499999999999"/>
    <n v="2126.6999999999998"/>
  </r>
  <r>
    <s v="ORD_67"/>
    <x v="58"/>
    <s v="North"/>
    <s v="Delhi"/>
    <x v="10"/>
    <x v="0"/>
    <n v="5"/>
    <x v="7"/>
    <n v="24"/>
    <n v="438.69"/>
    <n v="2193.4499999999998"/>
  </r>
  <r>
    <s v="ORD_68"/>
    <x v="32"/>
    <s v="South"/>
    <s v="Karnataka"/>
    <x v="7"/>
    <x v="4"/>
    <n v="10"/>
    <x v="2"/>
    <n v="20"/>
    <n v="222.55"/>
    <n v="2225.5"/>
  </r>
  <r>
    <s v="ORD_69"/>
    <x v="59"/>
    <s v="West"/>
    <s v="Gujarat"/>
    <x v="9"/>
    <x v="3"/>
    <n v="12"/>
    <x v="4"/>
    <n v="44"/>
    <n v="186.62"/>
    <n v="2239.44"/>
  </r>
  <r>
    <s v="ORD_70"/>
    <x v="60"/>
    <s v="West"/>
    <s v="Gujarat"/>
    <x v="14"/>
    <x v="4"/>
    <n v="8"/>
    <x v="8"/>
    <n v="17"/>
    <n v="285.94"/>
    <n v="2287.52"/>
  </r>
  <r>
    <s v="ORD_71"/>
    <x v="61"/>
    <s v="West"/>
    <s v="Gujarat"/>
    <x v="14"/>
    <x v="4"/>
    <n v="8"/>
    <x v="9"/>
    <n v="17"/>
    <n v="285.94"/>
    <n v="2287.52"/>
  </r>
  <r>
    <s v="ORD_72"/>
    <x v="62"/>
    <s v="South"/>
    <s v="Karnataka"/>
    <x v="7"/>
    <x v="1"/>
    <n v="3"/>
    <x v="9"/>
    <n v="53"/>
    <n v="772.21"/>
    <n v="2316.63"/>
  </r>
  <r>
    <s v="ORD_73"/>
    <x v="63"/>
    <s v="West"/>
    <s v="Maharashtra"/>
    <x v="11"/>
    <x v="4"/>
    <n v="11"/>
    <x v="5"/>
    <n v="23"/>
    <n v="212.86"/>
    <n v="2341.46"/>
  </r>
  <r>
    <s v="ORD_74"/>
    <x v="64"/>
    <s v="South"/>
    <s v="Karnataka"/>
    <x v="12"/>
    <x v="3"/>
    <n v="5"/>
    <x v="7"/>
    <n v="54"/>
    <n v="491.78"/>
    <n v="2458.8999999999996"/>
  </r>
  <r>
    <s v="ORD_75"/>
    <x v="65"/>
    <s v="North"/>
    <s v="Delhi"/>
    <x v="13"/>
    <x v="2"/>
    <n v="1"/>
    <x v="2"/>
    <n v="49"/>
    <n v="2466.0100000000002"/>
    <n v="2466.0100000000002"/>
  </r>
  <r>
    <s v="ORD_76"/>
    <x v="66"/>
    <s v="South"/>
    <s v="Tamil Nadu"/>
    <x v="6"/>
    <x v="1"/>
    <n v="8"/>
    <x v="9"/>
    <n v="25"/>
    <n v="308.68"/>
    <n v="2469.44"/>
  </r>
  <r>
    <s v="ORD_77"/>
    <x v="49"/>
    <s v="North"/>
    <s v="Delhi"/>
    <x v="10"/>
    <x v="4"/>
    <n v="1"/>
    <x v="6"/>
    <n v="25"/>
    <n v="2489.17"/>
    <n v="2489.17"/>
  </r>
  <r>
    <s v="ORD_78"/>
    <x v="67"/>
    <s v="West"/>
    <s v="Maharashtra"/>
    <x v="11"/>
    <x v="2"/>
    <n v="1"/>
    <x v="7"/>
    <n v="27"/>
    <n v="2517.3200000000002"/>
    <n v="2517.3200000000002"/>
  </r>
  <r>
    <s v="ORD_79"/>
    <x v="68"/>
    <s v="North"/>
    <s v="Delhi"/>
    <x v="10"/>
    <x v="0"/>
    <n v="8"/>
    <x v="6"/>
    <n v="50"/>
    <n v="315"/>
    <n v="2520"/>
  </r>
  <r>
    <s v="ORD_80"/>
    <x v="69"/>
    <s v="South"/>
    <s v="Tamil Nadu"/>
    <x v="0"/>
    <x v="3"/>
    <n v="4"/>
    <x v="3"/>
    <n v="54"/>
    <n v="637.89"/>
    <n v="2551.56"/>
  </r>
  <r>
    <s v="ORD_81"/>
    <x v="70"/>
    <s v="South"/>
    <s v="Tamil Nadu"/>
    <x v="0"/>
    <x v="1"/>
    <n v="15"/>
    <x v="4"/>
    <n v="42"/>
    <n v="170.6"/>
    <n v="2559"/>
  </r>
  <r>
    <s v="ORD_82"/>
    <x v="71"/>
    <s v="West"/>
    <s v="Gujarat"/>
    <x v="9"/>
    <x v="1"/>
    <n v="1"/>
    <x v="4"/>
    <n v="18"/>
    <n v="2571.59"/>
    <n v="2571.59"/>
  </r>
  <r>
    <s v="ORD_83"/>
    <x v="37"/>
    <s v="West"/>
    <s v="Gujarat"/>
    <x v="9"/>
    <x v="4"/>
    <n v="2"/>
    <x v="4"/>
    <n v="54"/>
    <n v="1316.79"/>
    <n v="2633.58"/>
  </r>
  <r>
    <s v="ORD_84"/>
    <x v="72"/>
    <s v="North"/>
    <s v="Delhi"/>
    <x v="10"/>
    <x v="4"/>
    <n v="14"/>
    <x v="4"/>
    <n v="43"/>
    <n v="188.94"/>
    <n v="2645.16"/>
  </r>
  <r>
    <s v="ORD_85"/>
    <x v="73"/>
    <s v="West"/>
    <s v="Gujarat"/>
    <x v="1"/>
    <x v="1"/>
    <n v="3"/>
    <x v="7"/>
    <n v="41"/>
    <n v="884.5"/>
    <n v="2653.5"/>
  </r>
  <r>
    <s v="ORD_86"/>
    <x v="74"/>
    <s v="South"/>
    <s v="Tamil Nadu"/>
    <x v="8"/>
    <x v="3"/>
    <n v="1"/>
    <x v="10"/>
    <n v="37"/>
    <n v="2664.84"/>
    <n v="2664.84"/>
  </r>
  <r>
    <s v="ORD_87"/>
    <x v="25"/>
    <s v="South"/>
    <s v="Karnataka"/>
    <x v="12"/>
    <x v="1"/>
    <n v="1"/>
    <x v="6"/>
    <n v="36"/>
    <n v="2710.27"/>
    <n v="2710.27"/>
  </r>
  <r>
    <s v="ORD_88"/>
    <x v="75"/>
    <s v="North"/>
    <s v="Delhi"/>
    <x v="13"/>
    <x v="2"/>
    <n v="12"/>
    <x v="6"/>
    <n v="41"/>
    <n v="225.88"/>
    <n v="2710.56"/>
  </r>
  <r>
    <s v="ORD_89"/>
    <x v="76"/>
    <s v="West"/>
    <s v="Gujarat"/>
    <x v="14"/>
    <x v="2"/>
    <n v="1"/>
    <x v="6"/>
    <n v="23"/>
    <n v="2716.98"/>
    <n v="2716.98"/>
  </r>
  <r>
    <s v="ORD_90"/>
    <x v="77"/>
    <s v="West"/>
    <s v="Maharashtra"/>
    <x v="3"/>
    <x v="2"/>
    <n v="7"/>
    <x v="3"/>
    <n v="27"/>
    <n v="392.9"/>
    <n v="2750.2999999999997"/>
  </r>
  <r>
    <s v="ORD_91"/>
    <x v="78"/>
    <s v="West"/>
    <s v="Maharashtra"/>
    <x v="5"/>
    <x v="4"/>
    <n v="2"/>
    <x v="6"/>
    <n v="45"/>
    <n v="1377.64"/>
    <n v="2755.28"/>
  </r>
  <r>
    <s v="ORD_92"/>
    <x v="79"/>
    <s v="North"/>
    <s v="Delhi"/>
    <x v="10"/>
    <x v="4"/>
    <n v="4"/>
    <x v="10"/>
    <n v="45"/>
    <n v="700.07"/>
    <n v="2800.28"/>
  </r>
  <r>
    <s v="ORD_93"/>
    <x v="80"/>
    <s v="West"/>
    <s v="Gujarat"/>
    <x v="1"/>
    <x v="0"/>
    <n v="11"/>
    <x v="5"/>
    <n v="50"/>
    <n v="255.3"/>
    <n v="2808.3"/>
  </r>
  <r>
    <s v="ORD_94"/>
    <x v="54"/>
    <s v="West"/>
    <s v="Gujarat"/>
    <x v="1"/>
    <x v="3"/>
    <n v="11"/>
    <x v="10"/>
    <n v="50"/>
    <n v="255.3"/>
    <n v="2808.3"/>
  </r>
  <r>
    <s v="ORD_95"/>
    <x v="81"/>
    <s v="South"/>
    <s v="Tamil Nadu"/>
    <x v="6"/>
    <x v="1"/>
    <n v="3"/>
    <x v="10"/>
    <n v="52"/>
    <n v="938.33"/>
    <n v="2814.9900000000002"/>
  </r>
  <r>
    <s v="ORD_96"/>
    <x v="82"/>
    <s v="South"/>
    <s v="Karnataka"/>
    <x v="12"/>
    <x v="3"/>
    <n v="7"/>
    <x v="1"/>
    <n v="24"/>
    <n v="410.28"/>
    <n v="2871.96"/>
  </r>
  <r>
    <s v="ORD_97"/>
    <x v="83"/>
    <s v="South"/>
    <s v="Karnataka"/>
    <x v="7"/>
    <x v="4"/>
    <n v="4"/>
    <x v="4"/>
    <n v="45"/>
    <n v="722.05"/>
    <n v="2888.2"/>
  </r>
  <r>
    <s v="ORD_98"/>
    <x v="34"/>
    <s v="South"/>
    <s v="Tamil Nadu"/>
    <x v="8"/>
    <x v="0"/>
    <n v="6"/>
    <x v="7"/>
    <n v="55"/>
    <n v="484.95"/>
    <n v="2909.7"/>
  </r>
  <r>
    <s v="ORD_99"/>
    <x v="84"/>
    <s v="South"/>
    <s v="Karnataka"/>
    <x v="2"/>
    <x v="3"/>
    <n v="11"/>
    <x v="8"/>
    <n v="37"/>
    <n v="268.13"/>
    <n v="2949.43"/>
  </r>
  <r>
    <s v="ORD_100"/>
    <x v="85"/>
    <s v="South"/>
    <s v="Karnataka"/>
    <x v="7"/>
    <x v="1"/>
    <n v="8"/>
    <x v="9"/>
    <n v="16"/>
    <n v="372.22"/>
    <n v="2977.76"/>
  </r>
  <r>
    <s v="ORD_101"/>
    <x v="86"/>
    <s v="South"/>
    <s v="Karnataka"/>
    <x v="2"/>
    <x v="2"/>
    <n v="1"/>
    <x v="0"/>
    <n v="33"/>
    <n v="3042.8"/>
    <n v="3042.8"/>
  </r>
  <r>
    <s v="ORD_102"/>
    <x v="87"/>
    <s v="West"/>
    <s v="Maharashtra"/>
    <x v="5"/>
    <x v="4"/>
    <n v="1"/>
    <x v="6"/>
    <n v="35"/>
    <n v="3059.01"/>
    <n v="3059.01"/>
  </r>
  <r>
    <s v="ORD_103"/>
    <x v="88"/>
    <s v="West"/>
    <s v="Gujarat"/>
    <x v="1"/>
    <x v="1"/>
    <n v="12"/>
    <x v="4"/>
    <n v="22"/>
    <n v="255.59"/>
    <n v="3067.08"/>
  </r>
  <r>
    <s v="ORD_104"/>
    <x v="89"/>
    <s v="South"/>
    <s v="Karnataka"/>
    <x v="12"/>
    <x v="0"/>
    <n v="3"/>
    <x v="9"/>
    <n v="48"/>
    <n v="1043.3900000000001"/>
    <n v="3130.17"/>
  </r>
  <r>
    <s v="ORD_105"/>
    <x v="90"/>
    <s v="South"/>
    <s v="Tamil Nadu"/>
    <x v="8"/>
    <x v="4"/>
    <n v="3"/>
    <x v="7"/>
    <n v="20"/>
    <n v="1046.06"/>
    <n v="3138.18"/>
  </r>
  <r>
    <s v="ORD_106"/>
    <x v="38"/>
    <s v="South"/>
    <s v="Tamil Nadu"/>
    <x v="0"/>
    <x v="3"/>
    <n v="2"/>
    <x v="7"/>
    <n v="42"/>
    <n v="1582.65"/>
    <n v="3165.3"/>
  </r>
  <r>
    <s v="ORD_107"/>
    <x v="91"/>
    <s v="North"/>
    <s v="Delhi"/>
    <x v="13"/>
    <x v="2"/>
    <n v="16"/>
    <x v="9"/>
    <n v="35"/>
    <n v="199.87"/>
    <n v="3197.92"/>
  </r>
  <r>
    <s v="ORD_108"/>
    <x v="92"/>
    <s v="South"/>
    <s v="Tamil Nadu"/>
    <x v="6"/>
    <x v="0"/>
    <n v="3"/>
    <x v="0"/>
    <n v="35"/>
    <n v="1076.57"/>
    <n v="3229.71"/>
  </r>
  <r>
    <s v="ORD_109"/>
    <x v="93"/>
    <s v="West"/>
    <s v="Gujarat"/>
    <x v="9"/>
    <x v="2"/>
    <n v="2"/>
    <x v="6"/>
    <n v="28"/>
    <n v="1673.1"/>
    <n v="3346.2"/>
  </r>
  <r>
    <s v="ORD_110"/>
    <x v="94"/>
    <s v="South"/>
    <s v="Karnataka"/>
    <x v="12"/>
    <x v="4"/>
    <n v="1"/>
    <x v="5"/>
    <n v="51"/>
    <n v="3374.31"/>
    <n v="3374.31"/>
  </r>
  <r>
    <s v="ORD_111"/>
    <x v="95"/>
    <s v="West"/>
    <s v="Gujarat"/>
    <x v="14"/>
    <x v="0"/>
    <n v="3"/>
    <x v="10"/>
    <n v="48"/>
    <n v="1129.83"/>
    <n v="3389.49"/>
  </r>
  <r>
    <s v="ORD_112"/>
    <x v="96"/>
    <s v="West"/>
    <s v="Maharashtra"/>
    <x v="3"/>
    <x v="4"/>
    <n v="2"/>
    <x v="10"/>
    <n v="27"/>
    <n v="1695.6"/>
    <n v="3391.2"/>
  </r>
  <r>
    <s v="ORD_113"/>
    <x v="97"/>
    <s v="West"/>
    <s v="Maharashtra"/>
    <x v="3"/>
    <x v="2"/>
    <n v="12"/>
    <x v="4"/>
    <n v="49"/>
    <n v="283.86"/>
    <n v="3406.32"/>
  </r>
  <r>
    <s v="ORD_114"/>
    <x v="78"/>
    <s v="South"/>
    <s v="Karnataka"/>
    <x v="12"/>
    <x v="4"/>
    <n v="3"/>
    <x v="3"/>
    <n v="28"/>
    <n v="1139.5899999999999"/>
    <n v="3418.7699999999995"/>
  </r>
  <r>
    <s v="ORD_115"/>
    <x v="98"/>
    <s v="West"/>
    <s v="Maharashtra"/>
    <x v="11"/>
    <x v="2"/>
    <n v="19"/>
    <x v="9"/>
    <n v="41"/>
    <n v="182.01"/>
    <n v="3458.1899999999996"/>
  </r>
  <r>
    <s v="ORD_116"/>
    <x v="20"/>
    <s v="West"/>
    <s v="Maharashtra"/>
    <x v="11"/>
    <x v="0"/>
    <n v="1"/>
    <x v="7"/>
    <n v="50"/>
    <n v="3459.33"/>
    <n v="3459.33"/>
  </r>
  <r>
    <s v="ORD_117"/>
    <x v="45"/>
    <s v="South"/>
    <s v="Tamil Nadu"/>
    <x v="6"/>
    <x v="0"/>
    <n v="5"/>
    <x v="4"/>
    <n v="24"/>
    <n v="695.3"/>
    <n v="3476.5"/>
  </r>
  <r>
    <s v="ORD_118"/>
    <x v="3"/>
    <s v="West"/>
    <s v="Gujarat"/>
    <x v="14"/>
    <x v="1"/>
    <n v="5"/>
    <x v="6"/>
    <n v="33"/>
    <n v="714.68"/>
    <n v="3573.3999999999996"/>
  </r>
  <r>
    <s v="ORD_119"/>
    <x v="99"/>
    <s v="South"/>
    <s v="Tamil Nadu"/>
    <x v="0"/>
    <x v="2"/>
    <n v="3"/>
    <x v="9"/>
    <n v="49"/>
    <n v="1205.6199999999999"/>
    <n v="3616.8599999999997"/>
  </r>
  <r>
    <s v="ORD_120"/>
    <x v="100"/>
    <s v="South"/>
    <s v="Karnataka"/>
    <x v="7"/>
    <x v="2"/>
    <n v="2"/>
    <x v="7"/>
    <n v="54"/>
    <n v="1827.28"/>
    <n v="3654.56"/>
  </r>
  <r>
    <s v="ORD_121"/>
    <x v="90"/>
    <s v="West"/>
    <s v="Gujarat"/>
    <x v="14"/>
    <x v="2"/>
    <n v="1"/>
    <x v="9"/>
    <n v="50"/>
    <n v="3658.84"/>
    <n v="3658.84"/>
  </r>
  <r>
    <s v="ORD_122"/>
    <x v="101"/>
    <s v="West"/>
    <s v="Maharashtra"/>
    <x v="3"/>
    <x v="2"/>
    <n v="11"/>
    <x v="9"/>
    <n v="28"/>
    <n v="335.31"/>
    <n v="3688.41"/>
  </r>
  <r>
    <s v="ORD_123"/>
    <x v="102"/>
    <s v="West"/>
    <s v="Maharashtra"/>
    <x v="11"/>
    <x v="0"/>
    <n v="1"/>
    <x v="5"/>
    <n v="45"/>
    <n v="3698.2"/>
    <n v="3698.2"/>
  </r>
  <r>
    <s v="ORD_124"/>
    <x v="103"/>
    <s v="South"/>
    <s v="Tamil Nadu"/>
    <x v="8"/>
    <x v="4"/>
    <n v="14"/>
    <x v="3"/>
    <n v="41"/>
    <n v="264.60000000000002"/>
    <n v="3704.4000000000005"/>
  </r>
  <r>
    <s v="ORD_125"/>
    <x v="42"/>
    <s v="South"/>
    <s v="Tamil Nadu"/>
    <x v="8"/>
    <x v="4"/>
    <n v="1"/>
    <x v="6"/>
    <n v="38"/>
    <n v="3734.74"/>
    <n v="3734.74"/>
  </r>
  <r>
    <s v="ORD_126"/>
    <x v="104"/>
    <s v="North"/>
    <s v="Delhi"/>
    <x v="10"/>
    <x v="4"/>
    <n v="10"/>
    <x v="9"/>
    <n v="30"/>
    <n v="373.54"/>
    <n v="3735.4"/>
  </r>
  <r>
    <s v="ORD_127"/>
    <x v="71"/>
    <s v="South"/>
    <s v="Karnataka"/>
    <x v="2"/>
    <x v="3"/>
    <n v="1"/>
    <x v="2"/>
    <n v="49"/>
    <n v="3754.28"/>
    <n v="3754.28"/>
  </r>
  <r>
    <s v="ORD_128"/>
    <x v="105"/>
    <s v="South"/>
    <s v="Karnataka"/>
    <x v="2"/>
    <x v="0"/>
    <n v="2"/>
    <x v="5"/>
    <n v="35"/>
    <n v="1888.47"/>
    <n v="3776.94"/>
  </r>
  <r>
    <s v="ORD_129"/>
    <x v="106"/>
    <s v="North"/>
    <s v="Delhi"/>
    <x v="13"/>
    <x v="3"/>
    <n v="1"/>
    <x v="3"/>
    <n v="35"/>
    <n v="3781.47"/>
    <n v="3781.47"/>
  </r>
  <r>
    <s v="ORD_130"/>
    <x v="107"/>
    <s v="North"/>
    <s v="Delhi"/>
    <x v="4"/>
    <x v="4"/>
    <n v="4"/>
    <x v="8"/>
    <n v="28"/>
    <n v="961.38"/>
    <n v="3845.52"/>
  </r>
  <r>
    <s v="ORD_131"/>
    <x v="108"/>
    <s v="North"/>
    <s v="Delhi"/>
    <x v="4"/>
    <x v="4"/>
    <n v="4"/>
    <x v="9"/>
    <n v="28"/>
    <n v="961.38"/>
    <n v="3845.52"/>
  </r>
  <r>
    <s v="ORD_132"/>
    <x v="109"/>
    <s v="West"/>
    <s v="Maharashtra"/>
    <x v="5"/>
    <x v="2"/>
    <n v="1"/>
    <x v="0"/>
    <n v="34"/>
    <n v="3847.65"/>
    <n v="3847.65"/>
  </r>
  <r>
    <s v="ORD_133"/>
    <x v="9"/>
    <s v="West"/>
    <s v="Gujarat"/>
    <x v="14"/>
    <x v="1"/>
    <n v="2"/>
    <x v="1"/>
    <n v="49"/>
    <n v="1971"/>
    <n v="3942"/>
  </r>
  <r>
    <s v="ORD_134"/>
    <x v="110"/>
    <s v="South"/>
    <s v="Karnataka"/>
    <x v="7"/>
    <x v="2"/>
    <n v="1"/>
    <x v="5"/>
    <n v="20"/>
    <n v="3964.08"/>
    <n v="3964.08"/>
  </r>
  <r>
    <s v="ORD_135"/>
    <x v="111"/>
    <s v="South"/>
    <s v="Tamil Nadu"/>
    <x v="6"/>
    <x v="0"/>
    <n v="1"/>
    <x v="10"/>
    <n v="43"/>
    <n v="3964.37"/>
    <n v="3964.37"/>
  </r>
  <r>
    <s v="ORD_136"/>
    <x v="112"/>
    <s v="South"/>
    <s v="Tamil Nadu"/>
    <x v="8"/>
    <x v="1"/>
    <n v="2"/>
    <x v="8"/>
    <n v="16"/>
    <n v="1983.93"/>
    <n v="3967.86"/>
  </r>
  <r>
    <s v="ORD_137"/>
    <x v="113"/>
    <s v="South"/>
    <s v="Tamil Nadu"/>
    <x v="8"/>
    <x v="1"/>
    <n v="2"/>
    <x v="9"/>
    <n v="16"/>
    <n v="1983.93"/>
    <n v="3967.86"/>
  </r>
  <r>
    <s v="ORD_138"/>
    <x v="47"/>
    <s v="West"/>
    <s v="Gujarat"/>
    <x v="1"/>
    <x v="0"/>
    <n v="14"/>
    <x v="9"/>
    <n v="31"/>
    <n v="283.7"/>
    <n v="3971.7999999999997"/>
  </r>
  <r>
    <s v="ORD_139"/>
    <x v="114"/>
    <s v="West"/>
    <s v="Maharashtra"/>
    <x v="5"/>
    <x v="0"/>
    <n v="5"/>
    <x v="9"/>
    <n v="32"/>
    <n v="800.88"/>
    <n v="4004.4"/>
  </r>
  <r>
    <s v="ORD_140"/>
    <x v="115"/>
    <s v="North"/>
    <s v="Delhi"/>
    <x v="4"/>
    <x v="1"/>
    <n v="4"/>
    <x v="7"/>
    <n v="42"/>
    <n v="1020.23"/>
    <n v="4080.92"/>
  </r>
  <r>
    <s v="ORD_141"/>
    <x v="116"/>
    <s v="North"/>
    <s v="Delhi"/>
    <x v="4"/>
    <x v="1"/>
    <n v="4"/>
    <x v="4"/>
    <n v="42"/>
    <n v="1020.23"/>
    <n v="4080.92"/>
  </r>
  <r>
    <s v="ORD_142"/>
    <x v="117"/>
    <s v="North"/>
    <s v="Delhi"/>
    <x v="4"/>
    <x v="3"/>
    <n v="9"/>
    <x v="4"/>
    <n v="19"/>
    <n v="455.98"/>
    <n v="4103.82"/>
  </r>
  <r>
    <s v="ORD_143"/>
    <x v="118"/>
    <s v="West"/>
    <s v="Gujarat"/>
    <x v="14"/>
    <x v="1"/>
    <n v="4"/>
    <x v="0"/>
    <n v="46"/>
    <n v="1027.32"/>
    <n v="4109.28"/>
  </r>
  <r>
    <s v="ORD_144"/>
    <x v="103"/>
    <s v="West"/>
    <s v="Gujarat"/>
    <x v="14"/>
    <x v="4"/>
    <n v="1"/>
    <x v="2"/>
    <n v="51"/>
    <n v="4117.97"/>
    <n v="4117.97"/>
  </r>
  <r>
    <s v="ORD_145"/>
    <x v="52"/>
    <s v="West"/>
    <s v="Maharashtra"/>
    <x v="5"/>
    <x v="1"/>
    <n v="6"/>
    <x v="9"/>
    <n v="44"/>
    <n v="686.38"/>
    <n v="4118.28"/>
  </r>
  <r>
    <s v="ORD_146"/>
    <x v="119"/>
    <s v="North"/>
    <s v="Delhi"/>
    <x v="13"/>
    <x v="1"/>
    <n v="11"/>
    <x v="1"/>
    <n v="49"/>
    <n v="377.1"/>
    <n v="4148.1000000000004"/>
  </r>
  <r>
    <s v="ORD_147"/>
    <x v="120"/>
    <s v="South"/>
    <s v="Karnataka"/>
    <x v="7"/>
    <x v="2"/>
    <n v="2"/>
    <x v="0"/>
    <n v="21"/>
    <n v="2087.14"/>
    <n v="4174.28"/>
  </r>
  <r>
    <s v="ORD_148"/>
    <x v="121"/>
    <s v="West"/>
    <s v="Gujarat"/>
    <x v="1"/>
    <x v="0"/>
    <n v="14"/>
    <x v="0"/>
    <n v="51"/>
    <n v="298.99"/>
    <n v="4185.8600000000006"/>
  </r>
  <r>
    <s v="ORD_149"/>
    <x v="74"/>
    <s v="North"/>
    <s v="Delhi"/>
    <x v="13"/>
    <x v="1"/>
    <n v="2"/>
    <x v="8"/>
    <n v="50"/>
    <n v="2119.5100000000002"/>
    <n v="4239.0200000000004"/>
  </r>
  <r>
    <s v="ORD_150"/>
    <x v="85"/>
    <s v="South"/>
    <s v="Karnataka"/>
    <x v="12"/>
    <x v="3"/>
    <n v="10"/>
    <x v="4"/>
    <n v="45"/>
    <n v="429.69"/>
    <n v="4296.8999999999996"/>
  </r>
  <r>
    <s v="ORD_151"/>
    <x v="85"/>
    <s v="West"/>
    <s v="Maharashtra"/>
    <x v="5"/>
    <x v="0"/>
    <n v="4"/>
    <x v="6"/>
    <n v="40"/>
    <n v="1080.1600000000001"/>
    <n v="4320.6400000000003"/>
  </r>
  <r>
    <s v="ORD_152"/>
    <x v="122"/>
    <s v="West"/>
    <s v="Gujarat"/>
    <x v="9"/>
    <x v="3"/>
    <n v="2"/>
    <x v="4"/>
    <n v="46"/>
    <n v="2171.79"/>
    <n v="4343.58"/>
  </r>
  <r>
    <s v="ORD_153"/>
    <x v="123"/>
    <s v="West"/>
    <s v="Gujarat"/>
    <x v="1"/>
    <x v="0"/>
    <n v="5"/>
    <x v="4"/>
    <n v="36"/>
    <n v="877.62"/>
    <n v="4388.1000000000004"/>
  </r>
  <r>
    <s v="ORD_154"/>
    <x v="124"/>
    <s v="West"/>
    <s v="Gujarat"/>
    <x v="14"/>
    <x v="0"/>
    <n v="5"/>
    <x v="0"/>
    <n v="52"/>
    <n v="879.82"/>
    <n v="4399.1000000000004"/>
  </r>
  <r>
    <s v="ORD_155"/>
    <x v="125"/>
    <s v="West"/>
    <s v="Maharashtra"/>
    <x v="5"/>
    <x v="4"/>
    <n v="9"/>
    <x v="0"/>
    <n v="21"/>
    <n v="489.27"/>
    <n v="4403.43"/>
  </r>
  <r>
    <s v="ORD_156"/>
    <x v="126"/>
    <s v="West"/>
    <s v="Maharashtra"/>
    <x v="5"/>
    <x v="4"/>
    <n v="9"/>
    <x v="0"/>
    <n v="21"/>
    <n v="489.27"/>
    <n v="4403.43"/>
  </r>
  <r>
    <s v="ORD_157"/>
    <x v="127"/>
    <s v="South"/>
    <s v="Tamil Nadu"/>
    <x v="8"/>
    <x v="1"/>
    <n v="9"/>
    <x v="1"/>
    <n v="20"/>
    <n v="491.64"/>
    <n v="4424.76"/>
  </r>
  <r>
    <s v="ORD_158"/>
    <x v="20"/>
    <s v="South"/>
    <s v="Karnataka"/>
    <x v="12"/>
    <x v="3"/>
    <n v="7"/>
    <x v="7"/>
    <n v="55"/>
    <n v="633.15"/>
    <n v="4432.05"/>
  </r>
  <r>
    <s v="ORD_159"/>
    <x v="54"/>
    <s v="South"/>
    <s v="Tamil Nadu"/>
    <x v="8"/>
    <x v="2"/>
    <n v="1"/>
    <x v="1"/>
    <n v="22"/>
    <n v="4443.22"/>
    <n v="4443.22"/>
  </r>
  <r>
    <s v="ORD_160"/>
    <x v="128"/>
    <s v="West"/>
    <s v="Gujarat"/>
    <x v="1"/>
    <x v="0"/>
    <n v="6"/>
    <x v="8"/>
    <n v="42"/>
    <n v="744.85"/>
    <n v="4469.1000000000004"/>
  </r>
  <r>
    <s v="ORD_161"/>
    <x v="44"/>
    <s v="West"/>
    <s v="Gujarat"/>
    <x v="1"/>
    <x v="3"/>
    <n v="2"/>
    <x v="4"/>
    <n v="33"/>
    <n v="2238.46"/>
    <n v="4476.92"/>
  </r>
  <r>
    <s v="ORD_162"/>
    <x v="101"/>
    <s v="South"/>
    <s v="Tamil Nadu"/>
    <x v="0"/>
    <x v="4"/>
    <n v="8"/>
    <x v="8"/>
    <n v="54"/>
    <n v="562.98"/>
    <n v="4503.84"/>
  </r>
  <r>
    <s v="ORD_163"/>
    <x v="11"/>
    <s v="North"/>
    <s v="Delhi"/>
    <x v="13"/>
    <x v="3"/>
    <n v="1"/>
    <x v="6"/>
    <n v="55"/>
    <n v="4511.88"/>
    <n v="4511.88"/>
  </r>
  <r>
    <s v="ORD_164"/>
    <x v="129"/>
    <s v="North"/>
    <s v="Delhi"/>
    <x v="13"/>
    <x v="1"/>
    <n v="4"/>
    <x v="9"/>
    <n v="50"/>
    <n v="1128.8900000000001"/>
    <n v="4515.5600000000004"/>
  </r>
  <r>
    <s v="ORD_165"/>
    <x v="130"/>
    <s v="West"/>
    <s v="Gujarat"/>
    <x v="9"/>
    <x v="2"/>
    <n v="1"/>
    <x v="4"/>
    <n v="39"/>
    <n v="4557.0600000000004"/>
    <n v="4557.0600000000004"/>
  </r>
  <r>
    <s v="ORD_166"/>
    <x v="131"/>
    <s v="West"/>
    <s v="Gujarat"/>
    <x v="9"/>
    <x v="2"/>
    <n v="1"/>
    <x v="4"/>
    <n v="39"/>
    <n v="4557.0600000000004"/>
    <n v="4557.0600000000004"/>
  </r>
  <r>
    <s v="ORD_167"/>
    <x v="132"/>
    <s v="North"/>
    <s v="Delhi"/>
    <x v="10"/>
    <x v="1"/>
    <n v="5"/>
    <x v="0"/>
    <n v="33"/>
    <n v="912.33"/>
    <n v="4561.6500000000005"/>
  </r>
  <r>
    <s v="ORD_168"/>
    <x v="133"/>
    <s v="South"/>
    <s v="Karnataka"/>
    <x v="7"/>
    <x v="1"/>
    <n v="2"/>
    <x v="7"/>
    <n v="33"/>
    <n v="2287.09"/>
    <n v="4574.18"/>
  </r>
  <r>
    <s v="ORD_169"/>
    <x v="134"/>
    <s v="South"/>
    <s v="Karnataka"/>
    <x v="7"/>
    <x v="1"/>
    <n v="2"/>
    <x v="4"/>
    <n v="33"/>
    <n v="2287.09"/>
    <n v="4574.18"/>
  </r>
  <r>
    <s v="ORD_170"/>
    <x v="135"/>
    <s v="South"/>
    <s v="Karnataka"/>
    <x v="12"/>
    <x v="0"/>
    <n v="17"/>
    <x v="9"/>
    <n v="22"/>
    <n v="269.7"/>
    <n v="4584.8999999999996"/>
  </r>
  <r>
    <s v="ORD_171"/>
    <x v="136"/>
    <s v="North"/>
    <s v="Delhi"/>
    <x v="4"/>
    <x v="1"/>
    <n v="4"/>
    <x v="6"/>
    <n v="22"/>
    <n v="1147.06"/>
    <n v="4588.24"/>
  </r>
  <r>
    <s v="ORD_172"/>
    <x v="137"/>
    <s v="West"/>
    <s v="Maharashtra"/>
    <x v="3"/>
    <x v="3"/>
    <n v="1"/>
    <x v="5"/>
    <n v="52"/>
    <n v="4640.17"/>
    <n v="4640.17"/>
  </r>
  <r>
    <s v="ORD_173"/>
    <x v="5"/>
    <s v="South"/>
    <s v="Karnataka"/>
    <x v="7"/>
    <x v="1"/>
    <n v="9"/>
    <x v="3"/>
    <n v="23"/>
    <n v="515.97"/>
    <n v="4643.7300000000005"/>
  </r>
  <r>
    <s v="ORD_174"/>
    <x v="138"/>
    <s v="West"/>
    <s v="Maharashtra"/>
    <x v="3"/>
    <x v="2"/>
    <n v="1"/>
    <x v="10"/>
    <n v="47"/>
    <n v="4681.07"/>
    <n v="4681.07"/>
  </r>
  <r>
    <s v="ORD_175"/>
    <x v="36"/>
    <s v="South"/>
    <s v="Tamil Nadu"/>
    <x v="8"/>
    <x v="1"/>
    <n v="18"/>
    <x v="5"/>
    <n v="46"/>
    <n v="262.12"/>
    <n v="4718.16"/>
  </r>
  <r>
    <s v="ORD_176"/>
    <x v="132"/>
    <s v="North"/>
    <s v="Delhi"/>
    <x v="10"/>
    <x v="1"/>
    <n v="4"/>
    <x v="8"/>
    <n v="42"/>
    <n v="1181.3900000000001"/>
    <n v="4725.5600000000004"/>
  </r>
  <r>
    <s v="ORD_177"/>
    <x v="23"/>
    <s v="South"/>
    <s v="Tamil Nadu"/>
    <x v="6"/>
    <x v="3"/>
    <n v="3"/>
    <x v="9"/>
    <n v="48"/>
    <n v="1577.9"/>
    <n v="4733.7000000000007"/>
  </r>
  <r>
    <s v="ORD_178"/>
    <x v="139"/>
    <s v="South"/>
    <s v="Tamil Nadu"/>
    <x v="8"/>
    <x v="4"/>
    <n v="8"/>
    <x v="5"/>
    <n v="55"/>
    <n v="592.82000000000005"/>
    <n v="4742.5600000000004"/>
  </r>
  <r>
    <s v="ORD_179"/>
    <x v="140"/>
    <s v="North"/>
    <s v="Delhi"/>
    <x v="13"/>
    <x v="2"/>
    <n v="15"/>
    <x v="3"/>
    <n v="37"/>
    <n v="318.32"/>
    <n v="4774.8"/>
  </r>
  <r>
    <s v="ORD_180"/>
    <x v="13"/>
    <s v="West"/>
    <s v="Gujarat"/>
    <x v="1"/>
    <x v="4"/>
    <n v="2"/>
    <x v="3"/>
    <n v="44"/>
    <n v="2400.5500000000002"/>
    <n v="4801.1000000000004"/>
  </r>
  <r>
    <s v="ORD_181"/>
    <x v="141"/>
    <s v="West"/>
    <s v="Maharashtra"/>
    <x v="11"/>
    <x v="0"/>
    <n v="2"/>
    <x v="2"/>
    <n v="44"/>
    <n v="2402.5700000000002"/>
    <n v="4805.1400000000003"/>
  </r>
  <r>
    <s v="ORD_182"/>
    <x v="142"/>
    <s v="North"/>
    <s v="Delhi"/>
    <x v="13"/>
    <x v="3"/>
    <n v="1"/>
    <x v="0"/>
    <n v="33"/>
    <n v="4815.0600000000004"/>
    <n v="4815.0600000000004"/>
  </r>
  <r>
    <s v="ORD_183"/>
    <x v="143"/>
    <s v="West"/>
    <s v="Gujarat"/>
    <x v="14"/>
    <x v="1"/>
    <n v="4"/>
    <x v="6"/>
    <n v="48"/>
    <n v="1208.21"/>
    <n v="4832.84"/>
  </r>
  <r>
    <s v="ORD_184"/>
    <x v="144"/>
    <s v="North"/>
    <s v="Delhi"/>
    <x v="10"/>
    <x v="1"/>
    <n v="5"/>
    <x v="9"/>
    <n v="44"/>
    <n v="968.86"/>
    <n v="4844.3"/>
  </r>
  <r>
    <s v="ORD_185"/>
    <x v="145"/>
    <s v="North"/>
    <s v="Delhi"/>
    <x v="13"/>
    <x v="4"/>
    <n v="1"/>
    <x v="8"/>
    <n v="35"/>
    <n v="4859.6499999999996"/>
    <n v="4859.6499999999996"/>
  </r>
  <r>
    <s v="ORD_186"/>
    <x v="138"/>
    <s v="South"/>
    <s v="Karnataka"/>
    <x v="12"/>
    <x v="4"/>
    <n v="5"/>
    <x v="10"/>
    <n v="24"/>
    <n v="975.39"/>
    <n v="4876.95"/>
  </r>
  <r>
    <s v="ORD_187"/>
    <x v="114"/>
    <s v="South"/>
    <s v="Karnataka"/>
    <x v="12"/>
    <x v="1"/>
    <n v="7"/>
    <x v="7"/>
    <n v="36"/>
    <n v="702.24"/>
    <n v="4915.68"/>
  </r>
  <r>
    <s v="ORD_188"/>
    <x v="146"/>
    <s v="South"/>
    <s v="Tamil Nadu"/>
    <x v="8"/>
    <x v="0"/>
    <n v="7"/>
    <x v="5"/>
    <n v="32"/>
    <n v="705.03"/>
    <n v="4935.21"/>
  </r>
  <r>
    <s v="ORD_189"/>
    <x v="105"/>
    <s v="South"/>
    <s v="Karnataka"/>
    <x v="2"/>
    <x v="3"/>
    <n v="6"/>
    <x v="8"/>
    <n v="25"/>
    <n v="827.78"/>
    <n v="4966.68"/>
  </r>
  <r>
    <s v="ORD_190"/>
    <x v="147"/>
    <s v="North"/>
    <s v="Delhi"/>
    <x v="10"/>
    <x v="2"/>
    <n v="18"/>
    <x v="4"/>
    <n v="49"/>
    <n v="276.35000000000002"/>
    <n v="4974.3"/>
  </r>
  <r>
    <s v="ORD_191"/>
    <x v="5"/>
    <s v="South"/>
    <s v="Tamil Nadu"/>
    <x v="0"/>
    <x v="0"/>
    <n v="7"/>
    <x v="7"/>
    <n v="26"/>
    <n v="711.35"/>
    <n v="4979.45"/>
  </r>
  <r>
    <s v="ORD_192"/>
    <x v="15"/>
    <s v="South"/>
    <s v="Karnataka"/>
    <x v="2"/>
    <x v="0"/>
    <n v="2"/>
    <x v="6"/>
    <n v="41"/>
    <n v="2493.06"/>
    <n v="4986.12"/>
  </r>
  <r>
    <s v="ORD_193"/>
    <x v="9"/>
    <s v="West"/>
    <s v="Maharashtra"/>
    <x v="3"/>
    <x v="2"/>
    <n v="4"/>
    <x v="1"/>
    <n v="52"/>
    <n v="1256.3399999999999"/>
    <n v="5025.3599999999997"/>
  </r>
  <r>
    <s v="ORD_194"/>
    <x v="148"/>
    <s v="South"/>
    <s v="Karnataka"/>
    <x v="7"/>
    <x v="0"/>
    <n v="16"/>
    <x v="9"/>
    <n v="47"/>
    <n v="317.82"/>
    <n v="5085.12"/>
  </r>
  <r>
    <s v="ORD_195"/>
    <x v="149"/>
    <s v="North"/>
    <s v="Delhi"/>
    <x v="4"/>
    <x v="4"/>
    <n v="6"/>
    <x v="2"/>
    <n v="26"/>
    <n v="863.69"/>
    <n v="5182.1400000000003"/>
  </r>
  <r>
    <s v="ORD_196"/>
    <x v="90"/>
    <s v="South"/>
    <s v="Tamil Nadu"/>
    <x v="6"/>
    <x v="1"/>
    <n v="15"/>
    <x v="10"/>
    <n v="46"/>
    <n v="346.45"/>
    <n v="5196.75"/>
  </r>
  <r>
    <s v="ORD_197"/>
    <x v="150"/>
    <s v="South"/>
    <s v="Tamil Nadu"/>
    <x v="6"/>
    <x v="1"/>
    <n v="16"/>
    <x v="2"/>
    <n v="42"/>
    <n v="325.52"/>
    <n v="5208.32"/>
  </r>
  <r>
    <s v="ORD_198"/>
    <x v="20"/>
    <s v="West"/>
    <s v="Gujarat"/>
    <x v="14"/>
    <x v="2"/>
    <n v="4"/>
    <x v="2"/>
    <n v="35"/>
    <n v="1303.8800000000001"/>
    <n v="5215.5200000000004"/>
  </r>
  <r>
    <s v="ORD_199"/>
    <x v="45"/>
    <s v="West"/>
    <s v="Maharashtra"/>
    <x v="11"/>
    <x v="3"/>
    <n v="16"/>
    <x v="1"/>
    <n v="20"/>
    <n v="328.65"/>
    <n v="5258.4"/>
  </r>
  <r>
    <s v="ORD_200"/>
    <x v="74"/>
    <s v="South"/>
    <s v="Karnataka"/>
    <x v="12"/>
    <x v="4"/>
    <n v="8"/>
    <x v="2"/>
    <n v="25"/>
    <n v="659.36"/>
    <n v="5274.88"/>
  </r>
  <r>
    <s v="ORD_201"/>
    <x v="49"/>
    <s v="North"/>
    <s v="Delhi"/>
    <x v="13"/>
    <x v="0"/>
    <n v="9"/>
    <x v="9"/>
    <n v="21"/>
    <n v="593.01"/>
    <n v="5337.09"/>
  </r>
  <r>
    <s v="ORD_202"/>
    <x v="151"/>
    <s v="West"/>
    <s v="Gujarat"/>
    <x v="9"/>
    <x v="0"/>
    <n v="2"/>
    <x v="7"/>
    <n v="52"/>
    <n v="2704.98"/>
    <n v="5409.96"/>
  </r>
  <r>
    <s v="ORD_203"/>
    <x v="152"/>
    <s v="North"/>
    <s v="Delhi"/>
    <x v="13"/>
    <x v="4"/>
    <n v="16"/>
    <x v="9"/>
    <n v="48"/>
    <n v="338.38"/>
    <n v="5414.08"/>
  </r>
  <r>
    <s v="ORD_204"/>
    <x v="153"/>
    <s v="West"/>
    <s v="Gujarat"/>
    <x v="14"/>
    <x v="2"/>
    <n v="3"/>
    <x v="7"/>
    <n v="50"/>
    <n v="1818.3"/>
    <n v="5454.9"/>
  </r>
  <r>
    <s v="ORD_205"/>
    <x v="154"/>
    <s v="South"/>
    <s v="Karnataka"/>
    <x v="12"/>
    <x v="0"/>
    <n v="4"/>
    <x v="2"/>
    <n v="16"/>
    <n v="1381.71"/>
    <n v="5526.84"/>
  </r>
  <r>
    <s v="ORD_206"/>
    <x v="155"/>
    <s v="South"/>
    <s v="Tamil Nadu"/>
    <x v="6"/>
    <x v="2"/>
    <n v="4"/>
    <x v="5"/>
    <n v="27"/>
    <n v="1385.95"/>
    <n v="5543.8"/>
  </r>
  <r>
    <s v="ORD_207"/>
    <x v="19"/>
    <s v="South"/>
    <s v="Tamil Nadu"/>
    <x v="8"/>
    <x v="3"/>
    <n v="10"/>
    <x v="2"/>
    <n v="46"/>
    <n v="568.6"/>
    <n v="5686"/>
  </r>
  <r>
    <s v="ORD_208"/>
    <x v="119"/>
    <s v="West"/>
    <s v="Gujarat"/>
    <x v="1"/>
    <x v="3"/>
    <n v="16"/>
    <x v="8"/>
    <n v="33"/>
    <n v="355.63"/>
    <n v="5690.08"/>
  </r>
  <r>
    <s v="ORD_209"/>
    <x v="13"/>
    <s v="West"/>
    <s v="Maharashtra"/>
    <x v="3"/>
    <x v="0"/>
    <n v="5"/>
    <x v="9"/>
    <n v="42"/>
    <n v="1141.32"/>
    <n v="5706.5999999999995"/>
  </r>
  <r>
    <s v="ORD_210"/>
    <x v="156"/>
    <s v="South"/>
    <s v="Karnataka"/>
    <x v="2"/>
    <x v="2"/>
    <n v="4"/>
    <x v="0"/>
    <n v="28"/>
    <n v="1434.97"/>
    <n v="5739.88"/>
  </r>
  <r>
    <s v="ORD_211"/>
    <x v="157"/>
    <s v="West"/>
    <s v="Maharashtra"/>
    <x v="3"/>
    <x v="3"/>
    <n v="2"/>
    <x v="3"/>
    <n v="20"/>
    <n v="2875.84"/>
    <n v="5751.68"/>
  </r>
  <r>
    <s v="ORD_212"/>
    <x v="62"/>
    <s v="South"/>
    <s v="Karnataka"/>
    <x v="2"/>
    <x v="1"/>
    <n v="8"/>
    <x v="4"/>
    <n v="25"/>
    <n v="720.07"/>
    <n v="5760.56"/>
  </r>
  <r>
    <s v="ORD_213"/>
    <x v="158"/>
    <s v="South"/>
    <s v="Karnataka"/>
    <x v="12"/>
    <x v="3"/>
    <n v="4"/>
    <x v="6"/>
    <n v="51"/>
    <n v="1456.19"/>
    <n v="5824.76"/>
  </r>
  <r>
    <s v="ORD_214"/>
    <x v="159"/>
    <s v="South"/>
    <s v="Karnataka"/>
    <x v="12"/>
    <x v="3"/>
    <n v="2"/>
    <x v="9"/>
    <n v="20"/>
    <n v="2914.14"/>
    <n v="5828.28"/>
  </r>
  <r>
    <s v="ORD_215"/>
    <x v="160"/>
    <s v="South"/>
    <s v="Karnataka"/>
    <x v="2"/>
    <x v="4"/>
    <n v="5"/>
    <x v="1"/>
    <n v="41"/>
    <n v="1185.45"/>
    <n v="5927.25"/>
  </r>
  <r>
    <s v="ORD_216"/>
    <x v="161"/>
    <s v="South"/>
    <s v="Tamil Nadu"/>
    <x v="8"/>
    <x v="3"/>
    <n v="5"/>
    <x v="8"/>
    <n v="17"/>
    <n v="1192.82"/>
    <n v="5964.0999999999995"/>
  </r>
  <r>
    <s v="ORD_217"/>
    <x v="162"/>
    <s v="South"/>
    <s v="Karnataka"/>
    <x v="7"/>
    <x v="0"/>
    <n v="4"/>
    <x v="2"/>
    <n v="45"/>
    <n v="1493.04"/>
    <n v="5972.16"/>
  </r>
  <r>
    <s v="ORD_218"/>
    <x v="163"/>
    <s v="West"/>
    <s v="Maharashtra"/>
    <x v="11"/>
    <x v="1"/>
    <n v="7"/>
    <x v="8"/>
    <n v="25"/>
    <n v="859.87"/>
    <n v="6019.09"/>
  </r>
  <r>
    <s v="ORD_219"/>
    <x v="164"/>
    <s v="West"/>
    <s v="Maharashtra"/>
    <x v="5"/>
    <x v="0"/>
    <n v="5"/>
    <x v="1"/>
    <n v="49"/>
    <n v="1204.6400000000001"/>
    <n v="6023.2000000000007"/>
  </r>
  <r>
    <s v="ORD_220"/>
    <x v="165"/>
    <s v="West"/>
    <s v="Gujarat"/>
    <x v="1"/>
    <x v="0"/>
    <n v="11"/>
    <x v="8"/>
    <n v="44"/>
    <n v="548.91999999999996"/>
    <n v="6038.12"/>
  </r>
  <r>
    <s v="ORD_221"/>
    <x v="166"/>
    <s v="West"/>
    <s v="Gujarat"/>
    <x v="9"/>
    <x v="2"/>
    <n v="8"/>
    <x v="1"/>
    <n v="42"/>
    <n v="758.58"/>
    <n v="6068.64"/>
  </r>
  <r>
    <s v="ORD_222"/>
    <x v="167"/>
    <s v="West"/>
    <s v="Gujarat"/>
    <x v="9"/>
    <x v="3"/>
    <n v="2"/>
    <x v="9"/>
    <n v="55"/>
    <n v="3037.55"/>
    <n v="6075.1"/>
  </r>
  <r>
    <s v="ORD_223"/>
    <x v="168"/>
    <s v="West"/>
    <s v="Gujarat"/>
    <x v="9"/>
    <x v="3"/>
    <n v="2"/>
    <x v="0"/>
    <n v="55"/>
    <n v="3037.55"/>
    <n v="6075.1"/>
  </r>
  <r>
    <s v="ORD_224"/>
    <x v="110"/>
    <s v="West"/>
    <s v="Gujarat"/>
    <x v="1"/>
    <x v="2"/>
    <n v="6"/>
    <x v="3"/>
    <n v="51"/>
    <n v="1016.27"/>
    <n v="6097.62"/>
  </r>
  <r>
    <s v="ORD_225"/>
    <x v="169"/>
    <s v="North"/>
    <s v="Delhi"/>
    <x v="13"/>
    <x v="3"/>
    <n v="3"/>
    <x v="5"/>
    <n v="32"/>
    <n v="2040.38"/>
    <n v="6121.14"/>
  </r>
  <r>
    <s v="ORD_226"/>
    <x v="29"/>
    <s v="South"/>
    <s v="Tamil Nadu"/>
    <x v="6"/>
    <x v="4"/>
    <n v="2"/>
    <x v="4"/>
    <n v="47"/>
    <n v="3072.48"/>
    <n v="6144.96"/>
  </r>
  <r>
    <s v="ORD_227"/>
    <x v="170"/>
    <s v="South"/>
    <s v="Karnataka"/>
    <x v="2"/>
    <x v="4"/>
    <n v="15"/>
    <x v="5"/>
    <n v="34"/>
    <n v="413.63"/>
    <n v="6204.45"/>
  </r>
  <r>
    <s v="ORD_228"/>
    <x v="115"/>
    <s v="West"/>
    <s v="Maharashtra"/>
    <x v="3"/>
    <x v="4"/>
    <n v="3"/>
    <x v="6"/>
    <n v="43"/>
    <n v="2082"/>
    <n v="6246"/>
  </r>
  <r>
    <s v="ORD_229"/>
    <x v="158"/>
    <s v="South"/>
    <s v="Tamil Nadu"/>
    <x v="8"/>
    <x v="4"/>
    <n v="9"/>
    <x v="5"/>
    <n v="37"/>
    <n v="704.39"/>
    <n v="6339.51"/>
  </r>
  <r>
    <s v="ORD_230"/>
    <x v="143"/>
    <s v="South"/>
    <s v="Karnataka"/>
    <x v="2"/>
    <x v="0"/>
    <n v="10"/>
    <x v="9"/>
    <n v="39"/>
    <n v="642.49"/>
    <n v="6424.9"/>
  </r>
  <r>
    <s v="ORD_231"/>
    <x v="171"/>
    <s v="West"/>
    <s v="Maharashtra"/>
    <x v="11"/>
    <x v="3"/>
    <n v="11"/>
    <x v="3"/>
    <n v="23"/>
    <n v="587.46"/>
    <n v="6462.06"/>
  </r>
  <r>
    <s v="ORD_232"/>
    <x v="129"/>
    <s v="North"/>
    <s v="Delhi"/>
    <x v="4"/>
    <x v="2"/>
    <n v="12"/>
    <x v="1"/>
    <n v="43"/>
    <n v="538.91"/>
    <n v="6466.92"/>
  </r>
  <r>
    <s v="ORD_233"/>
    <x v="16"/>
    <s v="West"/>
    <s v="Maharashtra"/>
    <x v="5"/>
    <x v="1"/>
    <n v="2"/>
    <x v="7"/>
    <n v="19"/>
    <n v="3239.94"/>
    <n v="6479.88"/>
  </r>
  <r>
    <s v="ORD_234"/>
    <x v="117"/>
    <s v="West"/>
    <s v="Maharashtra"/>
    <x v="11"/>
    <x v="3"/>
    <n v="2"/>
    <x v="9"/>
    <n v="47"/>
    <n v="3240.32"/>
    <n v="6480.64"/>
  </r>
  <r>
    <s v="ORD_235"/>
    <x v="172"/>
    <s v="West"/>
    <s v="Gujarat"/>
    <x v="1"/>
    <x v="0"/>
    <n v="9"/>
    <x v="9"/>
    <n v="47"/>
    <n v="722.4"/>
    <n v="6501.5999999999995"/>
  </r>
  <r>
    <s v="ORD_236"/>
    <x v="173"/>
    <s v="West"/>
    <s v="Maharashtra"/>
    <x v="5"/>
    <x v="3"/>
    <n v="4"/>
    <x v="3"/>
    <n v="46"/>
    <n v="1640.54"/>
    <n v="6562.16"/>
  </r>
  <r>
    <s v="ORD_237"/>
    <x v="3"/>
    <s v="West"/>
    <s v="Maharashtra"/>
    <x v="3"/>
    <x v="4"/>
    <n v="2"/>
    <x v="10"/>
    <n v="49"/>
    <n v="3297.48"/>
    <n v="6594.96"/>
  </r>
  <r>
    <s v="ORD_238"/>
    <x v="85"/>
    <s v="South"/>
    <s v="Tamil Nadu"/>
    <x v="8"/>
    <x v="4"/>
    <n v="5"/>
    <x v="0"/>
    <n v="33"/>
    <n v="1319.46"/>
    <n v="6597.3"/>
  </r>
  <r>
    <s v="ORD_239"/>
    <x v="174"/>
    <s v="South"/>
    <s v="Karnataka"/>
    <x v="7"/>
    <x v="0"/>
    <n v="12"/>
    <x v="8"/>
    <n v="16"/>
    <n v="549.84"/>
    <n v="6598.08"/>
  </r>
  <r>
    <s v="ORD_240"/>
    <x v="159"/>
    <s v="West"/>
    <s v="Maharashtra"/>
    <x v="11"/>
    <x v="0"/>
    <n v="3"/>
    <x v="9"/>
    <n v="23"/>
    <n v="2214.86"/>
    <n v="6644.58"/>
  </r>
  <r>
    <s v="ORD_241"/>
    <x v="175"/>
    <s v="South"/>
    <s v="Karnataka"/>
    <x v="12"/>
    <x v="0"/>
    <n v="13"/>
    <x v="1"/>
    <n v="30"/>
    <n v="512.69000000000005"/>
    <n v="6664.9700000000012"/>
  </r>
  <r>
    <s v="ORD_242"/>
    <x v="40"/>
    <s v="South"/>
    <s v="Tamil Nadu"/>
    <x v="0"/>
    <x v="3"/>
    <n v="5"/>
    <x v="2"/>
    <n v="55"/>
    <n v="1346.45"/>
    <n v="6732.25"/>
  </r>
  <r>
    <s v="ORD_243"/>
    <x v="176"/>
    <s v="South"/>
    <s v="Tamil Nadu"/>
    <x v="0"/>
    <x v="3"/>
    <n v="5"/>
    <x v="4"/>
    <n v="55"/>
    <n v="1346.45"/>
    <n v="6732.25"/>
  </r>
  <r>
    <s v="ORD_244"/>
    <x v="177"/>
    <s v="West"/>
    <s v="Maharashtra"/>
    <x v="3"/>
    <x v="3"/>
    <n v="2"/>
    <x v="9"/>
    <n v="54"/>
    <n v="3385.43"/>
    <n v="6770.86"/>
  </r>
  <r>
    <s v="ORD_245"/>
    <x v="178"/>
    <s v="West"/>
    <s v="Gujarat"/>
    <x v="9"/>
    <x v="4"/>
    <n v="7"/>
    <x v="6"/>
    <n v="19"/>
    <n v="978.46"/>
    <n v="6849.22"/>
  </r>
  <r>
    <s v="ORD_246"/>
    <x v="179"/>
    <s v="South"/>
    <s v="Karnataka"/>
    <x v="7"/>
    <x v="1"/>
    <n v="5"/>
    <x v="5"/>
    <n v="41"/>
    <n v="1372.78"/>
    <n v="6863.9"/>
  </r>
  <r>
    <s v="ORD_247"/>
    <x v="180"/>
    <s v="West"/>
    <s v="Maharashtra"/>
    <x v="5"/>
    <x v="3"/>
    <n v="14"/>
    <x v="6"/>
    <n v="24"/>
    <n v="492.06"/>
    <n v="6888.84"/>
  </r>
  <r>
    <s v="ORD_248"/>
    <x v="181"/>
    <s v="South"/>
    <s v="Karnataka"/>
    <x v="12"/>
    <x v="1"/>
    <n v="9"/>
    <x v="6"/>
    <n v="21"/>
    <n v="773.71"/>
    <n v="6963.39"/>
  </r>
  <r>
    <s v="ORD_249"/>
    <x v="121"/>
    <s v="North"/>
    <s v="Delhi"/>
    <x v="13"/>
    <x v="0"/>
    <n v="5"/>
    <x v="6"/>
    <n v="35"/>
    <n v="1412.08"/>
    <n v="7060.4"/>
  </r>
  <r>
    <s v="ORD_250"/>
    <x v="182"/>
    <s v="West"/>
    <s v="Maharashtra"/>
    <x v="11"/>
    <x v="2"/>
    <n v="12"/>
    <x v="5"/>
    <n v="34"/>
    <n v="593.52"/>
    <n v="7122.24"/>
  </r>
  <r>
    <s v="ORD_251"/>
    <x v="183"/>
    <s v="South"/>
    <s v="Karnataka"/>
    <x v="7"/>
    <x v="2"/>
    <n v="12"/>
    <x v="2"/>
    <n v="19"/>
    <n v="596.13"/>
    <n v="7153.5599999999995"/>
  </r>
  <r>
    <s v="ORD_252"/>
    <x v="184"/>
    <s v="West"/>
    <s v="Maharashtra"/>
    <x v="5"/>
    <x v="1"/>
    <n v="4"/>
    <x v="9"/>
    <n v="51"/>
    <n v="1788.95"/>
    <n v="7155.8"/>
  </r>
  <r>
    <s v="ORD_253"/>
    <x v="13"/>
    <s v="South"/>
    <s v="Tamil Nadu"/>
    <x v="0"/>
    <x v="0"/>
    <n v="5"/>
    <x v="2"/>
    <n v="38"/>
    <n v="1445.72"/>
    <n v="7228.6"/>
  </r>
  <r>
    <s v="ORD_254"/>
    <x v="138"/>
    <s v="West"/>
    <s v="Maharashtra"/>
    <x v="5"/>
    <x v="4"/>
    <n v="6"/>
    <x v="10"/>
    <n v="55"/>
    <n v="1205.3599999999999"/>
    <n v="7232.16"/>
  </r>
  <r>
    <s v="ORD_255"/>
    <x v="1"/>
    <s v="West"/>
    <s v="Maharashtra"/>
    <x v="5"/>
    <x v="2"/>
    <n v="9"/>
    <x v="3"/>
    <n v="21"/>
    <n v="808.93"/>
    <n v="7280.37"/>
  </r>
  <r>
    <s v="ORD_256"/>
    <x v="155"/>
    <s v="South"/>
    <s v="Tamil Nadu"/>
    <x v="6"/>
    <x v="2"/>
    <n v="5"/>
    <x v="0"/>
    <n v="48"/>
    <n v="1460.84"/>
    <n v="7304.2"/>
  </r>
  <r>
    <s v="ORD_257"/>
    <x v="185"/>
    <s v="West"/>
    <s v="Maharashtra"/>
    <x v="5"/>
    <x v="4"/>
    <n v="4"/>
    <x v="1"/>
    <n v="44"/>
    <n v="1831.79"/>
    <n v="7327.16"/>
  </r>
  <r>
    <s v="ORD_258"/>
    <x v="186"/>
    <s v="South"/>
    <s v="Tamil Nadu"/>
    <x v="8"/>
    <x v="4"/>
    <n v="3"/>
    <x v="5"/>
    <n v="17"/>
    <n v="2444.6"/>
    <n v="7333.7999999999993"/>
  </r>
  <r>
    <s v="ORD_259"/>
    <x v="22"/>
    <s v="South"/>
    <s v="Tamil Nadu"/>
    <x v="8"/>
    <x v="4"/>
    <n v="3"/>
    <x v="3"/>
    <n v="17"/>
    <n v="2444.6"/>
    <n v="7333.7999999999993"/>
  </r>
  <r>
    <s v="ORD_260"/>
    <x v="187"/>
    <s v="South"/>
    <s v="Karnataka"/>
    <x v="12"/>
    <x v="1"/>
    <n v="8"/>
    <x v="6"/>
    <n v="34"/>
    <n v="918.76"/>
    <n v="7350.08"/>
  </r>
  <r>
    <s v="ORD_261"/>
    <x v="188"/>
    <s v="West"/>
    <s v="Gujarat"/>
    <x v="14"/>
    <x v="3"/>
    <n v="10"/>
    <x v="3"/>
    <n v="24"/>
    <n v="743.68"/>
    <n v="7436.7999999999993"/>
  </r>
  <r>
    <s v="ORD_262"/>
    <x v="33"/>
    <s v="West"/>
    <s v="Maharashtra"/>
    <x v="11"/>
    <x v="3"/>
    <n v="2"/>
    <x v="10"/>
    <n v="35"/>
    <n v="3753.37"/>
    <n v="7506.74"/>
  </r>
  <r>
    <s v="ORD_263"/>
    <x v="119"/>
    <s v="West"/>
    <s v="Gujarat"/>
    <x v="1"/>
    <x v="2"/>
    <n v="2"/>
    <x v="7"/>
    <n v="39"/>
    <n v="3825.5"/>
    <n v="7651"/>
  </r>
  <r>
    <s v="ORD_264"/>
    <x v="189"/>
    <s v="West"/>
    <s v="Gujarat"/>
    <x v="9"/>
    <x v="0"/>
    <n v="9"/>
    <x v="10"/>
    <n v="31"/>
    <n v="851.87"/>
    <n v="7666.83"/>
  </r>
  <r>
    <s v="ORD_265"/>
    <x v="190"/>
    <s v="North"/>
    <s v="Delhi"/>
    <x v="10"/>
    <x v="2"/>
    <n v="7"/>
    <x v="6"/>
    <n v="34"/>
    <n v="1102.48"/>
    <n v="7717.3600000000006"/>
  </r>
  <r>
    <s v="ORD_266"/>
    <x v="151"/>
    <s v="South"/>
    <s v="Tamil Nadu"/>
    <x v="6"/>
    <x v="2"/>
    <n v="10"/>
    <x v="9"/>
    <n v="44"/>
    <n v="772.21"/>
    <n v="7722.1"/>
  </r>
  <r>
    <s v="ORD_267"/>
    <x v="191"/>
    <s v="North"/>
    <s v="Delhi"/>
    <x v="13"/>
    <x v="2"/>
    <n v="4"/>
    <x v="7"/>
    <n v="51"/>
    <n v="1938.6"/>
    <n v="7754.4"/>
  </r>
  <r>
    <s v="ORD_268"/>
    <x v="110"/>
    <s v="South"/>
    <s v="Karnataka"/>
    <x v="12"/>
    <x v="1"/>
    <n v="5"/>
    <x v="4"/>
    <n v="44"/>
    <n v="1566.04"/>
    <n v="7830.2"/>
  </r>
  <r>
    <s v="ORD_269"/>
    <x v="192"/>
    <s v="West"/>
    <s v="Maharashtra"/>
    <x v="3"/>
    <x v="3"/>
    <n v="3"/>
    <x v="4"/>
    <n v="16"/>
    <n v="2618.2199999999998"/>
    <n v="7854.66"/>
  </r>
  <r>
    <s v="ORD_270"/>
    <x v="193"/>
    <s v="South"/>
    <s v="Tamil Nadu"/>
    <x v="8"/>
    <x v="2"/>
    <n v="17"/>
    <x v="6"/>
    <n v="25"/>
    <n v="463.54"/>
    <n v="7880.18"/>
  </r>
  <r>
    <s v="ORD_271"/>
    <x v="102"/>
    <s v="West"/>
    <s v="Maharashtra"/>
    <x v="3"/>
    <x v="3"/>
    <n v="16"/>
    <x v="9"/>
    <n v="51"/>
    <n v="494.05"/>
    <n v="7904.8"/>
  </r>
  <r>
    <s v="ORD_272"/>
    <x v="194"/>
    <s v="North"/>
    <s v="Delhi"/>
    <x v="4"/>
    <x v="3"/>
    <n v="14"/>
    <x v="5"/>
    <n v="23"/>
    <n v="564.63"/>
    <n v="7904.82"/>
  </r>
  <r>
    <s v="ORD_273"/>
    <x v="195"/>
    <s v="South"/>
    <s v="Karnataka"/>
    <x v="7"/>
    <x v="4"/>
    <n v="4"/>
    <x v="1"/>
    <n v="16"/>
    <n v="1993.97"/>
    <n v="7975.88"/>
  </r>
  <r>
    <s v="ORD_274"/>
    <x v="196"/>
    <s v="West"/>
    <s v="Gujarat"/>
    <x v="9"/>
    <x v="0"/>
    <n v="9"/>
    <x v="5"/>
    <n v="29"/>
    <n v="888.33"/>
    <n v="7994.97"/>
  </r>
  <r>
    <s v="ORD_275"/>
    <x v="197"/>
    <s v="South"/>
    <s v="Karnataka"/>
    <x v="12"/>
    <x v="0"/>
    <n v="15"/>
    <x v="9"/>
    <n v="28"/>
    <n v="534.41999999999996"/>
    <n v="8016.2999999999993"/>
  </r>
  <r>
    <s v="ORD_276"/>
    <x v="123"/>
    <s v="South"/>
    <s v="Karnataka"/>
    <x v="2"/>
    <x v="4"/>
    <n v="2"/>
    <x v="0"/>
    <n v="45"/>
    <n v="4019.4"/>
    <n v="8038.8"/>
  </r>
  <r>
    <s v="ORD_277"/>
    <x v="198"/>
    <s v="South"/>
    <s v="Karnataka"/>
    <x v="7"/>
    <x v="2"/>
    <n v="16"/>
    <x v="4"/>
    <n v="31"/>
    <n v="502.59"/>
    <n v="8041.44"/>
  </r>
  <r>
    <s v="ORD_278"/>
    <x v="66"/>
    <s v="South"/>
    <s v="Karnataka"/>
    <x v="7"/>
    <x v="0"/>
    <n v="2"/>
    <x v="3"/>
    <n v="36"/>
    <n v="4032.05"/>
    <n v="8064.1"/>
  </r>
  <r>
    <s v="ORD_279"/>
    <x v="43"/>
    <s v="North"/>
    <s v="Delhi"/>
    <x v="4"/>
    <x v="0"/>
    <n v="18"/>
    <x v="10"/>
    <n v="37"/>
    <n v="448.42"/>
    <n v="8071.56"/>
  </r>
  <r>
    <s v="ORD_280"/>
    <x v="199"/>
    <s v="North"/>
    <s v="Delhi"/>
    <x v="4"/>
    <x v="0"/>
    <n v="2"/>
    <x v="2"/>
    <n v="44"/>
    <n v="4059.61"/>
    <n v="8119.22"/>
  </r>
  <r>
    <s v="ORD_281"/>
    <x v="200"/>
    <s v="North"/>
    <s v="Delhi"/>
    <x v="4"/>
    <x v="0"/>
    <n v="2"/>
    <x v="4"/>
    <n v="44"/>
    <n v="4059.61"/>
    <n v="8119.22"/>
  </r>
  <r>
    <s v="ORD_282"/>
    <x v="201"/>
    <s v="South"/>
    <s v="Karnataka"/>
    <x v="2"/>
    <x v="2"/>
    <n v="10"/>
    <x v="3"/>
    <n v="40"/>
    <n v="812.98"/>
    <n v="8129.8"/>
  </r>
  <r>
    <s v="ORD_283"/>
    <x v="191"/>
    <s v="South"/>
    <s v="Karnataka"/>
    <x v="7"/>
    <x v="1"/>
    <n v="7"/>
    <x v="0"/>
    <n v="53"/>
    <n v="1164.5999999999999"/>
    <n v="8152.1999999999989"/>
  </r>
  <r>
    <s v="ORD_284"/>
    <x v="202"/>
    <s v="West"/>
    <s v="Maharashtra"/>
    <x v="3"/>
    <x v="0"/>
    <n v="19"/>
    <x v="5"/>
    <n v="30"/>
    <n v="430.16"/>
    <n v="8173.0400000000009"/>
  </r>
  <r>
    <s v="ORD_285"/>
    <x v="203"/>
    <s v="North"/>
    <s v="Delhi"/>
    <x v="10"/>
    <x v="0"/>
    <n v="6"/>
    <x v="5"/>
    <n v="29"/>
    <n v="1366.98"/>
    <n v="8201.880000000001"/>
  </r>
  <r>
    <s v="ORD_286"/>
    <x v="75"/>
    <s v="South"/>
    <s v="Tamil Nadu"/>
    <x v="0"/>
    <x v="4"/>
    <n v="3"/>
    <x v="1"/>
    <n v="38"/>
    <n v="2756.83"/>
    <n v="8270.49"/>
  </r>
  <r>
    <s v="ORD_287"/>
    <x v="77"/>
    <s v="West"/>
    <s v="Gujarat"/>
    <x v="14"/>
    <x v="0"/>
    <n v="2"/>
    <x v="10"/>
    <n v="24"/>
    <n v="4176.99"/>
    <n v="8353.98"/>
  </r>
  <r>
    <s v="ORD_288"/>
    <x v="204"/>
    <s v="West"/>
    <s v="Gujarat"/>
    <x v="9"/>
    <x v="1"/>
    <n v="16"/>
    <x v="9"/>
    <n v="48"/>
    <n v="523.29999999999995"/>
    <n v="8372.7999999999993"/>
  </r>
  <r>
    <s v="ORD_289"/>
    <x v="65"/>
    <s v="West"/>
    <s v="Gujarat"/>
    <x v="1"/>
    <x v="1"/>
    <n v="10"/>
    <x v="8"/>
    <n v="31"/>
    <n v="843.5"/>
    <n v="8435"/>
  </r>
  <r>
    <s v="ORD_290"/>
    <x v="205"/>
    <s v="West"/>
    <s v="Gujarat"/>
    <x v="1"/>
    <x v="1"/>
    <n v="10"/>
    <x v="9"/>
    <n v="31"/>
    <n v="843.5"/>
    <n v="8435"/>
  </r>
  <r>
    <s v="ORD_291"/>
    <x v="95"/>
    <s v="West"/>
    <s v="Gujarat"/>
    <x v="9"/>
    <x v="1"/>
    <n v="7"/>
    <x v="6"/>
    <n v="53"/>
    <n v="1205.8900000000001"/>
    <n v="8441.2300000000014"/>
  </r>
  <r>
    <s v="ORD_292"/>
    <x v="206"/>
    <s v="West"/>
    <s v="Gujarat"/>
    <x v="1"/>
    <x v="3"/>
    <n v="3"/>
    <x v="6"/>
    <n v="48"/>
    <n v="2880.4"/>
    <n v="8641.2000000000007"/>
  </r>
  <r>
    <s v="ORD_293"/>
    <x v="207"/>
    <s v="North"/>
    <s v="Delhi"/>
    <x v="13"/>
    <x v="2"/>
    <n v="4"/>
    <x v="3"/>
    <n v="23"/>
    <n v="2169.61"/>
    <n v="8678.44"/>
  </r>
  <r>
    <s v="ORD_294"/>
    <x v="71"/>
    <s v="West"/>
    <s v="Gujarat"/>
    <x v="14"/>
    <x v="2"/>
    <n v="11"/>
    <x v="8"/>
    <n v="25"/>
    <n v="793.45"/>
    <n v="8727.9500000000007"/>
  </r>
  <r>
    <s v="ORD_295"/>
    <x v="208"/>
    <s v="South"/>
    <s v="Karnataka"/>
    <x v="2"/>
    <x v="2"/>
    <n v="5"/>
    <x v="3"/>
    <n v="16"/>
    <n v="1757.01"/>
    <n v="8785.0499999999993"/>
  </r>
  <r>
    <s v="ORD_296"/>
    <x v="209"/>
    <s v="West"/>
    <s v="Maharashtra"/>
    <x v="11"/>
    <x v="4"/>
    <n v="2"/>
    <x v="9"/>
    <n v="51"/>
    <n v="4439.5"/>
    <n v="8879"/>
  </r>
  <r>
    <s v="ORD_297"/>
    <x v="210"/>
    <s v="South"/>
    <s v="Tamil Nadu"/>
    <x v="8"/>
    <x v="3"/>
    <n v="3"/>
    <x v="8"/>
    <n v="18"/>
    <n v="2961.96"/>
    <n v="8885.880000000001"/>
  </r>
  <r>
    <s v="ORD_298"/>
    <x v="211"/>
    <s v="South"/>
    <s v="Tamil Nadu"/>
    <x v="6"/>
    <x v="0"/>
    <n v="3"/>
    <x v="9"/>
    <n v="31"/>
    <n v="2966.4"/>
    <n v="8899.2000000000007"/>
  </r>
  <r>
    <s v="ORD_299"/>
    <x v="111"/>
    <s v="North"/>
    <s v="Delhi"/>
    <x v="10"/>
    <x v="0"/>
    <n v="18"/>
    <x v="3"/>
    <n v="26"/>
    <n v="497.68"/>
    <n v="8958.24"/>
  </r>
  <r>
    <s v="ORD_300"/>
    <x v="20"/>
    <s v="West"/>
    <s v="Gujarat"/>
    <x v="9"/>
    <x v="2"/>
    <n v="12"/>
    <x v="3"/>
    <n v="19"/>
    <n v="749.68"/>
    <n v="8996.16"/>
  </r>
  <r>
    <s v="ORD_301"/>
    <x v="212"/>
    <s v="West"/>
    <s v="Maharashtra"/>
    <x v="11"/>
    <x v="3"/>
    <n v="9"/>
    <x v="4"/>
    <n v="17"/>
    <n v="1001.37"/>
    <n v="9012.33"/>
  </r>
  <r>
    <s v="ORD_302"/>
    <x v="144"/>
    <s v="South"/>
    <s v="Tamil Nadu"/>
    <x v="8"/>
    <x v="4"/>
    <n v="3"/>
    <x v="5"/>
    <n v="29"/>
    <n v="3007.45"/>
    <n v="9022.3499999999985"/>
  </r>
  <r>
    <s v="ORD_303"/>
    <x v="213"/>
    <s v="North"/>
    <s v="Delhi"/>
    <x v="13"/>
    <x v="4"/>
    <n v="6"/>
    <x v="1"/>
    <n v="46"/>
    <n v="1508.35"/>
    <n v="9050.0999999999985"/>
  </r>
  <r>
    <s v="ORD_304"/>
    <x v="22"/>
    <s v="North"/>
    <s v="Delhi"/>
    <x v="4"/>
    <x v="3"/>
    <n v="2"/>
    <x v="1"/>
    <n v="23"/>
    <n v="4527.13"/>
    <n v="9054.26"/>
  </r>
  <r>
    <s v="ORD_305"/>
    <x v="214"/>
    <s v="West"/>
    <s v="Maharashtra"/>
    <x v="3"/>
    <x v="0"/>
    <n v="4"/>
    <x v="5"/>
    <n v="30"/>
    <n v="2298.98"/>
    <n v="9195.92"/>
  </r>
  <r>
    <s v="ORD_306"/>
    <x v="215"/>
    <s v="South"/>
    <s v="Tamil Nadu"/>
    <x v="8"/>
    <x v="1"/>
    <n v="7"/>
    <x v="4"/>
    <n v="49"/>
    <n v="1316.13"/>
    <n v="9212.91"/>
  </r>
  <r>
    <s v="ORD_307"/>
    <x v="145"/>
    <s v="North"/>
    <s v="Delhi"/>
    <x v="4"/>
    <x v="3"/>
    <n v="6"/>
    <x v="9"/>
    <n v="34"/>
    <n v="1537.45"/>
    <n v="9224.7000000000007"/>
  </r>
  <r>
    <s v="ORD_308"/>
    <x v="33"/>
    <s v="South"/>
    <s v="Karnataka"/>
    <x v="7"/>
    <x v="0"/>
    <n v="11"/>
    <x v="3"/>
    <n v="20"/>
    <n v="841.99"/>
    <n v="9261.89"/>
  </r>
  <r>
    <s v="ORD_309"/>
    <x v="199"/>
    <s v="West"/>
    <s v="Gujarat"/>
    <x v="9"/>
    <x v="3"/>
    <n v="4"/>
    <x v="2"/>
    <n v="54"/>
    <n v="2331.1"/>
    <n v="9324.4"/>
  </r>
  <r>
    <s v="ORD_310"/>
    <x v="216"/>
    <s v="South"/>
    <s v="Tamil Nadu"/>
    <x v="8"/>
    <x v="3"/>
    <n v="3"/>
    <x v="0"/>
    <n v="44"/>
    <n v="3109.18"/>
    <n v="9327.5399999999991"/>
  </r>
  <r>
    <s v="ORD_311"/>
    <x v="28"/>
    <s v="West"/>
    <s v="Gujarat"/>
    <x v="1"/>
    <x v="2"/>
    <n v="2"/>
    <x v="0"/>
    <n v="50"/>
    <n v="4664.91"/>
    <n v="9329.82"/>
  </r>
  <r>
    <s v="ORD_312"/>
    <x v="217"/>
    <s v="South"/>
    <s v="Karnataka"/>
    <x v="2"/>
    <x v="1"/>
    <n v="15"/>
    <x v="9"/>
    <n v="29"/>
    <n v="624.87"/>
    <n v="9373.0499999999993"/>
  </r>
  <r>
    <s v="ORD_313"/>
    <x v="218"/>
    <s v="West"/>
    <s v="Maharashtra"/>
    <x v="11"/>
    <x v="3"/>
    <n v="10"/>
    <x v="7"/>
    <n v="29"/>
    <n v="938.57"/>
    <n v="9385.7000000000007"/>
  </r>
  <r>
    <s v="ORD_314"/>
    <x v="158"/>
    <s v="West"/>
    <s v="Gujarat"/>
    <x v="9"/>
    <x v="0"/>
    <n v="8"/>
    <x v="0"/>
    <n v="30"/>
    <n v="1185.17"/>
    <n v="9481.36"/>
  </r>
  <r>
    <s v="ORD_315"/>
    <x v="219"/>
    <s v="South"/>
    <s v="Karnataka"/>
    <x v="2"/>
    <x v="3"/>
    <n v="2"/>
    <x v="8"/>
    <n v="19"/>
    <n v="4762.71"/>
    <n v="9525.42"/>
  </r>
  <r>
    <s v="ORD_316"/>
    <x v="220"/>
    <s v="South"/>
    <s v="Tamil Nadu"/>
    <x v="6"/>
    <x v="3"/>
    <n v="18"/>
    <x v="4"/>
    <n v="49"/>
    <n v="532.4"/>
    <n v="9583.1999999999989"/>
  </r>
  <r>
    <s v="ORD_317"/>
    <x v="26"/>
    <s v="South"/>
    <s v="Tamil Nadu"/>
    <x v="8"/>
    <x v="2"/>
    <n v="4"/>
    <x v="7"/>
    <n v="51"/>
    <n v="2425.52"/>
    <n v="9702.08"/>
  </r>
  <r>
    <s v="ORD_318"/>
    <x v="221"/>
    <s v="West"/>
    <s v="Maharashtra"/>
    <x v="11"/>
    <x v="1"/>
    <n v="20"/>
    <x v="0"/>
    <n v="26"/>
    <n v="486.25"/>
    <n v="9725"/>
  </r>
  <r>
    <s v="ORD_319"/>
    <x v="161"/>
    <s v="South"/>
    <s v="Karnataka"/>
    <x v="7"/>
    <x v="2"/>
    <n v="20"/>
    <x v="9"/>
    <n v="18"/>
    <n v="490.36"/>
    <n v="9807.2000000000007"/>
  </r>
  <r>
    <s v="ORD_320"/>
    <x v="45"/>
    <s v="South"/>
    <s v="Tamil Nadu"/>
    <x v="8"/>
    <x v="0"/>
    <n v="17"/>
    <x v="0"/>
    <n v="47"/>
    <n v="578.88"/>
    <n v="9840.9599999999991"/>
  </r>
  <r>
    <s v="ORD_321"/>
    <x v="155"/>
    <s v="South"/>
    <s v="Karnataka"/>
    <x v="12"/>
    <x v="0"/>
    <n v="5"/>
    <x v="8"/>
    <n v="28"/>
    <n v="1991.64"/>
    <n v="9958.2000000000007"/>
  </r>
  <r>
    <s v="ORD_322"/>
    <x v="148"/>
    <s v="West"/>
    <s v="Gujarat"/>
    <x v="9"/>
    <x v="2"/>
    <n v="5"/>
    <x v="8"/>
    <n v="55"/>
    <n v="1997.76"/>
    <n v="9988.7999999999993"/>
  </r>
  <r>
    <s v="ORD_323"/>
    <x v="152"/>
    <s v="South"/>
    <s v="Tamil Nadu"/>
    <x v="8"/>
    <x v="4"/>
    <n v="2"/>
    <x v="4"/>
    <n v="34"/>
    <n v="4997.2299999999996"/>
    <n v="9994.4599999999991"/>
  </r>
  <r>
    <s v="ORD_324"/>
    <x v="222"/>
    <s v="South"/>
    <s v="Karnataka"/>
    <x v="12"/>
    <x v="2"/>
    <n v="12"/>
    <x v="5"/>
    <n v="54"/>
    <n v="835.83"/>
    <n v="10029.960000000001"/>
  </r>
  <r>
    <s v="ORD_325"/>
    <x v="223"/>
    <s v="South"/>
    <s v="Karnataka"/>
    <x v="12"/>
    <x v="2"/>
    <n v="12"/>
    <x v="10"/>
    <n v="54"/>
    <n v="835.83"/>
    <n v="10029.960000000001"/>
  </r>
  <r>
    <s v="ORD_326"/>
    <x v="191"/>
    <s v="West"/>
    <s v="Gujarat"/>
    <x v="1"/>
    <x v="4"/>
    <n v="4"/>
    <x v="9"/>
    <n v="25"/>
    <n v="2514.88"/>
    <n v="10059.52"/>
  </r>
  <r>
    <s v="ORD_327"/>
    <x v="171"/>
    <s v="North"/>
    <s v="Delhi"/>
    <x v="4"/>
    <x v="2"/>
    <n v="3"/>
    <x v="3"/>
    <n v="23"/>
    <n v="3366.66"/>
    <n v="10099.98"/>
  </r>
  <r>
    <s v="ORD_328"/>
    <x v="43"/>
    <s v="South"/>
    <s v="Tamil Nadu"/>
    <x v="8"/>
    <x v="0"/>
    <n v="11"/>
    <x v="0"/>
    <n v="29"/>
    <n v="920.95"/>
    <n v="10130.450000000001"/>
  </r>
  <r>
    <s v="ORD_329"/>
    <x v="224"/>
    <s v="West"/>
    <s v="Maharashtra"/>
    <x v="11"/>
    <x v="3"/>
    <n v="11"/>
    <x v="7"/>
    <n v="16"/>
    <n v="923.59"/>
    <n v="10159.49"/>
  </r>
  <r>
    <s v="ORD_330"/>
    <x v="180"/>
    <s v="West"/>
    <s v="Maharashtra"/>
    <x v="5"/>
    <x v="1"/>
    <n v="7"/>
    <x v="2"/>
    <n v="37"/>
    <n v="1458"/>
    <n v="10206"/>
  </r>
  <r>
    <s v="ORD_331"/>
    <x v="125"/>
    <s v="West"/>
    <s v="Maharashtra"/>
    <x v="5"/>
    <x v="1"/>
    <n v="6"/>
    <x v="0"/>
    <n v="25"/>
    <n v="1701.04"/>
    <n v="10206.24"/>
  </r>
  <r>
    <s v="ORD_332"/>
    <x v="225"/>
    <s v="South"/>
    <s v="Karnataka"/>
    <x v="2"/>
    <x v="2"/>
    <n v="3"/>
    <x v="4"/>
    <n v="38"/>
    <n v="3445.08"/>
    <n v="10335.24"/>
  </r>
  <r>
    <s v="ORD_333"/>
    <x v="26"/>
    <s v="South"/>
    <s v="Tamil Nadu"/>
    <x v="8"/>
    <x v="0"/>
    <n v="19"/>
    <x v="7"/>
    <n v="27"/>
    <n v="548.70000000000005"/>
    <n v="10425.300000000001"/>
  </r>
  <r>
    <s v="ORD_334"/>
    <x v="226"/>
    <s v="North"/>
    <s v="Delhi"/>
    <x v="13"/>
    <x v="4"/>
    <n v="13"/>
    <x v="3"/>
    <n v="22"/>
    <n v="802.18"/>
    <n v="10428.34"/>
  </r>
  <r>
    <s v="ORD_335"/>
    <x v="227"/>
    <s v="North"/>
    <s v="Delhi"/>
    <x v="4"/>
    <x v="3"/>
    <n v="9"/>
    <x v="5"/>
    <n v="31"/>
    <n v="1161.02"/>
    <n v="10449.18"/>
  </r>
  <r>
    <s v="ORD_336"/>
    <x v="228"/>
    <s v="North"/>
    <s v="Delhi"/>
    <x v="4"/>
    <x v="3"/>
    <n v="9"/>
    <x v="10"/>
    <n v="31"/>
    <n v="1161.02"/>
    <n v="10449.18"/>
  </r>
  <r>
    <s v="ORD_337"/>
    <x v="209"/>
    <s v="South"/>
    <s v="Karnataka"/>
    <x v="2"/>
    <x v="1"/>
    <n v="4"/>
    <x v="9"/>
    <n v="55"/>
    <n v="2625.31"/>
    <n v="10501.24"/>
  </r>
  <r>
    <s v="ORD_338"/>
    <x v="132"/>
    <s v="West"/>
    <s v="Gujarat"/>
    <x v="1"/>
    <x v="0"/>
    <n v="7"/>
    <x v="6"/>
    <n v="40"/>
    <n v="1500.87"/>
    <n v="10506.09"/>
  </r>
  <r>
    <s v="ORD_339"/>
    <x v="229"/>
    <s v="North"/>
    <s v="Delhi"/>
    <x v="13"/>
    <x v="3"/>
    <n v="7"/>
    <x v="5"/>
    <n v="22"/>
    <n v="1501.06"/>
    <n v="10507.42"/>
  </r>
  <r>
    <s v="ORD_340"/>
    <x v="124"/>
    <s v="North"/>
    <s v="Delhi"/>
    <x v="13"/>
    <x v="4"/>
    <n v="8"/>
    <x v="9"/>
    <n v="22"/>
    <n v="1314.71"/>
    <n v="10517.68"/>
  </r>
  <r>
    <s v="ORD_341"/>
    <x v="173"/>
    <s v="South"/>
    <s v="Tamil Nadu"/>
    <x v="0"/>
    <x v="4"/>
    <n v="3"/>
    <x v="3"/>
    <n v="23"/>
    <n v="3533.3"/>
    <n v="10599.900000000001"/>
  </r>
  <r>
    <s v="ORD_342"/>
    <x v="230"/>
    <s v="South"/>
    <s v="Tamil Nadu"/>
    <x v="8"/>
    <x v="2"/>
    <n v="13"/>
    <x v="9"/>
    <n v="50"/>
    <n v="818.58"/>
    <n v="10641.54"/>
  </r>
  <r>
    <s v="ORD_343"/>
    <x v="231"/>
    <s v="South"/>
    <s v="Tamil Nadu"/>
    <x v="6"/>
    <x v="4"/>
    <n v="11"/>
    <x v="2"/>
    <n v="55"/>
    <n v="968.17"/>
    <n v="10649.869999999999"/>
  </r>
  <r>
    <s v="ORD_344"/>
    <x v="219"/>
    <s v="South"/>
    <s v="Karnataka"/>
    <x v="12"/>
    <x v="4"/>
    <n v="4"/>
    <x v="2"/>
    <n v="33"/>
    <n v="2689.7"/>
    <n v="10758.8"/>
  </r>
  <r>
    <s v="ORD_345"/>
    <x v="62"/>
    <s v="South"/>
    <s v="Tamil Nadu"/>
    <x v="0"/>
    <x v="3"/>
    <n v="14"/>
    <x v="8"/>
    <n v="19"/>
    <n v="771.61"/>
    <n v="10802.54"/>
  </r>
  <r>
    <s v="ORD_346"/>
    <x v="48"/>
    <s v="South"/>
    <s v="Tamil Nadu"/>
    <x v="6"/>
    <x v="4"/>
    <n v="4"/>
    <x v="9"/>
    <n v="17"/>
    <n v="2701.93"/>
    <n v="10807.72"/>
  </r>
  <r>
    <s v="ORD_347"/>
    <x v="78"/>
    <s v="West"/>
    <s v="Gujarat"/>
    <x v="14"/>
    <x v="3"/>
    <n v="5"/>
    <x v="8"/>
    <n v="53"/>
    <n v="2162.08"/>
    <n v="10810.4"/>
  </r>
  <r>
    <s v="ORD_348"/>
    <x v="232"/>
    <s v="South"/>
    <s v="Karnataka"/>
    <x v="2"/>
    <x v="4"/>
    <n v="8"/>
    <x v="9"/>
    <n v="33"/>
    <n v="1366.18"/>
    <n v="10929.44"/>
  </r>
  <r>
    <s v="ORD_349"/>
    <x v="94"/>
    <s v="South"/>
    <s v="Tamil Nadu"/>
    <x v="6"/>
    <x v="0"/>
    <n v="4"/>
    <x v="7"/>
    <n v="18"/>
    <n v="2740.14"/>
    <n v="10960.56"/>
  </r>
  <r>
    <s v="ORD_350"/>
    <x v="233"/>
    <s v="West"/>
    <s v="Maharashtra"/>
    <x v="11"/>
    <x v="3"/>
    <n v="8"/>
    <x v="9"/>
    <n v="44"/>
    <n v="1371.28"/>
    <n v="10970.24"/>
  </r>
  <r>
    <s v="ORD_351"/>
    <x v="15"/>
    <s v="West"/>
    <s v="Maharashtra"/>
    <x v="3"/>
    <x v="1"/>
    <n v="7"/>
    <x v="0"/>
    <n v="31"/>
    <n v="1576.4"/>
    <n v="11034.800000000001"/>
  </r>
  <r>
    <s v="ORD_352"/>
    <x v="234"/>
    <s v="South"/>
    <s v="Karnataka"/>
    <x v="12"/>
    <x v="2"/>
    <n v="7"/>
    <x v="2"/>
    <n v="52"/>
    <n v="1590.73"/>
    <n v="11135.11"/>
  </r>
  <r>
    <s v="ORD_353"/>
    <x v="235"/>
    <s v="South"/>
    <s v="Tamil Nadu"/>
    <x v="0"/>
    <x v="2"/>
    <n v="13"/>
    <x v="9"/>
    <n v="36"/>
    <n v="857.86"/>
    <n v="11152.18"/>
  </r>
  <r>
    <s v="ORD_354"/>
    <x v="115"/>
    <s v="West"/>
    <s v="Maharashtra"/>
    <x v="3"/>
    <x v="4"/>
    <n v="4"/>
    <x v="4"/>
    <n v="43"/>
    <n v="2792.23"/>
    <n v="11168.92"/>
  </r>
  <r>
    <s v="ORD_355"/>
    <x v="147"/>
    <s v="South"/>
    <s v="Karnataka"/>
    <x v="7"/>
    <x v="4"/>
    <n v="6"/>
    <x v="6"/>
    <n v="44"/>
    <n v="1872.18"/>
    <n v="11233.08"/>
  </r>
  <r>
    <s v="ORD_356"/>
    <x v="236"/>
    <s v="North"/>
    <s v="Delhi"/>
    <x v="13"/>
    <x v="0"/>
    <n v="13"/>
    <x v="2"/>
    <n v="37"/>
    <n v="864.09"/>
    <n v="11233.17"/>
  </r>
  <r>
    <s v="ORD_357"/>
    <x v="219"/>
    <s v="West"/>
    <s v="Gujarat"/>
    <x v="9"/>
    <x v="0"/>
    <n v="16"/>
    <x v="9"/>
    <n v="44"/>
    <n v="704.88"/>
    <n v="11278.08"/>
  </r>
  <r>
    <s v="ORD_358"/>
    <x v="154"/>
    <s v="South"/>
    <s v="Tamil Nadu"/>
    <x v="8"/>
    <x v="4"/>
    <n v="8"/>
    <x v="0"/>
    <n v="22"/>
    <n v="1410.46"/>
    <n v="11283.68"/>
  </r>
  <r>
    <s v="ORD_359"/>
    <x v="1"/>
    <s v="West"/>
    <s v="Maharashtra"/>
    <x v="5"/>
    <x v="4"/>
    <n v="8"/>
    <x v="8"/>
    <n v="32"/>
    <n v="1412.48"/>
    <n v="11299.84"/>
  </r>
  <r>
    <s v="ORD_360"/>
    <x v="74"/>
    <s v="South"/>
    <s v="Tamil Nadu"/>
    <x v="6"/>
    <x v="3"/>
    <n v="4"/>
    <x v="0"/>
    <n v="23"/>
    <n v="2830.6"/>
    <n v="11322.4"/>
  </r>
  <r>
    <s v="ORD_361"/>
    <x v="237"/>
    <s v="West"/>
    <s v="Maharashtra"/>
    <x v="3"/>
    <x v="1"/>
    <n v="9"/>
    <x v="9"/>
    <n v="50"/>
    <n v="1280.74"/>
    <n v="11526.66"/>
  </r>
  <r>
    <s v="ORD_362"/>
    <x v="238"/>
    <s v="North"/>
    <s v="Delhi"/>
    <x v="4"/>
    <x v="2"/>
    <n v="19"/>
    <x v="6"/>
    <n v="53"/>
    <n v="609.63"/>
    <n v="11582.97"/>
  </r>
  <r>
    <s v="ORD_363"/>
    <x v="239"/>
    <s v="West"/>
    <s v="Gujarat"/>
    <x v="1"/>
    <x v="1"/>
    <n v="3"/>
    <x v="2"/>
    <n v="35"/>
    <n v="3861.09"/>
    <n v="11583.27"/>
  </r>
  <r>
    <s v="ORD_364"/>
    <x v="125"/>
    <s v="West"/>
    <s v="Maharashtra"/>
    <x v="11"/>
    <x v="2"/>
    <n v="8"/>
    <x v="9"/>
    <n v="42"/>
    <n v="1461.31"/>
    <n v="11690.48"/>
  </r>
  <r>
    <s v="ORD_365"/>
    <x v="240"/>
    <s v="West"/>
    <s v="Maharashtra"/>
    <x v="11"/>
    <x v="2"/>
    <n v="8"/>
    <x v="9"/>
    <n v="42"/>
    <n v="1461.31"/>
    <n v="11690.48"/>
  </r>
  <r>
    <s v="ORD_366"/>
    <x v="241"/>
    <s v="West"/>
    <s v="Gujarat"/>
    <x v="14"/>
    <x v="3"/>
    <n v="18"/>
    <x v="6"/>
    <n v="21"/>
    <n v="651.22"/>
    <n v="11721.960000000001"/>
  </r>
  <r>
    <s v="ORD_367"/>
    <x v="174"/>
    <s v="North"/>
    <s v="Delhi"/>
    <x v="13"/>
    <x v="1"/>
    <n v="11"/>
    <x v="9"/>
    <n v="53"/>
    <n v="1065.6400000000001"/>
    <n v="11722.04"/>
  </r>
  <r>
    <s v="ORD_368"/>
    <x v="70"/>
    <s v="South"/>
    <s v="Tamil Nadu"/>
    <x v="8"/>
    <x v="4"/>
    <n v="9"/>
    <x v="0"/>
    <n v="47"/>
    <n v="1302.45"/>
    <n v="11722.050000000001"/>
  </r>
  <r>
    <s v="ORD_369"/>
    <x v="51"/>
    <s v="North"/>
    <s v="Delhi"/>
    <x v="10"/>
    <x v="1"/>
    <n v="11"/>
    <x v="2"/>
    <n v="47"/>
    <n v="1069.3900000000001"/>
    <n v="11763.29"/>
  </r>
  <r>
    <s v="ORD_370"/>
    <x v="242"/>
    <s v="South"/>
    <s v="Tamil Nadu"/>
    <x v="6"/>
    <x v="2"/>
    <n v="8"/>
    <x v="2"/>
    <n v="17"/>
    <n v="1481.04"/>
    <n v="11848.32"/>
  </r>
  <r>
    <s v="ORD_371"/>
    <x v="140"/>
    <s v="West"/>
    <s v="Maharashtra"/>
    <x v="5"/>
    <x v="4"/>
    <n v="3"/>
    <x v="10"/>
    <n v="25"/>
    <n v="3957.38"/>
    <n v="11872.14"/>
  </r>
  <r>
    <s v="ORD_372"/>
    <x v="196"/>
    <s v="South"/>
    <s v="Tamil Nadu"/>
    <x v="0"/>
    <x v="3"/>
    <n v="6"/>
    <x v="8"/>
    <n v="22"/>
    <n v="1979"/>
    <n v="11874"/>
  </r>
  <r>
    <s v="ORD_373"/>
    <x v="243"/>
    <s v="West"/>
    <s v="Gujarat"/>
    <x v="1"/>
    <x v="0"/>
    <n v="8"/>
    <x v="6"/>
    <n v="33"/>
    <n v="1484.56"/>
    <n v="11876.48"/>
  </r>
  <r>
    <s v="ORD_374"/>
    <x v="151"/>
    <s v="South"/>
    <s v="Karnataka"/>
    <x v="7"/>
    <x v="4"/>
    <n v="13"/>
    <x v="3"/>
    <n v="54"/>
    <n v="914.82"/>
    <n v="11892.66"/>
  </r>
  <r>
    <s v="ORD_375"/>
    <x v="58"/>
    <s v="West"/>
    <s v="Maharashtra"/>
    <x v="3"/>
    <x v="0"/>
    <n v="12"/>
    <x v="4"/>
    <n v="26"/>
    <n v="992.16"/>
    <n v="11905.92"/>
  </r>
  <r>
    <s v="ORD_376"/>
    <x v="169"/>
    <s v="North"/>
    <s v="Delhi"/>
    <x v="10"/>
    <x v="3"/>
    <n v="4"/>
    <x v="3"/>
    <n v="37"/>
    <n v="2978.87"/>
    <n v="11915.48"/>
  </r>
  <r>
    <s v="ORD_377"/>
    <x v="62"/>
    <s v="West"/>
    <s v="Gujarat"/>
    <x v="9"/>
    <x v="0"/>
    <n v="6"/>
    <x v="5"/>
    <n v="32"/>
    <n v="1985.97"/>
    <n v="11915.82"/>
  </r>
  <r>
    <s v="ORD_378"/>
    <x v="244"/>
    <s v="North"/>
    <s v="Delhi"/>
    <x v="13"/>
    <x v="2"/>
    <n v="4"/>
    <x v="8"/>
    <n v="47"/>
    <n v="2984.27"/>
    <n v="11937.08"/>
  </r>
  <r>
    <s v="ORD_379"/>
    <x v="175"/>
    <s v="West"/>
    <s v="Maharashtra"/>
    <x v="11"/>
    <x v="3"/>
    <n v="7"/>
    <x v="6"/>
    <n v="31"/>
    <n v="1711.81"/>
    <n v="11982.67"/>
  </r>
  <r>
    <s v="ORD_380"/>
    <x v="11"/>
    <s v="North"/>
    <s v="Delhi"/>
    <x v="10"/>
    <x v="1"/>
    <n v="3"/>
    <x v="0"/>
    <n v="22"/>
    <n v="4020.68"/>
    <n v="12062.039999999999"/>
  </r>
  <r>
    <s v="ORD_381"/>
    <x v="102"/>
    <s v="South"/>
    <s v="Karnataka"/>
    <x v="7"/>
    <x v="4"/>
    <n v="20"/>
    <x v="7"/>
    <n v="50"/>
    <n v="603.49"/>
    <n v="12069.8"/>
  </r>
  <r>
    <s v="ORD_382"/>
    <x v="106"/>
    <s v="South"/>
    <s v="Karnataka"/>
    <x v="7"/>
    <x v="2"/>
    <n v="19"/>
    <x v="1"/>
    <n v="44"/>
    <n v="636.20000000000005"/>
    <n v="12087.800000000001"/>
  </r>
  <r>
    <s v="ORD_383"/>
    <x v="245"/>
    <s v="South"/>
    <s v="Tamil Nadu"/>
    <x v="0"/>
    <x v="1"/>
    <n v="4"/>
    <x v="10"/>
    <n v="49"/>
    <n v="3022.72"/>
    <n v="12090.88"/>
  </r>
  <r>
    <s v="ORD_384"/>
    <x v="246"/>
    <s v="West"/>
    <s v="Gujarat"/>
    <x v="9"/>
    <x v="1"/>
    <n v="7"/>
    <x v="2"/>
    <n v="35"/>
    <n v="1729.24"/>
    <n v="12104.68"/>
  </r>
  <r>
    <s v="ORD_385"/>
    <x v="64"/>
    <s v="North"/>
    <s v="Delhi"/>
    <x v="10"/>
    <x v="0"/>
    <n v="20"/>
    <x v="5"/>
    <n v="43"/>
    <n v="605.86"/>
    <n v="12117.2"/>
  </r>
  <r>
    <s v="ORD_386"/>
    <x v="166"/>
    <s v="North"/>
    <s v="Delhi"/>
    <x v="4"/>
    <x v="4"/>
    <n v="5"/>
    <x v="9"/>
    <n v="32"/>
    <n v="2423.83"/>
    <n v="12119.15"/>
  </r>
  <r>
    <s v="ORD_387"/>
    <x v="247"/>
    <s v="West"/>
    <s v="Gujarat"/>
    <x v="9"/>
    <x v="2"/>
    <n v="3"/>
    <x v="8"/>
    <n v="20"/>
    <n v="4059.76"/>
    <n v="12179.28"/>
  </r>
  <r>
    <s v="ORD_388"/>
    <x v="71"/>
    <s v="South"/>
    <s v="Karnataka"/>
    <x v="2"/>
    <x v="1"/>
    <n v="18"/>
    <x v="9"/>
    <n v="23"/>
    <n v="678.76"/>
    <n v="12217.68"/>
  </r>
  <r>
    <s v="ORD_389"/>
    <x v="248"/>
    <s v="West"/>
    <s v="Gujarat"/>
    <x v="1"/>
    <x v="1"/>
    <n v="3"/>
    <x v="9"/>
    <n v="54"/>
    <n v="4083.59"/>
    <n v="12250.77"/>
  </r>
  <r>
    <s v="ORD_390"/>
    <x v="249"/>
    <s v="North"/>
    <s v="Delhi"/>
    <x v="4"/>
    <x v="2"/>
    <n v="5"/>
    <x v="7"/>
    <n v="31"/>
    <n v="2463.9499999999998"/>
    <n v="12319.75"/>
  </r>
  <r>
    <s v="ORD_391"/>
    <x v="161"/>
    <s v="South"/>
    <s v="Tamil Nadu"/>
    <x v="0"/>
    <x v="1"/>
    <n v="3"/>
    <x v="9"/>
    <n v="45"/>
    <n v="4132.17"/>
    <n v="12396.51"/>
  </r>
  <r>
    <s v="ORD_392"/>
    <x v="250"/>
    <s v="South"/>
    <s v="Tamil Nadu"/>
    <x v="0"/>
    <x v="1"/>
    <n v="3"/>
    <x v="0"/>
    <n v="45"/>
    <n v="4132.17"/>
    <n v="12396.51"/>
  </r>
  <r>
    <s v="ORD_393"/>
    <x v="190"/>
    <s v="South"/>
    <s v="Tamil Nadu"/>
    <x v="8"/>
    <x v="4"/>
    <n v="5"/>
    <x v="9"/>
    <n v="29"/>
    <n v="2481.2199999999998"/>
    <n v="12406.099999999999"/>
  </r>
  <r>
    <s v="ORD_394"/>
    <x v="120"/>
    <s v="South"/>
    <s v="Tamil Nadu"/>
    <x v="6"/>
    <x v="3"/>
    <n v="9"/>
    <x v="9"/>
    <n v="41"/>
    <n v="1378.65"/>
    <n v="12407.85"/>
  </r>
  <r>
    <s v="ORD_395"/>
    <x v="251"/>
    <s v="South"/>
    <s v="Tamil Nadu"/>
    <x v="6"/>
    <x v="3"/>
    <n v="9"/>
    <x v="0"/>
    <n v="41"/>
    <n v="1378.65"/>
    <n v="12407.85"/>
  </r>
  <r>
    <s v="ORD_396"/>
    <x v="252"/>
    <s v="South"/>
    <s v="Karnataka"/>
    <x v="7"/>
    <x v="3"/>
    <n v="7"/>
    <x v="9"/>
    <n v="36"/>
    <n v="1774.74"/>
    <n v="12423.18"/>
  </r>
  <r>
    <s v="ORD_397"/>
    <x v="216"/>
    <s v="North"/>
    <s v="Delhi"/>
    <x v="10"/>
    <x v="0"/>
    <n v="3"/>
    <x v="8"/>
    <n v="26"/>
    <n v="4171.91"/>
    <n v="12515.73"/>
  </r>
  <r>
    <s v="ORD_398"/>
    <x v="198"/>
    <s v="South"/>
    <s v="Karnataka"/>
    <x v="2"/>
    <x v="1"/>
    <n v="18"/>
    <x v="0"/>
    <n v="27"/>
    <n v="696.83"/>
    <n v="12542.94"/>
  </r>
  <r>
    <s v="ORD_399"/>
    <x v="253"/>
    <s v="South"/>
    <s v="Karnataka"/>
    <x v="7"/>
    <x v="2"/>
    <n v="13"/>
    <x v="7"/>
    <n v="20"/>
    <n v="968.18"/>
    <n v="12586.34"/>
  </r>
  <r>
    <s v="ORD_400"/>
    <x v="112"/>
    <s v="West"/>
    <s v="Gujarat"/>
    <x v="14"/>
    <x v="3"/>
    <n v="3"/>
    <x v="7"/>
    <n v="20"/>
    <n v="4195.66"/>
    <n v="12586.98"/>
  </r>
  <r>
    <s v="ORD_401"/>
    <x v="254"/>
    <s v="North"/>
    <s v="Delhi"/>
    <x v="4"/>
    <x v="1"/>
    <n v="3"/>
    <x v="8"/>
    <n v="51"/>
    <n v="4201.09"/>
    <n v="12603.27"/>
  </r>
  <r>
    <s v="ORD_402"/>
    <x v="52"/>
    <s v="West"/>
    <s v="Maharashtra"/>
    <x v="3"/>
    <x v="2"/>
    <n v="7"/>
    <x v="9"/>
    <n v="18"/>
    <n v="1801.74"/>
    <n v="12612.18"/>
  </r>
  <r>
    <s v="ORD_403"/>
    <x v="255"/>
    <s v="West"/>
    <s v="Maharashtra"/>
    <x v="5"/>
    <x v="3"/>
    <n v="3"/>
    <x v="9"/>
    <n v="43"/>
    <n v="4210.7700000000004"/>
    <n v="12632.310000000001"/>
  </r>
  <r>
    <s v="ORD_404"/>
    <x v="256"/>
    <s v="West"/>
    <s v="Maharashtra"/>
    <x v="5"/>
    <x v="3"/>
    <n v="3"/>
    <x v="9"/>
    <n v="43"/>
    <n v="4210.7700000000004"/>
    <n v="12632.310000000001"/>
  </r>
  <r>
    <s v="ORD_405"/>
    <x v="257"/>
    <s v="West"/>
    <s v="Gujarat"/>
    <x v="9"/>
    <x v="3"/>
    <n v="20"/>
    <x v="8"/>
    <n v="41"/>
    <n v="633.87"/>
    <n v="12677.4"/>
  </r>
  <r>
    <s v="ORD_406"/>
    <x v="258"/>
    <s v="North"/>
    <s v="Delhi"/>
    <x v="4"/>
    <x v="1"/>
    <n v="3"/>
    <x v="9"/>
    <n v="22"/>
    <n v="4229.84"/>
    <n v="12689.52"/>
  </r>
  <r>
    <s v="ORD_407"/>
    <x v="259"/>
    <s v="North"/>
    <s v="Delhi"/>
    <x v="4"/>
    <x v="1"/>
    <n v="3"/>
    <x v="0"/>
    <n v="22"/>
    <n v="4229.84"/>
    <n v="12689.52"/>
  </r>
  <r>
    <s v="ORD_408"/>
    <x v="20"/>
    <s v="South"/>
    <s v="Karnataka"/>
    <x v="7"/>
    <x v="0"/>
    <n v="16"/>
    <x v="4"/>
    <n v="25"/>
    <n v="795.17"/>
    <n v="12722.72"/>
  </r>
  <r>
    <s v="ORD_409"/>
    <x v="243"/>
    <s v="West"/>
    <s v="Maharashtra"/>
    <x v="3"/>
    <x v="3"/>
    <n v="5"/>
    <x v="2"/>
    <n v="52"/>
    <n v="2545.9299999999998"/>
    <n v="12729.65"/>
  </r>
  <r>
    <s v="ORD_410"/>
    <x v="38"/>
    <s v="South"/>
    <s v="Karnataka"/>
    <x v="2"/>
    <x v="1"/>
    <n v="12"/>
    <x v="10"/>
    <n v="17"/>
    <n v="1061.49"/>
    <n v="12737.880000000001"/>
  </r>
  <r>
    <s v="ORD_411"/>
    <x v="25"/>
    <s v="West"/>
    <s v="Gujarat"/>
    <x v="1"/>
    <x v="1"/>
    <n v="16"/>
    <x v="5"/>
    <n v="26"/>
    <n v="796.69"/>
    <n v="12747.04"/>
  </r>
  <r>
    <s v="ORD_412"/>
    <x v="143"/>
    <s v="South"/>
    <s v="Tamil Nadu"/>
    <x v="6"/>
    <x v="2"/>
    <n v="8"/>
    <x v="1"/>
    <n v="54"/>
    <n v="1595.76"/>
    <n v="12766.08"/>
  </r>
  <r>
    <s v="ORD_413"/>
    <x v="154"/>
    <s v="South"/>
    <s v="Karnataka"/>
    <x v="12"/>
    <x v="1"/>
    <n v="11"/>
    <x v="8"/>
    <n v="29"/>
    <n v="1169.3"/>
    <n v="12862.3"/>
  </r>
  <r>
    <s v="ORD_414"/>
    <x v="37"/>
    <s v="North"/>
    <s v="Delhi"/>
    <x v="4"/>
    <x v="4"/>
    <n v="17"/>
    <x v="5"/>
    <n v="42"/>
    <n v="758.19"/>
    <n v="12889.230000000001"/>
  </r>
  <r>
    <s v="ORD_415"/>
    <x v="86"/>
    <s v="North"/>
    <s v="Delhi"/>
    <x v="13"/>
    <x v="2"/>
    <n v="13"/>
    <x v="2"/>
    <n v="44"/>
    <n v="993.43"/>
    <n v="12914.59"/>
  </r>
  <r>
    <s v="ORD_416"/>
    <x v="260"/>
    <s v="West"/>
    <s v="Maharashtra"/>
    <x v="11"/>
    <x v="0"/>
    <n v="5"/>
    <x v="9"/>
    <n v="40"/>
    <n v="2583.81"/>
    <n v="12919.05"/>
  </r>
  <r>
    <s v="ORD_417"/>
    <x v="261"/>
    <s v="South"/>
    <s v="Karnataka"/>
    <x v="12"/>
    <x v="2"/>
    <n v="7"/>
    <x v="4"/>
    <n v="55"/>
    <n v="1849.17"/>
    <n v="12944.19"/>
  </r>
  <r>
    <s v="ORD_418"/>
    <x v="262"/>
    <s v="West"/>
    <s v="Gujarat"/>
    <x v="14"/>
    <x v="3"/>
    <n v="15"/>
    <x v="1"/>
    <n v="49"/>
    <n v="866.62"/>
    <n v="12999.3"/>
  </r>
  <r>
    <s v="ORD_419"/>
    <x v="43"/>
    <s v="South"/>
    <s v="Tamil Nadu"/>
    <x v="6"/>
    <x v="4"/>
    <n v="3"/>
    <x v="5"/>
    <n v="50"/>
    <n v="4363.3"/>
    <n v="13089.900000000001"/>
  </r>
  <r>
    <s v="ORD_420"/>
    <x v="84"/>
    <s v="South"/>
    <s v="Karnataka"/>
    <x v="7"/>
    <x v="0"/>
    <n v="6"/>
    <x v="7"/>
    <n v="51"/>
    <n v="2207.64"/>
    <n v="13245.84"/>
  </r>
  <r>
    <s v="ORD_421"/>
    <x v="58"/>
    <s v="South"/>
    <s v="Karnataka"/>
    <x v="2"/>
    <x v="1"/>
    <n v="12"/>
    <x v="3"/>
    <n v="47"/>
    <n v="1104.74"/>
    <n v="13256.880000000001"/>
  </r>
  <r>
    <s v="ORD_422"/>
    <x v="242"/>
    <s v="West"/>
    <s v="Maharashtra"/>
    <x v="3"/>
    <x v="3"/>
    <n v="9"/>
    <x v="10"/>
    <n v="35"/>
    <n v="1474.56"/>
    <n v="13271.039999999999"/>
  </r>
  <r>
    <s v="ORD_423"/>
    <x v="253"/>
    <s v="West"/>
    <s v="Gujarat"/>
    <x v="9"/>
    <x v="4"/>
    <n v="14"/>
    <x v="2"/>
    <n v="20"/>
    <n v="948.05"/>
    <n v="13272.699999999999"/>
  </r>
  <r>
    <s v="ORD_424"/>
    <x v="234"/>
    <s v="West"/>
    <s v="Maharashtra"/>
    <x v="3"/>
    <x v="4"/>
    <n v="7"/>
    <x v="6"/>
    <n v="40"/>
    <n v="1905.14"/>
    <n v="13335.980000000001"/>
  </r>
  <r>
    <s v="ORD_425"/>
    <x v="70"/>
    <s v="South"/>
    <s v="Tamil Nadu"/>
    <x v="6"/>
    <x v="2"/>
    <n v="8"/>
    <x v="7"/>
    <n v="42"/>
    <n v="1670.31"/>
    <n v="13362.48"/>
  </r>
  <r>
    <s v="ORD_426"/>
    <x v="135"/>
    <s v="South"/>
    <s v="Karnataka"/>
    <x v="2"/>
    <x v="0"/>
    <n v="13"/>
    <x v="5"/>
    <n v="19"/>
    <n v="1030.9000000000001"/>
    <n v="13401.7"/>
  </r>
  <r>
    <s v="ORD_427"/>
    <x v="183"/>
    <s v="North"/>
    <s v="Delhi"/>
    <x v="10"/>
    <x v="2"/>
    <n v="5"/>
    <x v="1"/>
    <n v="19"/>
    <n v="2681.34"/>
    <n v="13406.7"/>
  </r>
  <r>
    <s v="ORD_428"/>
    <x v="112"/>
    <s v="West"/>
    <s v="Gujarat"/>
    <x v="1"/>
    <x v="0"/>
    <n v="4"/>
    <x v="6"/>
    <n v="39"/>
    <n v="3377.27"/>
    <n v="13509.08"/>
  </r>
  <r>
    <s v="ORD_429"/>
    <x v="15"/>
    <s v="West"/>
    <s v="Gujarat"/>
    <x v="14"/>
    <x v="4"/>
    <n v="19"/>
    <x v="0"/>
    <n v="46"/>
    <n v="713.8"/>
    <n v="13562.199999999999"/>
  </r>
  <r>
    <s v="ORD_430"/>
    <x v="263"/>
    <s v="West"/>
    <s v="Gujarat"/>
    <x v="14"/>
    <x v="3"/>
    <n v="15"/>
    <x v="7"/>
    <n v="38"/>
    <n v="916.75"/>
    <n v="13751.25"/>
  </r>
  <r>
    <s v="ORD_431"/>
    <x v="196"/>
    <s v="North"/>
    <s v="Delhi"/>
    <x v="4"/>
    <x v="1"/>
    <n v="3"/>
    <x v="7"/>
    <n v="16"/>
    <n v="4608.8900000000003"/>
    <n v="13826.670000000002"/>
  </r>
  <r>
    <s v="ORD_432"/>
    <x v="183"/>
    <s v="South"/>
    <s v="Tamil Nadu"/>
    <x v="6"/>
    <x v="2"/>
    <n v="16"/>
    <x v="9"/>
    <n v="41"/>
    <n v="874.99"/>
    <n v="13999.84"/>
  </r>
  <r>
    <s v="ORD_433"/>
    <x v="221"/>
    <s v="West"/>
    <s v="Gujarat"/>
    <x v="14"/>
    <x v="2"/>
    <n v="3"/>
    <x v="2"/>
    <n v="39"/>
    <n v="4678.38"/>
    <n v="14035.14"/>
  </r>
  <r>
    <s v="ORD_434"/>
    <x v="264"/>
    <s v="West"/>
    <s v="Gujarat"/>
    <x v="14"/>
    <x v="2"/>
    <n v="12"/>
    <x v="1"/>
    <n v="55"/>
    <n v="1169.8399999999999"/>
    <n v="14038.079999999998"/>
  </r>
  <r>
    <s v="ORD_435"/>
    <x v="117"/>
    <s v="West"/>
    <s v="Gujarat"/>
    <x v="14"/>
    <x v="3"/>
    <n v="11"/>
    <x v="4"/>
    <n v="44"/>
    <n v="1278.32"/>
    <n v="14061.519999999999"/>
  </r>
  <r>
    <s v="ORD_436"/>
    <x v="30"/>
    <s v="South"/>
    <s v="Karnataka"/>
    <x v="12"/>
    <x v="3"/>
    <n v="7"/>
    <x v="2"/>
    <n v="44"/>
    <n v="2016.03"/>
    <n v="14112.21"/>
  </r>
  <r>
    <s v="ORD_437"/>
    <x v="48"/>
    <s v="North"/>
    <s v="Delhi"/>
    <x v="4"/>
    <x v="2"/>
    <n v="5"/>
    <x v="1"/>
    <n v="19"/>
    <n v="2846.34"/>
    <n v="14231.7"/>
  </r>
  <r>
    <s v="ORD_438"/>
    <x v="17"/>
    <s v="West"/>
    <s v="Gujarat"/>
    <x v="1"/>
    <x v="1"/>
    <n v="4"/>
    <x v="7"/>
    <n v="50"/>
    <n v="3561.12"/>
    <n v="14244.48"/>
  </r>
  <r>
    <s v="ORD_439"/>
    <x v="265"/>
    <s v="South"/>
    <s v="Karnataka"/>
    <x v="7"/>
    <x v="0"/>
    <n v="7"/>
    <x v="3"/>
    <n v="40"/>
    <n v="2048.48"/>
    <n v="14339.36"/>
  </r>
  <r>
    <s v="ORD_440"/>
    <x v="32"/>
    <s v="South"/>
    <s v="Karnataka"/>
    <x v="2"/>
    <x v="2"/>
    <n v="8"/>
    <x v="2"/>
    <n v="19"/>
    <n v="1794.45"/>
    <n v="14355.6"/>
  </r>
  <r>
    <s v="ORD_441"/>
    <x v="132"/>
    <s v="West"/>
    <s v="Gujarat"/>
    <x v="14"/>
    <x v="4"/>
    <n v="15"/>
    <x v="10"/>
    <n v="35"/>
    <n v="961.23"/>
    <n v="14418.45"/>
  </r>
  <r>
    <s v="ORD_442"/>
    <x v="244"/>
    <s v="South"/>
    <s v="Karnataka"/>
    <x v="2"/>
    <x v="4"/>
    <n v="20"/>
    <x v="9"/>
    <n v="39"/>
    <n v="722.13"/>
    <n v="14442.6"/>
  </r>
  <r>
    <s v="ORD_443"/>
    <x v="266"/>
    <s v="West"/>
    <s v="Maharashtra"/>
    <x v="5"/>
    <x v="3"/>
    <n v="11"/>
    <x v="2"/>
    <n v="48"/>
    <n v="1316.18"/>
    <n v="14477.980000000001"/>
  </r>
  <r>
    <s v="ORD_444"/>
    <x v="267"/>
    <s v="South"/>
    <s v="Karnataka"/>
    <x v="7"/>
    <x v="4"/>
    <n v="3"/>
    <x v="2"/>
    <n v="38"/>
    <n v="4876.51"/>
    <n v="14629.53"/>
  </r>
  <r>
    <s v="ORD_445"/>
    <x v="48"/>
    <s v="West"/>
    <s v="Gujarat"/>
    <x v="14"/>
    <x v="3"/>
    <n v="3"/>
    <x v="10"/>
    <n v="18"/>
    <n v="4888.03"/>
    <n v="14664.09"/>
  </r>
  <r>
    <s v="ORD_446"/>
    <x v="268"/>
    <s v="West"/>
    <s v="Gujarat"/>
    <x v="1"/>
    <x v="4"/>
    <n v="18"/>
    <x v="10"/>
    <n v="38"/>
    <n v="814.69"/>
    <n v="14664.420000000002"/>
  </r>
  <r>
    <s v="ORD_447"/>
    <x v="269"/>
    <s v="South"/>
    <s v="Tamil Nadu"/>
    <x v="8"/>
    <x v="2"/>
    <n v="6"/>
    <x v="6"/>
    <n v="25"/>
    <n v="2463.6799999999998"/>
    <n v="14782.079999999998"/>
  </r>
  <r>
    <s v="ORD_448"/>
    <x v="270"/>
    <s v="South"/>
    <s v="Tamil Nadu"/>
    <x v="8"/>
    <x v="2"/>
    <n v="6"/>
    <x v="0"/>
    <n v="25"/>
    <n v="2463.6799999999998"/>
    <n v="14782.079999999998"/>
  </r>
  <r>
    <s v="ORD_449"/>
    <x v="32"/>
    <s v="North"/>
    <s v="Delhi"/>
    <x v="4"/>
    <x v="4"/>
    <n v="5"/>
    <x v="6"/>
    <n v="36"/>
    <n v="2957.2"/>
    <n v="14786"/>
  </r>
  <r>
    <s v="ORD_450"/>
    <x v="263"/>
    <s v="West"/>
    <s v="Maharashtra"/>
    <x v="5"/>
    <x v="1"/>
    <n v="4"/>
    <x v="0"/>
    <n v="44"/>
    <n v="3725.78"/>
    <n v="14903.12"/>
  </r>
  <r>
    <s v="ORD_451"/>
    <x v="211"/>
    <s v="South"/>
    <s v="Tamil Nadu"/>
    <x v="6"/>
    <x v="2"/>
    <n v="3"/>
    <x v="9"/>
    <n v="32"/>
    <n v="4999.6899999999996"/>
    <n v="14999.07"/>
  </r>
  <r>
    <s v="ORD_452"/>
    <x v="271"/>
    <s v="North"/>
    <s v="Delhi"/>
    <x v="4"/>
    <x v="3"/>
    <n v="9"/>
    <x v="8"/>
    <n v="41"/>
    <n v="1667.06"/>
    <n v="15003.539999999999"/>
  </r>
  <r>
    <s v="ORD_453"/>
    <x v="272"/>
    <s v="South"/>
    <s v="Tamil Nadu"/>
    <x v="6"/>
    <x v="0"/>
    <n v="11"/>
    <x v="6"/>
    <n v="28"/>
    <n v="1389.59"/>
    <n v="15285.49"/>
  </r>
  <r>
    <s v="ORD_454"/>
    <x v="273"/>
    <s v="North"/>
    <s v="Delhi"/>
    <x v="13"/>
    <x v="4"/>
    <n v="14"/>
    <x v="7"/>
    <n v="24"/>
    <n v="1094.1400000000001"/>
    <n v="15317.960000000001"/>
  </r>
  <r>
    <s v="ORD_455"/>
    <x v="102"/>
    <s v="West"/>
    <s v="Gujarat"/>
    <x v="1"/>
    <x v="1"/>
    <n v="8"/>
    <x v="10"/>
    <n v="20"/>
    <n v="1916.14"/>
    <n v="15329.12"/>
  </r>
  <r>
    <s v="ORD_456"/>
    <x v="125"/>
    <s v="West"/>
    <s v="Gujarat"/>
    <x v="9"/>
    <x v="0"/>
    <n v="8"/>
    <x v="2"/>
    <n v="46"/>
    <n v="1927.88"/>
    <n v="15423.04"/>
  </r>
  <r>
    <s v="ORD_457"/>
    <x v="178"/>
    <s v="South"/>
    <s v="Tamil Nadu"/>
    <x v="8"/>
    <x v="1"/>
    <n v="20"/>
    <x v="9"/>
    <n v="44"/>
    <n v="774.07"/>
    <n v="15481.400000000001"/>
  </r>
  <r>
    <s v="ORD_458"/>
    <x v="215"/>
    <s v="South"/>
    <s v="Karnataka"/>
    <x v="2"/>
    <x v="4"/>
    <n v="5"/>
    <x v="9"/>
    <n v="32"/>
    <n v="3103.12"/>
    <n v="15515.599999999999"/>
  </r>
  <r>
    <s v="ORD_459"/>
    <x v="169"/>
    <s v="South"/>
    <s v="Karnataka"/>
    <x v="7"/>
    <x v="4"/>
    <n v="16"/>
    <x v="9"/>
    <n v="25"/>
    <n v="971.39"/>
    <n v="15542.24"/>
  </r>
  <r>
    <s v="ORD_460"/>
    <x v="274"/>
    <s v="West"/>
    <s v="Maharashtra"/>
    <x v="3"/>
    <x v="2"/>
    <n v="13"/>
    <x v="9"/>
    <n v="30"/>
    <n v="1198.5"/>
    <n v="15580.5"/>
  </r>
  <r>
    <s v="ORD_461"/>
    <x v="193"/>
    <s v="North"/>
    <s v="Delhi"/>
    <x v="10"/>
    <x v="0"/>
    <n v="7"/>
    <x v="6"/>
    <n v="33"/>
    <n v="2227.0700000000002"/>
    <n v="15589.490000000002"/>
  </r>
  <r>
    <s v="ORD_462"/>
    <x v="275"/>
    <s v="North"/>
    <s v="Delhi"/>
    <x v="10"/>
    <x v="3"/>
    <n v="11"/>
    <x v="10"/>
    <n v="28"/>
    <n v="1418.67"/>
    <n v="15605.37"/>
  </r>
  <r>
    <s v="ORD_463"/>
    <x v="276"/>
    <s v="North"/>
    <s v="Delhi"/>
    <x v="4"/>
    <x v="2"/>
    <n v="14"/>
    <x v="1"/>
    <n v="55"/>
    <n v="1116.79"/>
    <n v="15635.06"/>
  </r>
  <r>
    <s v="ORD_464"/>
    <x v="201"/>
    <s v="North"/>
    <s v="Delhi"/>
    <x v="13"/>
    <x v="1"/>
    <n v="12"/>
    <x v="2"/>
    <n v="16"/>
    <n v="1304.81"/>
    <n v="15657.72"/>
  </r>
  <r>
    <s v="ORD_465"/>
    <x v="161"/>
    <s v="West"/>
    <s v="Gujarat"/>
    <x v="9"/>
    <x v="1"/>
    <n v="6"/>
    <x v="9"/>
    <n v="44"/>
    <n v="2609.65"/>
    <n v="15657.900000000001"/>
  </r>
  <r>
    <s v="ORD_466"/>
    <x v="277"/>
    <s v="South"/>
    <s v="Karnataka"/>
    <x v="7"/>
    <x v="3"/>
    <n v="8"/>
    <x v="5"/>
    <n v="41"/>
    <n v="1968.58"/>
    <n v="15748.64"/>
  </r>
  <r>
    <s v="ORD_467"/>
    <x v="203"/>
    <s v="West"/>
    <s v="Maharashtra"/>
    <x v="5"/>
    <x v="2"/>
    <n v="5"/>
    <x v="7"/>
    <n v="38"/>
    <n v="3156.9"/>
    <n v="15784.5"/>
  </r>
  <r>
    <s v="ORD_468"/>
    <x v="278"/>
    <s v="West"/>
    <s v="Gujarat"/>
    <x v="14"/>
    <x v="0"/>
    <n v="11"/>
    <x v="10"/>
    <n v="25"/>
    <n v="1435.18"/>
    <n v="15786.980000000001"/>
  </r>
  <r>
    <s v="ORD_469"/>
    <x v="148"/>
    <s v="South"/>
    <s v="Tamil Nadu"/>
    <x v="6"/>
    <x v="1"/>
    <n v="13"/>
    <x v="8"/>
    <n v="55"/>
    <n v="1220.76"/>
    <n v="15869.88"/>
  </r>
  <r>
    <s v="ORD_470"/>
    <x v="279"/>
    <s v="South"/>
    <s v="Karnataka"/>
    <x v="2"/>
    <x v="4"/>
    <n v="18"/>
    <x v="5"/>
    <n v="35"/>
    <n v="883.32"/>
    <n v="15899.76"/>
  </r>
  <r>
    <s v="ORD_471"/>
    <x v="56"/>
    <s v="North"/>
    <s v="Delhi"/>
    <x v="10"/>
    <x v="2"/>
    <n v="5"/>
    <x v="3"/>
    <n v="21"/>
    <n v="3181.48"/>
    <n v="15907.4"/>
  </r>
  <r>
    <s v="ORD_472"/>
    <x v="237"/>
    <s v="West"/>
    <s v="Maharashtra"/>
    <x v="3"/>
    <x v="1"/>
    <n v="12"/>
    <x v="9"/>
    <n v="23"/>
    <n v="1333.81"/>
    <n v="16005.72"/>
  </r>
  <r>
    <s v="ORD_473"/>
    <x v="280"/>
    <s v="West"/>
    <s v="Maharashtra"/>
    <x v="3"/>
    <x v="2"/>
    <n v="4"/>
    <x v="3"/>
    <n v="51"/>
    <n v="4020.65"/>
    <n v="16082.6"/>
  </r>
  <r>
    <s v="ORD_474"/>
    <x v="145"/>
    <s v="South"/>
    <s v="Tamil Nadu"/>
    <x v="6"/>
    <x v="4"/>
    <n v="17"/>
    <x v="9"/>
    <n v="47"/>
    <n v="947.7"/>
    <n v="16110.900000000001"/>
  </r>
  <r>
    <s v="ORD_475"/>
    <x v="281"/>
    <s v="North"/>
    <s v="Delhi"/>
    <x v="4"/>
    <x v="1"/>
    <n v="8"/>
    <x v="2"/>
    <n v="41"/>
    <n v="2019.04"/>
    <n v="16152.32"/>
  </r>
  <r>
    <s v="ORD_476"/>
    <x v="63"/>
    <s v="South"/>
    <s v="Tamil Nadu"/>
    <x v="0"/>
    <x v="4"/>
    <n v="4"/>
    <x v="6"/>
    <n v="45"/>
    <n v="4058.48"/>
    <n v="16233.92"/>
  </r>
  <r>
    <s v="ORD_477"/>
    <x v="71"/>
    <s v="West"/>
    <s v="Maharashtra"/>
    <x v="5"/>
    <x v="3"/>
    <n v="12"/>
    <x v="0"/>
    <n v="33"/>
    <n v="1352.89"/>
    <n v="16234.68"/>
  </r>
  <r>
    <s v="ORD_478"/>
    <x v="9"/>
    <s v="South"/>
    <s v="Tamil Nadu"/>
    <x v="0"/>
    <x v="4"/>
    <n v="9"/>
    <x v="4"/>
    <n v="32"/>
    <n v="1805.32"/>
    <n v="16247.88"/>
  </r>
  <r>
    <s v="ORD_479"/>
    <x v="73"/>
    <s v="West"/>
    <s v="Maharashtra"/>
    <x v="3"/>
    <x v="3"/>
    <n v="5"/>
    <x v="1"/>
    <n v="25"/>
    <n v="3259.3"/>
    <n v="16296.5"/>
  </r>
  <r>
    <s v="ORD_480"/>
    <x v="255"/>
    <s v="West"/>
    <s v="Gujarat"/>
    <x v="14"/>
    <x v="4"/>
    <n v="16"/>
    <x v="6"/>
    <n v="28"/>
    <n v="1023.78"/>
    <n v="16380.48"/>
  </r>
  <r>
    <s v="ORD_481"/>
    <x v="155"/>
    <s v="West"/>
    <s v="Gujarat"/>
    <x v="9"/>
    <x v="2"/>
    <n v="16"/>
    <x v="9"/>
    <n v="50"/>
    <n v="1025.8"/>
    <n v="16412.8"/>
  </r>
  <r>
    <s v="ORD_482"/>
    <x v="282"/>
    <s v="South"/>
    <s v="Tamil Nadu"/>
    <x v="6"/>
    <x v="2"/>
    <n v="18"/>
    <x v="0"/>
    <n v="23"/>
    <n v="913.13"/>
    <n v="16436.34"/>
  </r>
  <r>
    <s v="ORD_483"/>
    <x v="215"/>
    <s v="West"/>
    <s v="Maharashtra"/>
    <x v="5"/>
    <x v="2"/>
    <n v="5"/>
    <x v="10"/>
    <n v="19"/>
    <n v="3288.58"/>
    <n v="16442.900000000001"/>
  </r>
  <r>
    <s v="ORD_484"/>
    <x v="271"/>
    <s v="West"/>
    <s v="Gujarat"/>
    <x v="14"/>
    <x v="3"/>
    <n v="15"/>
    <x v="3"/>
    <n v="55"/>
    <n v="1098.31"/>
    <n v="16474.649999999998"/>
  </r>
  <r>
    <s v="ORD_485"/>
    <x v="216"/>
    <s v="North"/>
    <s v="Delhi"/>
    <x v="4"/>
    <x v="4"/>
    <n v="12"/>
    <x v="4"/>
    <n v="16"/>
    <n v="1377.41"/>
    <n v="16528.920000000002"/>
  </r>
  <r>
    <s v="ORD_486"/>
    <x v="283"/>
    <s v="North"/>
    <s v="Delhi"/>
    <x v="4"/>
    <x v="4"/>
    <n v="12"/>
    <x v="4"/>
    <n v="16"/>
    <n v="1377.41"/>
    <n v="16528.920000000002"/>
  </r>
  <r>
    <s v="ORD_487"/>
    <x v="284"/>
    <s v="North"/>
    <s v="Delhi"/>
    <x v="13"/>
    <x v="2"/>
    <n v="6"/>
    <x v="7"/>
    <n v="26"/>
    <n v="2772.51"/>
    <n v="16635.060000000001"/>
  </r>
  <r>
    <s v="ORD_488"/>
    <x v="285"/>
    <s v="West"/>
    <s v="Maharashtra"/>
    <x v="3"/>
    <x v="2"/>
    <n v="7"/>
    <x v="4"/>
    <n v="39"/>
    <n v="2384.5100000000002"/>
    <n v="16691.57"/>
  </r>
  <r>
    <s v="ORD_489"/>
    <x v="215"/>
    <s v="West"/>
    <s v="Maharashtra"/>
    <x v="5"/>
    <x v="1"/>
    <n v="15"/>
    <x v="9"/>
    <n v="49"/>
    <n v="1113.76"/>
    <n v="16706.400000000001"/>
  </r>
  <r>
    <s v="ORD_490"/>
    <x v="42"/>
    <s v="West"/>
    <s v="Maharashtra"/>
    <x v="3"/>
    <x v="0"/>
    <n v="5"/>
    <x v="9"/>
    <n v="37"/>
    <n v="3342.48"/>
    <n v="16712.400000000001"/>
  </r>
  <r>
    <s v="ORD_491"/>
    <x v="284"/>
    <s v="South"/>
    <s v="Karnataka"/>
    <x v="7"/>
    <x v="3"/>
    <n v="8"/>
    <x v="0"/>
    <n v="46"/>
    <n v="2112.66"/>
    <n v="16901.28"/>
  </r>
  <r>
    <s v="ORD_492"/>
    <x v="286"/>
    <s v="West"/>
    <s v="Maharashtra"/>
    <x v="3"/>
    <x v="4"/>
    <n v="4"/>
    <x v="1"/>
    <n v="28"/>
    <n v="4245.67"/>
    <n v="16982.68"/>
  </r>
  <r>
    <s v="ORD_493"/>
    <x v="226"/>
    <s v="West"/>
    <s v="Gujarat"/>
    <x v="1"/>
    <x v="1"/>
    <n v="14"/>
    <x v="2"/>
    <n v="18"/>
    <n v="1215.6199999999999"/>
    <n v="17018.68"/>
  </r>
  <r>
    <s v="ORD_494"/>
    <x v="286"/>
    <s v="North"/>
    <s v="Delhi"/>
    <x v="4"/>
    <x v="4"/>
    <n v="5"/>
    <x v="6"/>
    <n v="47"/>
    <n v="3404.87"/>
    <n v="17024.349999999999"/>
  </r>
  <r>
    <s v="ORD_495"/>
    <x v="136"/>
    <s v="West"/>
    <s v="Gujarat"/>
    <x v="9"/>
    <x v="0"/>
    <n v="4"/>
    <x v="8"/>
    <n v="50"/>
    <n v="4317.2"/>
    <n v="17268.8"/>
  </r>
  <r>
    <s v="ORD_496"/>
    <x v="101"/>
    <s v="South"/>
    <s v="Karnataka"/>
    <x v="7"/>
    <x v="3"/>
    <n v="4"/>
    <x v="4"/>
    <n v="51"/>
    <n v="4337.09"/>
    <n v="17348.36"/>
  </r>
  <r>
    <s v="ORD_497"/>
    <x v="74"/>
    <s v="West"/>
    <s v="Maharashtra"/>
    <x v="11"/>
    <x v="4"/>
    <n v="4"/>
    <x v="5"/>
    <n v="32"/>
    <n v="4368.46"/>
    <n v="17473.84"/>
  </r>
  <r>
    <s v="ORD_498"/>
    <x v="287"/>
    <s v="West"/>
    <s v="Maharashtra"/>
    <x v="5"/>
    <x v="3"/>
    <n v="4"/>
    <x v="9"/>
    <n v="18"/>
    <n v="4386.54"/>
    <n v="17546.16"/>
  </r>
  <r>
    <s v="ORD_499"/>
    <x v="269"/>
    <s v="South"/>
    <s v="Tamil Nadu"/>
    <x v="8"/>
    <x v="3"/>
    <n v="14"/>
    <x v="9"/>
    <n v="50"/>
    <n v="1273.8399999999999"/>
    <n v="17833.759999999998"/>
  </r>
  <r>
    <s v="ORD_500"/>
    <x v="288"/>
    <s v="South"/>
    <s v="Tamil Nadu"/>
    <x v="8"/>
    <x v="4"/>
    <n v="7"/>
    <x v="2"/>
    <n v="37"/>
    <n v="2557.77"/>
    <n v="17904.39"/>
  </r>
  <r>
    <s v="ORD_501"/>
    <x v="177"/>
    <s v="South"/>
    <s v="Karnataka"/>
    <x v="12"/>
    <x v="0"/>
    <n v="7"/>
    <x v="1"/>
    <n v="44"/>
    <n v="2560.5"/>
    <n v="17923.5"/>
  </r>
  <r>
    <s v="ORD_502"/>
    <x v="236"/>
    <s v="West"/>
    <s v="Gujarat"/>
    <x v="14"/>
    <x v="1"/>
    <n v="5"/>
    <x v="5"/>
    <n v="55"/>
    <n v="3619.58"/>
    <n v="18097.900000000001"/>
  </r>
  <r>
    <s v="ORD_503"/>
    <x v="29"/>
    <s v="South"/>
    <s v="Tamil Nadu"/>
    <x v="0"/>
    <x v="1"/>
    <n v="14"/>
    <x v="6"/>
    <n v="16"/>
    <n v="1293.27"/>
    <n v="18105.78"/>
  </r>
  <r>
    <s v="ORD_504"/>
    <x v="289"/>
    <s v="West"/>
    <s v="Gujarat"/>
    <x v="9"/>
    <x v="3"/>
    <n v="5"/>
    <x v="1"/>
    <n v="25"/>
    <n v="3631.01"/>
    <n v="18155.050000000003"/>
  </r>
  <r>
    <s v="ORD_505"/>
    <x v="56"/>
    <s v="South"/>
    <s v="Karnataka"/>
    <x v="2"/>
    <x v="3"/>
    <n v="17"/>
    <x v="0"/>
    <n v="49"/>
    <n v="1071.3"/>
    <n v="18212.099999999999"/>
  </r>
  <r>
    <s v="ORD_506"/>
    <x v="138"/>
    <s v="West"/>
    <s v="Gujarat"/>
    <x v="9"/>
    <x v="4"/>
    <n v="6"/>
    <x v="2"/>
    <n v="55"/>
    <n v="3051.1"/>
    <n v="18306.599999999999"/>
  </r>
  <r>
    <s v="ORD_507"/>
    <x v="121"/>
    <s v="South"/>
    <s v="Karnataka"/>
    <x v="12"/>
    <x v="3"/>
    <n v="5"/>
    <x v="6"/>
    <n v="16"/>
    <n v="3701.17"/>
    <n v="18505.849999999999"/>
  </r>
  <r>
    <s v="ORD_508"/>
    <x v="260"/>
    <s v="West"/>
    <s v="Maharashtra"/>
    <x v="3"/>
    <x v="2"/>
    <n v="5"/>
    <x v="4"/>
    <n v="40"/>
    <n v="3732.82"/>
    <n v="18664.100000000002"/>
  </r>
  <r>
    <s v="ORD_509"/>
    <x v="290"/>
    <s v="West"/>
    <s v="Maharashtra"/>
    <x v="3"/>
    <x v="2"/>
    <n v="5"/>
    <x v="4"/>
    <n v="40"/>
    <n v="3732.82"/>
    <n v="18664.100000000002"/>
  </r>
  <r>
    <s v="ORD_510"/>
    <x v="291"/>
    <s v="South"/>
    <s v="Karnataka"/>
    <x v="7"/>
    <x v="0"/>
    <n v="6"/>
    <x v="9"/>
    <n v="19"/>
    <n v="3116.12"/>
    <n v="18696.72"/>
  </r>
  <r>
    <s v="ORD_511"/>
    <x v="292"/>
    <s v="South"/>
    <s v="Tamil Nadu"/>
    <x v="6"/>
    <x v="2"/>
    <n v="11"/>
    <x v="4"/>
    <n v="42"/>
    <n v="1703.12"/>
    <n v="18734.32"/>
  </r>
  <r>
    <s v="ORD_512"/>
    <x v="293"/>
    <s v="South"/>
    <s v="Karnataka"/>
    <x v="7"/>
    <x v="0"/>
    <n v="8"/>
    <x v="6"/>
    <n v="23"/>
    <n v="2342.02"/>
    <n v="18736.16"/>
  </r>
  <r>
    <s v="ORD_513"/>
    <x v="294"/>
    <s v="South"/>
    <s v="Karnataka"/>
    <x v="7"/>
    <x v="0"/>
    <n v="8"/>
    <x v="0"/>
    <n v="23"/>
    <n v="2342.02"/>
    <n v="18736.16"/>
  </r>
  <r>
    <s v="ORD_514"/>
    <x v="45"/>
    <s v="North"/>
    <s v="Delhi"/>
    <x v="10"/>
    <x v="2"/>
    <n v="6"/>
    <x v="8"/>
    <n v="26"/>
    <n v="3125.31"/>
    <n v="18751.86"/>
  </r>
  <r>
    <s v="ORD_515"/>
    <x v="170"/>
    <s v="West"/>
    <s v="Gujarat"/>
    <x v="9"/>
    <x v="2"/>
    <n v="4"/>
    <x v="1"/>
    <n v="17"/>
    <n v="4697.07"/>
    <n v="18788.28"/>
  </r>
  <r>
    <s v="ORD_516"/>
    <x v="254"/>
    <s v="West"/>
    <s v="Maharashtra"/>
    <x v="5"/>
    <x v="1"/>
    <n v="11"/>
    <x v="10"/>
    <n v="53"/>
    <n v="1708.99"/>
    <n v="18798.89"/>
  </r>
  <r>
    <s v="ORD_517"/>
    <x v="191"/>
    <s v="West"/>
    <s v="Gujarat"/>
    <x v="14"/>
    <x v="0"/>
    <n v="5"/>
    <x v="4"/>
    <n v="29"/>
    <n v="3770.46"/>
    <n v="18852.3"/>
  </r>
  <r>
    <s v="ORD_518"/>
    <x v="60"/>
    <s v="South"/>
    <s v="Karnataka"/>
    <x v="12"/>
    <x v="0"/>
    <n v="15"/>
    <x v="0"/>
    <n v="21"/>
    <n v="1259.1600000000001"/>
    <n v="18887.400000000001"/>
  </r>
  <r>
    <s v="ORD_519"/>
    <x v="254"/>
    <s v="South"/>
    <s v="Tamil Nadu"/>
    <x v="8"/>
    <x v="2"/>
    <n v="5"/>
    <x v="0"/>
    <n v="28"/>
    <n v="3786.28"/>
    <n v="18931.400000000001"/>
  </r>
  <r>
    <s v="ORD_520"/>
    <x v="295"/>
    <s v="South"/>
    <s v="Tamil Nadu"/>
    <x v="6"/>
    <x v="4"/>
    <n v="7"/>
    <x v="2"/>
    <n v="50"/>
    <n v="2706.33"/>
    <n v="18944.309999999998"/>
  </r>
  <r>
    <s v="ORD_521"/>
    <x v="236"/>
    <s v="North"/>
    <s v="Delhi"/>
    <x v="13"/>
    <x v="2"/>
    <n v="6"/>
    <x v="10"/>
    <n v="36"/>
    <n v="3175.44"/>
    <n v="19052.64"/>
  </r>
  <r>
    <s v="ORD_522"/>
    <x v="139"/>
    <s v="South"/>
    <s v="Tamil Nadu"/>
    <x v="6"/>
    <x v="4"/>
    <n v="13"/>
    <x v="3"/>
    <n v="39"/>
    <n v="1466.66"/>
    <n v="19066.580000000002"/>
  </r>
  <r>
    <s v="ORD_523"/>
    <x v="296"/>
    <s v="North"/>
    <s v="Delhi"/>
    <x v="4"/>
    <x v="1"/>
    <n v="16"/>
    <x v="3"/>
    <n v="54"/>
    <n v="1192.3800000000001"/>
    <n v="19078.080000000002"/>
  </r>
  <r>
    <s v="ORD_524"/>
    <x v="110"/>
    <s v="South"/>
    <s v="Tamil Nadu"/>
    <x v="8"/>
    <x v="1"/>
    <n v="4"/>
    <x v="5"/>
    <n v="24"/>
    <n v="4782.74"/>
    <n v="19130.96"/>
  </r>
  <r>
    <s v="ORD_525"/>
    <x v="135"/>
    <s v="South"/>
    <s v="Tamil Nadu"/>
    <x v="0"/>
    <x v="0"/>
    <n v="12"/>
    <x v="6"/>
    <n v="31"/>
    <n v="1608.11"/>
    <n v="19297.32"/>
  </r>
  <r>
    <s v="ORD_526"/>
    <x v="66"/>
    <s v="West"/>
    <s v="Gujarat"/>
    <x v="9"/>
    <x v="2"/>
    <n v="5"/>
    <x v="6"/>
    <n v="25"/>
    <n v="3860.73"/>
    <n v="19303.650000000001"/>
  </r>
  <r>
    <s v="ORD_527"/>
    <x v="297"/>
    <s v="West"/>
    <s v="Gujarat"/>
    <x v="9"/>
    <x v="2"/>
    <n v="5"/>
    <x v="0"/>
    <n v="25"/>
    <n v="3860.73"/>
    <n v="19303.650000000001"/>
  </r>
  <r>
    <s v="ORD_528"/>
    <x v="38"/>
    <s v="South"/>
    <s v="Karnataka"/>
    <x v="12"/>
    <x v="0"/>
    <n v="18"/>
    <x v="8"/>
    <n v="28"/>
    <n v="1073"/>
    <n v="19314"/>
  </r>
  <r>
    <s v="ORD_529"/>
    <x v="298"/>
    <s v="South"/>
    <s v="Karnataka"/>
    <x v="2"/>
    <x v="0"/>
    <n v="5"/>
    <x v="9"/>
    <n v="32"/>
    <n v="3898.88"/>
    <n v="19494.400000000001"/>
  </r>
  <r>
    <s v="ORD_530"/>
    <x v="189"/>
    <s v="North"/>
    <s v="Delhi"/>
    <x v="10"/>
    <x v="4"/>
    <n v="5"/>
    <x v="2"/>
    <n v="50"/>
    <n v="3900.9"/>
    <n v="19504.5"/>
  </r>
  <r>
    <s v="ORD_531"/>
    <x v="185"/>
    <s v="South"/>
    <s v="Tamil Nadu"/>
    <x v="8"/>
    <x v="0"/>
    <n v="4"/>
    <x v="10"/>
    <n v="31"/>
    <n v="4878.16"/>
    <n v="19512.64"/>
  </r>
  <r>
    <s v="ORD_532"/>
    <x v="299"/>
    <s v="West"/>
    <s v="Maharashtra"/>
    <x v="5"/>
    <x v="2"/>
    <n v="5"/>
    <x v="0"/>
    <n v="26"/>
    <n v="3926.26"/>
    <n v="19631.300000000003"/>
  </r>
  <r>
    <s v="ORD_533"/>
    <x v="135"/>
    <s v="South"/>
    <s v="Karnataka"/>
    <x v="7"/>
    <x v="3"/>
    <n v="6"/>
    <x v="7"/>
    <n v="52"/>
    <n v="3277.95"/>
    <n v="19667.699999999997"/>
  </r>
  <r>
    <s v="ORD_534"/>
    <x v="300"/>
    <s v="West"/>
    <s v="Maharashtra"/>
    <x v="3"/>
    <x v="2"/>
    <n v="6"/>
    <x v="8"/>
    <n v="36"/>
    <n v="3279.45"/>
    <n v="19676.699999999997"/>
  </r>
  <r>
    <s v="ORD_535"/>
    <x v="301"/>
    <s v="West"/>
    <s v="Gujarat"/>
    <x v="14"/>
    <x v="1"/>
    <n v="11"/>
    <x v="10"/>
    <n v="19"/>
    <n v="1798.54"/>
    <n v="19783.939999999999"/>
  </r>
  <r>
    <s v="ORD_536"/>
    <x v="302"/>
    <s v="West"/>
    <s v="Gujarat"/>
    <x v="9"/>
    <x v="0"/>
    <n v="10"/>
    <x v="5"/>
    <n v="30"/>
    <n v="1979.32"/>
    <n v="19793.2"/>
  </r>
  <r>
    <s v="ORD_537"/>
    <x v="303"/>
    <s v="South"/>
    <s v="Tamil Nadu"/>
    <x v="8"/>
    <x v="2"/>
    <n v="4"/>
    <x v="5"/>
    <n v="38"/>
    <n v="4961.01"/>
    <n v="19844.04"/>
  </r>
  <r>
    <s v="ORD_538"/>
    <x v="295"/>
    <s v="North"/>
    <s v="Delhi"/>
    <x v="10"/>
    <x v="1"/>
    <n v="12"/>
    <x v="9"/>
    <n v="39"/>
    <n v="1673.01"/>
    <n v="20076.12"/>
  </r>
  <r>
    <s v="ORD_539"/>
    <x v="304"/>
    <s v="West"/>
    <s v="Gujarat"/>
    <x v="14"/>
    <x v="1"/>
    <n v="6"/>
    <x v="10"/>
    <n v="25"/>
    <n v="3350.51"/>
    <n v="20103.060000000001"/>
  </r>
  <r>
    <s v="ORD_540"/>
    <x v="296"/>
    <s v="West"/>
    <s v="Maharashtra"/>
    <x v="3"/>
    <x v="3"/>
    <n v="5"/>
    <x v="8"/>
    <n v="45"/>
    <n v="4035.07"/>
    <n v="20175.350000000002"/>
  </r>
  <r>
    <s v="ORD_541"/>
    <x v="201"/>
    <s v="West"/>
    <s v="Maharashtra"/>
    <x v="5"/>
    <x v="3"/>
    <n v="6"/>
    <x v="10"/>
    <n v="29"/>
    <n v="3363.77"/>
    <n v="20182.62"/>
  </r>
  <r>
    <s v="ORD_542"/>
    <x v="48"/>
    <s v="North"/>
    <s v="Delhi"/>
    <x v="13"/>
    <x v="3"/>
    <n v="10"/>
    <x v="9"/>
    <n v="35"/>
    <n v="2027.97"/>
    <n v="20279.7"/>
  </r>
  <r>
    <s v="ORD_543"/>
    <x v="286"/>
    <s v="West"/>
    <s v="Gujarat"/>
    <x v="14"/>
    <x v="0"/>
    <n v="19"/>
    <x v="8"/>
    <n v="20"/>
    <n v="1067.6199999999999"/>
    <n v="20284.78"/>
  </r>
  <r>
    <s v="ORD_544"/>
    <x v="266"/>
    <s v="South"/>
    <s v="Karnataka"/>
    <x v="12"/>
    <x v="1"/>
    <n v="17"/>
    <x v="3"/>
    <n v="32"/>
    <n v="1194.33"/>
    <n v="20303.61"/>
  </r>
  <r>
    <s v="ORD_545"/>
    <x v="287"/>
    <s v="South"/>
    <s v="Karnataka"/>
    <x v="7"/>
    <x v="4"/>
    <n v="18"/>
    <x v="9"/>
    <n v="50"/>
    <n v="1132.04"/>
    <n v="20376.72"/>
  </r>
  <r>
    <s v="ORD_546"/>
    <x v="269"/>
    <s v="West"/>
    <s v="Maharashtra"/>
    <x v="11"/>
    <x v="3"/>
    <n v="9"/>
    <x v="2"/>
    <n v="25"/>
    <n v="2267.7199999999998"/>
    <n v="20409.48"/>
  </r>
  <r>
    <s v="ORD_547"/>
    <x v="305"/>
    <s v="South"/>
    <s v="Tamil Nadu"/>
    <x v="0"/>
    <x v="3"/>
    <n v="18"/>
    <x v="0"/>
    <n v="52"/>
    <n v="1134.8800000000001"/>
    <n v="20427.840000000004"/>
  </r>
  <r>
    <s v="ORD_548"/>
    <x v="156"/>
    <s v="West"/>
    <s v="Gujarat"/>
    <x v="1"/>
    <x v="4"/>
    <n v="18"/>
    <x v="4"/>
    <n v="54"/>
    <n v="1137.05"/>
    <n v="20466.899999999998"/>
  </r>
  <r>
    <s v="ORD_549"/>
    <x v="306"/>
    <s v="South"/>
    <s v="Karnataka"/>
    <x v="12"/>
    <x v="3"/>
    <n v="6"/>
    <x v="1"/>
    <n v="53"/>
    <n v="3439.83"/>
    <n v="20638.98"/>
  </r>
  <r>
    <s v="ORD_550"/>
    <x v="177"/>
    <s v="West"/>
    <s v="Gujarat"/>
    <x v="14"/>
    <x v="0"/>
    <n v="17"/>
    <x v="8"/>
    <n v="17"/>
    <n v="1217.48"/>
    <n v="20697.16"/>
  </r>
  <r>
    <s v="ORD_551"/>
    <x v="158"/>
    <s v="South"/>
    <s v="Karnataka"/>
    <x v="2"/>
    <x v="0"/>
    <n v="6"/>
    <x v="10"/>
    <n v="32"/>
    <n v="3457.43"/>
    <n v="20744.579999999998"/>
  </r>
  <r>
    <s v="ORD_552"/>
    <x v="248"/>
    <s v="North"/>
    <s v="Delhi"/>
    <x v="13"/>
    <x v="3"/>
    <n v="19"/>
    <x v="1"/>
    <n v="20"/>
    <n v="1093.8900000000001"/>
    <n v="20783.910000000003"/>
  </r>
  <r>
    <s v="ORD_553"/>
    <x v="68"/>
    <s v="South"/>
    <s v="Karnataka"/>
    <x v="2"/>
    <x v="0"/>
    <n v="6"/>
    <x v="1"/>
    <n v="40"/>
    <n v="3466.7"/>
    <n v="20800.199999999997"/>
  </r>
  <r>
    <s v="ORD_554"/>
    <x v="262"/>
    <s v="South"/>
    <s v="Karnataka"/>
    <x v="12"/>
    <x v="3"/>
    <n v="18"/>
    <x v="1"/>
    <n v="38"/>
    <n v="1156.17"/>
    <n v="20811.060000000001"/>
  </r>
  <r>
    <s v="ORD_555"/>
    <x v="149"/>
    <s v="South"/>
    <s v="Tamil Nadu"/>
    <x v="6"/>
    <x v="3"/>
    <n v="14"/>
    <x v="7"/>
    <n v="40"/>
    <n v="1487.12"/>
    <n v="20819.68"/>
  </r>
  <r>
    <s v="ORD_556"/>
    <x v="275"/>
    <s v="North"/>
    <s v="Delhi"/>
    <x v="10"/>
    <x v="1"/>
    <n v="5"/>
    <x v="10"/>
    <n v="33"/>
    <n v="4165.41"/>
    <n v="20827.05"/>
  </r>
  <r>
    <s v="ORD_557"/>
    <x v="307"/>
    <s v="North"/>
    <s v="Delhi"/>
    <x v="4"/>
    <x v="1"/>
    <n v="8"/>
    <x v="9"/>
    <n v="22"/>
    <n v="2606.36"/>
    <n v="20850.88"/>
  </r>
  <r>
    <s v="ORD_558"/>
    <x v="277"/>
    <s v="West"/>
    <s v="Gujarat"/>
    <x v="9"/>
    <x v="2"/>
    <n v="5"/>
    <x v="2"/>
    <n v="16"/>
    <n v="4182.07"/>
    <n v="20910.349999999999"/>
  </r>
  <r>
    <s v="ORD_559"/>
    <x v="308"/>
    <s v="West"/>
    <s v="Gujarat"/>
    <x v="1"/>
    <x v="2"/>
    <n v="18"/>
    <x v="3"/>
    <n v="48"/>
    <n v="1164.29"/>
    <n v="20957.22"/>
  </r>
  <r>
    <s v="ORD_560"/>
    <x v="309"/>
    <s v="South"/>
    <s v="Karnataka"/>
    <x v="12"/>
    <x v="4"/>
    <n v="11"/>
    <x v="5"/>
    <n v="47"/>
    <n v="1905.7"/>
    <n v="20962.7"/>
  </r>
  <r>
    <s v="ORD_561"/>
    <x v="189"/>
    <s v="South"/>
    <s v="Karnataka"/>
    <x v="2"/>
    <x v="0"/>
    <n v="12"/>
    <x v="9"/>
    <n v="30"/>
    <n v="1748.6"/>
    <n v="20983.199999999997"/>
  </r>
  <r>
    <s v="ORD_562"/>
    <x v="140"/>
    <s v="West"/>
    <s v="Maharashtra"/>
    <x v="11"/>
    <x v="4"/>
    <n v="5"/>
    <x v="7"/>
    <n v="29"/>
    <n v="4198.97"/>
    <n v="20994.850000000002"/>
  </r>
  <r>
    <s v="ORD_563"/>
    <x v="310"/>
    <s v="North"/>
    <s v="Delhi"/>
    <x v="10"/>
    <x v="2"/>
    <n v="8"/>
    <x v="7"/>
    <n v="45"/>
    <n v="2628.31"/>
    <n v="21026.48"/>
  </r>
  <r>
    <s v="ORD_564"/>
    <x v="311"/>
    <s v="South"/>
    <s v="Tamil Nadu"/>
    <x v="8"/>
    <x v="4"/>
    <n v="14"/>
    <x v="5"/>
    <n v="38"/>
    <n v="1507.19"/>
    <n v="21100.66"/>
  </r>
  <r>
    <s v="ORD_565"/>
    <x v="245"/>
    <s v="West"/>
    <s v="Maharashtra"/>
    <x v="11"/>
    <x v="1"/>
    <n v="18"/>
    <x v="2"/>
    <n v="23"/>
    <n v="1177.8"/>
    <n v="21200.399999999998"/>
  </r>
  <r>
    <s v="ORD_566"/>
    <x v="312"/>
    <s v="South"/>
    <s v="Karnataka"/>
    <x v="2"/>
    <x v="4"/>
    <n v="7"/>
    <x v="6"/>
    <n v="24"/>
    <n v="3052.99"/>
    <n v="21370.93"/>
  </r>
  <r>
    <s v="ORD_567"/>
    <x v="313"/>
    <s v="West"/>
    <s v="Maharashtra"/>
    <x v="5"/>
    <x v="3"/>
    <n v="9"/>
    <x v="9"/>
    <n v="53"/>
    <n v="2376.12"/>
    <n v="21385.079999999998"/>
  </r>
  <r>
    <s v="ORD_568"/>
    <x v="314"/>
    <s v="South"/>
    <s v="Tamil Nadu"/>
    <x v="8"/>
    <x v="2"/>
    <n v="5"/>
    <x v="2"/>
    <n v="38"/>
    <n v="4281.1499999999996"/>
    <n v="21405.75"/>
  </r>
  <r>
    <s v="ORD_569"/>
    <x v="315"/>
    <s v="South"/>
    <s v="Tamil Nadu"/>
    <x v="8"/>
    <x v="1"/>
    <n v="13"/>
    <x v="0"/>
    <n v="40"/>
    <n v="1647.87"/>
    <n v="21422.309999999998"/>
  </r>
  <r>
    <s v="ORD_570"/>
    <x v="46"/>
    <s v="North"/>
    <s v="Delhi"/>
    <x v="4"/>
    <x v="2"/>
    <n v="7"/>
    <x v="6"/>
    <n v="28"/>
    <n v="3063.53"/>
    <n v="21444.710000000003"/>
  </r>
  <r>
    <s v="ORD_571"/>
    <x v="316"/>
    <s v="South"/>
    <s v="Karnataka"/>
    <x v="2"/>
    <x v="2"/>
    <n v="7"/>
    <x v="7"/>
    <n v="16"/>
    <n v="3070.09"/>
    <n v="21490.63"/>
  </r>
  <r>
    <s v="ORD_572"/>
    <x v="258"/>
    <s v="South"/>
    <s v="Karnataka"/>
    <x v="7"/>
    <x v="3"/>
    <n v="5"/>
    <x v="7"/>
    <n v="16"/>
    <n v="4300.7"/>
    <n v="21503.5"/>
  </r>
  <r>
    <s v="ORD_573"/>
    <x v="76"/>
    <s v="South"/>
    <s v="Tamil Nadu"/>
    <x v="6"/>
    <x v="1"/>
    <n v="9"/>
    <x v="6"/>
    <n v="40"/>
    <n v="2427.88"/>
    <n v="21850.920000000002"/>
  </r>
  <r>
    <s v="ORD_574"/>
    <x v="317"/>
    <s v="West"/>
    <s v="Maharashtra"/>
    <x v="3"/>
    <x v="4"/>
    <n v="5"/>
    <x v="1"/>
    <n v="24"/>
    <n v="4386.2"/>
    <n v="21931"/>
  </r>
  <r>
    <s v="ORD_575"/>
    <x v="138"/>
    <s v="South"/>
    <s v="Karnataka"/>
    <x v="12"/>
    <x v="2"/>
    <n v="9"/>
    <x v="8"/>
    <n v="52"/>
    <n v="2438.9899999999998"/>
    <n v="21950.909999999996"/>
  </r>
  <r>
    <s v="ORD_576"/>
    <x v="92"/>
    <s v="West"/>
    <s v="Maharashtra"/>
    <x v="5"/>
    <x v="0"/>
    <n v="20"/>
    <x v="10"/>
    <n v="45"/>
    <n v="1100.3800000000001"/>
    <n v="22007.600000000002"/>
  </r>
  <r>
    <s v="ORD_577"/>
    <x v="187"/>
    <s v="North"/>
    <s v="Delhi"/>
    <x v="4"/>
    <x v="4"/>
    <n v="6"/>
    <x v="9"/>
    <n v="30"/>
    <n v="3671.84"/>
    <n v="22031.040000000001"/>
  </r>
  <r>
    <s v="ORD_578"/>
    <x v="318"/>
    <s v="West"/>
    <s v="Maharashtra"/>
    <x v="5"/>
    <x v="3"/>
    <n v="7"/>
    <x v="5"/>
    <n v="33"/>
    <n v="3163.37"/>
    <n v="22143.59"/>
  </r>
  <r>
    <s v="ORD_579"/>
    <x v="316"/>
    <s v="West"/>
    <s v="Maharashtra"/>
    <x v="5"/>
    <x v="3"/>
    <n v="7"/>
    <x v="10"/>
    <n v="33"/>
    <n v="3163.37"/>
    <n v="22143.59"/>
  </r>
  <r>
    <s v="ORD_580"/>
    <x v="90"/>
    <s v="West"/>
    <s v="Maharashtra"/>
    <x v="11"/>
    <x v="2"/>
    <n v="17"/>
    <x v="5"/>
    <n v="19"/>
    <n v="1307.24"/>
    <n v="22223.08"/>
  </r>
  <r>
    <s v="ORD_581"/>
    <x v="133"/>
    <s v="North"/>
    <s v="Delhi"/>
    <x v="4"/>
    <x v="4"/>
    <n v="14"/>
    <x v="4"/>
    <n v="26"/>
    <n v="1598.93"/>
    <n v="22385.02"/>
  </r>
  <r>
    <s v="ORD_582"/>
    <x v="170"/>
    <s v="South"/>
    <s v="Tamil Nadu"/>
    <x v="0"/>
    <x v="0"/>
    <n v="5"/>
    <x v="6"/>
    <n v="34"/>
    <n v="4499.88"/>
    <n v="22499.4"/>
  </r>
  <r>
    <s v="ORD_583"/>
    <x v="20"/>
    <s v="West"/>
    <s v="Maharashtra"/>
    <x v="11"/>
    <x v="4"/>
    <n v="17"/>
    <x v="9"/>
    <n v="47"/>
    <n v="1333.71"/>
    <n v="22673.07"/>
  </r>
  <r>
    <s v="ORD_584"/>
    <x v="319"/>
    <s v="West"/>
    <s v="Maharashtra"/>
    <x v="11"/>
    <x v="4"/>
    <n v="17"/>
    <x v="9"/>
    <n v="47"/>
    <n v="1333.71"/>
    <n v="22673.07"/>
  </r>
  <r>
    <s v="ORD_585"/>
    <x v="308"/>
    <s v="West"/>
    <s v="Gujarat"/>
    <x v="1"/>
    <x v="0"/>
    <n v="19"/>
    <x v="1"/>
    <n v="44"/>
    <n v="1199.24"/>
    <n v="22785.56"/>
  </r>
  <r>
    <s v="ORD_586"/>
    <x v="320"/>
    <s v="West"/>
    <s v="Gujarat"/>
    <x v="1"/>
    <x v="1"/>
    <n v="13"/>
    <x v="1"/>
    <n v="51"/>
    <n v="1753.48"/>
    <n v="22795.24"/>
  </r>
  <r>
    <s v="ORD_587"/>
    <x v="21"/>
    <s v="West"/>
    <s v="Gujarat"/>
    <x v="9"/>
    <x v="0"/>
    <n v="17"/>
    <x v="10"/>
    <n v="21"/>
    <n v="1340.98"/>
    <n v="22796.66"/>
  </r>
  <r>
    <s v="ORD_588"/>
    <x v="16"/>
    <s v="West"/>
    <s v="Gujarat"/>
    <x v="14"/>
    <x v="3"/>
    <n v="13"/>
    <x v="0"/>
    <n v="40"/>
    <n v="1767.86"/>
    <n v="22982.18"/>
  </r>
  <r>
    <s v="ORD_589"/>
    <x v="122"/>
    <s v="South"/>
    <s v="Tamil Nadu"/>
    <x v="0"/>
    <x v="1"/>
    <n v="18"/>
    <x v="1"/>
    <n v="23"/>
    <n v="1279.4100000000001"/>
    <n v="23029.38"/>
  </r>
  <r>
    <s v="ORD_590"/>
    <x v="291"/>
    <s v="West"/>
    <s v="Gujarat"/>
    <x v="1"/>
    <x v="4"/>
    <n v="17"/>
    <x v="0"/>
    <n v="24"/>
    <n v="1356.25"/>
    <n v="23056.25"/>
  </r>
  <r>
    <s v="ORD_591"/>
    <x v="321"/>
    <s v="West"/>
    <s v="Maharashtra"/>
    <x v="5"/>
    <x v="2"/>
    <n v="11"/>
    <x v="10"/>
    <n v="47"/>
    <n v="2097.48"/>
    <n v="23072.28"/>
  </r>
  <r>
    <s v="ORD_592"/>
    <x v="192"/>
    <s v="South"/>
    <s v="Tamil Nadu"/>
    <x v="0"/>
    <x v="3"/>
    <n v="5"/>
    <x v="9"/>
    <n v="25"/>
    <n v="4619.16"/>
    <n v="23095.8"/>
  </r>
  <r>
    <s v="ORD_593"/>
    <x v="63"/>
    <s v="North"/>
    <s v="Delhi"/>
    <x v="4"/>
    <x v="1"/>
    <n v="15"/>
    <x v="0"/>
    <n v="39"/>
    <n v="1543.85"/>
    <n v="23157.75"/>
  </r>
  <r>
    <s v="ORD_594"/>
    <x v="68"/>
    <s v="South"/>
    <s v="Karnataka"/>
    <x v="2"/>
    <x v="4"/>
    <n v="14"/>
    <x v="4"/>
    <n v="35"/>
    <n v="1658.39"/>
    <n v="23217.460000000003"/>
  </r>
  <r>
    <s v="ORD_595"/>
    <x v="295"/>
    <s v="South"/>
    <s v="Tamil Nadu"/>
    <x v="6"/>
    <x v="0"/>
    <n v="12"/>
    <x v="9"/>
    <n v="27"/>
    <n v="1947.14"/>
    <n v="23365.68"/>
  </r>
  <r>
    <s v="ORD_596"/>
    <x v="184"/>
    <s v="South"/>
    <s v="Tamil Nadu"/>
    <x v="0"/>
    <x v="4"/>
    <n v="10"/>
    <x v="2"/>
    <n v="34"/>
    <n v="2349.2399999999998"/>
    <n v="23492.399999999998"/>
  </r>
  <r>
    <s v="ORD_597"/>
    <x v="308"/>
    <s v="West"/>
    <s v="Maharashtra"/>
    <x v="3"/>
    <x v="0"/>
    <n v="18"/>
    <x v="5"/>
    <n v="31"/>
    <n v="1306.19"/>
    <n v="23511.420000000002"/>
  </r>
  <r>
    <s v="ORD_598"/>
    <x v="211"/>
    <s v="West"/>
    <s v="Maharashtra"/>
    <x v="11"/>
    <x v="3"/>
    <n v="5"/>
    <x v="8"/>
    <n v="21"/>
    <n v="4716.38"/>
    <n v="23581.9"/>
  </r>
  <r>
    <s v="ORD_599"/>
    <x v="275"/>
    <s v="North"/>
    <s v="Delhi"/>
    <x v="4"/>
    <x v="3"/>
    <n v="12"/>
    <x v="4"/>
    <n v="39"/>
    <n v="1973.14"/>
    <n v="23677.68"/>
  </r>
  <r>
    <s v="ORD_600"/>
    <x v="322"/>
    <s v="South"/>
    <s v="Tamil Nadu"/>
    <x v="6"/>
    <x v="3"/>
    <n v="16"/>
    <x v="4"/>
    <n v="54"/>
    <n v="1480.7"/>
    <n v="23691.200000000001"/>
  </r>
  <r>
    <s v="ORD_601"/>
    <x v="119"/>
    <s v="West"/>
    <s v="Maharashtra"/>
    <x v="3"/>
    <x v="0"/>
    <n v="14"/>
    <x v="3"/>
    <n v="38"/>
    <n v="1694.59"/>
    <n v="23724.26"/>
  </r>
  <r>
    <s v="ORD_602"/>
    <x v="120"/>
    <s v="South"/>
    <s v="Karnataka"/>
    <x v="2"/>
    <x v="4"/>
    <n v="7"/>
    <x v="5"/>
    <n v="20"/>
    <n v="3402.48"/>
    <n v="23817.360000000001"/>
  </r>
  <r>
    <s v="ORD_603"/>
    <x v="27"/>
    <s v="North"/>
    <s v="Delhi"/>
    <x v="13"/>
    <x v="2"/>
    <n v="7"/>
    <x v="1"/>
    <n v="24"/>
    <n v="3415.15"/>
    <n v="23906.05"/>
  </r>
  <r>
    <s v="ORD_604"/>
    <x v="4"/>
    <s v="West"/>
    <s v="Maharashtra"/>
    <x v="11"/>
    <x v="0"/>
    <n v="9"/>
    <x v="10"/>
    <n v="24"/>
    <n v="2660.79"/>
    <n v="23947.11"/>
  </r>
  <r>
    <s v="ORD_605"/>
    <x v="228"/>
    <s v="West"/>
    <s v="Gujarat"/>
    <x v="14"/>
    <x v="3"/>
    <n v="14"/>
    <x v="2"/>
    <n v="24"/>
    <n v="1720"/>
    <n v="24080"/>
  </r>
  <r>
    <s v="ORD_606"/>
    <x v="238"/>
    <s v="West"/>
    <s v="Gujarat"/>
    <x v="1"/>
    <x v="3"/>
    <n v="9"/>
    <x v="6"/>
    <n v="35"/>
    <n v="2677.7"/>
    <n v="24099.3"/>
  </r>
  <r>
    <s v="ORD_607"/>
    <x v="2"/>
    <s v="West"/>
    <s v="Gujarat"/>
    <x v="1"/>
    <x v="0"/>
    <n v="16"/>
    <x v="6"/>
    <n v="49"/>
    <n v="1514.31"/>
    <n v="24228.959999999999"/>
  </r>
  <r>
    <s v="ORD_608"/>
    <x v="313"/>
    <s v="West"/>
    <s v="Gujarat"/>
    <x v="9"/>
    <x v="0"/>
    <n v="6"/>
    <x v="9"/>
    <n v="52"/>
    <n v="4042.16"/>
    <n v="24252.959999999999"/>
  </r>
  <r>
    <s v="ORD_609"/>
    <x v="260"/>
    <s v="West"/>
    <s v="Maharashtra"/>
    <x v="5"/>
    <x v="2"/>
    <n v="20"/>
    <x v="7"/>
    <n v="19"/>
    <n v="1222.92"/>
    <n v="24458.400000000001"/>
  </r>
  <r>
    <s v="ORD_610"/>
    <x v="237"/>
    <s v="North"/>
    <s v="Delhi"/>
    <x v="4"/>
    <x v="2"/>
    <n v="6"/>
    <x v="3"/>
    <n v="26"/>
    <n v="4100.9799999999996"/>
    <n v="24605.879999999997"/>
  </r>
  <r>
    <s v="ORD_611"/>
    <x v="3"/>
    <s v="West"/>
    <s v="Maharashtra"/>
    <x v="3"/>
    <x v="1"/>
    <n v="17"/>
    <x v="5"/>
    <n v="38"/>
    <n v="1457.07"/>
    <n v="24770.19"/>
  </r>
  <r>
    <s v="ORD_612"/>
    <x v="263"/>
    <s v="West"/>
    <s v="Gujarat"/>
    <x v="1"/>
    <x v="4"/>
    <n v="18"/>
    <x v="10"/>
    <n v="30"/>
    <n v="1376.52"/>
    <n v="24777.360000000001"/>
  </r>
  <r>
    <s v="ORD_613"/>
    <x v="194"/>
    <s v="South"/>
    <s v="Tamil Nadu"/>
    <x v="8"/>
    <x v="2"/>
    <n v="14"/>
    <x v="6"/>
    <n v="29"/>
    <n v="1770.36"/>
    <n v="24785.039999999997"/>
  </r>
  <r>
    <s v="ORD_614"/>
    <x v="323"/>
    <s v="South"/>
    <s v="Tamil Nadu"/>
    <x v="6"/>
    <x v="2"/>
    <n v="19"/>
    <x v="1"/>
    <n v="31"/>
    <n v="1309.6500000000001"/>
    <n v="24883.350000000002"/>
  </r>
  <r>
    <s v="ORD_615"/>
    <x v="173"/>
    <s v="South"/>
    <s v="Karnataka"/>
    <x v="2"/>
    <x v="2"/>
    <n v="9"/>
    <x v="5"/>
    <n v="48"/>
    <n v="2770.27"/>
    <n v="24932.43"/>
  </r>
  <r>
    <s v="ORD_616"/>
    <x v="324"/>
    <s v="West"/>
    <s v="Maharashtra"/>
    <x v="5"/>
    <x v="3"/>
    <n v="5"/>
    <x v="5"/>
    <n v="21"/>
    <n v="4987.7"/>
    <n v="24938.5"/>
  </r>
  <r>
    <s v="ORD_617"/>
    <x v="325"/>
    <s v="West"/>
    <s v="Maharashtra"/>
    <x v="5"/>
    <x v="3"/>
    <n v="5"/>
    <x v="4"/>
    <n v="21"/>
    <n v="4987.7"/>
    <n v="24938.5"/>
  </r>
  <r>
    <s v="ORD_618"/>
    <x v="326"/>
    <s v="South"/>
    <s v="Tamil Nadu"/>
    <x v="8"/>
    <x v="3"/>
    <n v="5"/>
    <x v="8"/>
    <n v="51"/>
    <n v="4987.84"/>
    <n v="24939.200000000001"/>
  </r>
  <r>
    <s v="ORD_619"/>
    <x v="20"/>
    <s v="South"/>
    <s v="Karnataka"/>
    <x v="12"/>
    <x v="2"/>
    <n v="8"/>
    <x v="9"/>
    <n v="55"/>
    <n v="3120.6"/>
    <n v="24964.799999999999"/>
  </r>
  <r>
    <s v="ORD_620"/>
    <x v="54"/>
    <s v="North"/>
    <s v="Delhi"/>
    <x v="4"/>
    <x v="2"/>
    <n v="5"/>
    <x v="10"/>
    <n v="50"/>
    <n v="4993.87"/>
    <n v="24969.35"/>
  </r>
  <r>
    <s v="ORD_621"/>
    <x v="228"/>
    <s v="South"/>
    <s v="Karnataka"/>
    <x v="2"/>
    <x v="2"/>
    <n v="13"/>
    <x v="7"/>
    <n v="31"/>
    <n v="1929.55"/>
    <n v="25084.149999999998"/>
  </r>
  <r>
    <s v="ORD_622"/>
    <x v="327"/>
    <s v="West"/>
    <s v="Maharashtra"/>
    <x v="3"/>
    <x v="1"/>
    <n v="20"/>
    <x v="2"/>
    <n v="43"/>
    <n v="1260.25"/>
    <n v="25205"/>
  </r>
  <r>
    <s v="ORD_623"/>
    <x v="328"/>
    <s v="West"/>
    <s v="Maharashtra"/>
    <x v="11"/>
    <x v="0"/>
    <n v="16"/>
    <x v="8"/>
    <n v="28"/>
    <n v="1575.89"/>
    <n v="25214.240000000002"/>
  </r>
  <r>
    <s v="ORD_624"/>
    <x v="185"/>
    <s v="North"/>
    <s v="Delhi"/>
    <x v="4"/>
    <x v="0"/>
    <n v="6"/>
    <x v="10"/>
    <n v="36"/>
    <n v="4219.6099999999997"/>
    <n v="25317.659999999996"/>
  </r>
  <r>
    <s v="ORD_625"/>
    <x v="255"/>
    <s v="South"/>
    <s v="Karnataka"/>
    <x v="7"/>
    <x v="0"/>
    <n v="10"/>
    <x v="10"/>
    <n v="21"/>
    <n v="2539.6799999999998"/>
    <n v="25396.799999999999"/>
  </r>
  <r>
    <s v="ORD_626"/>
    <x v="329"/>
    <s v="North"/>
    <s v="Delhi"/>
    <x v="4"/>
    <x v="3"/>
    <n v="13"/>
    <x v="9"/>
    <n v="22"/>
    <n v="1965.63"/>
    <n v="25553.190000000002"/>
  </r>
  <r>
    <s v="ORD_627"/>
    <x v="330"/>
    <s v="North"/>
    <s v="Delhi"/>
    <x v="4"/>
    <x v="3"/>
    <n v="13"/>
    <x v="9"/>
    <n v="22"/>
    <n v="1965.63"/>
    <n v="25553.190000000002"/>
  </r>
  <r>
    <s v="ORD_628"/>
    <x v="243"/>
    <s v="West"/>
    <s v="Gujarat"/>
    <x v="14"/>
    <x v="1"/>
    <n v="6"/>
    <x v="6"/>
    <n v="23"/>
    <n v="4265.8599999999997"/>
    <n v="25595.159999999996"/>
  </r>
  <r>
    <s v="ORD_629"/>
    <x v="164"/>
    <s v="South"/>
    <s v="Karnataka"/>
    <x v="2"/>
    <x v="2"/>
    <n v="15"/>
    <x v="10"/>
    <n v="33"/>
    <n v="1712.05"/>
    <n v="25680.75"/>
  </r>
  <r>
    <s v="ORD_630"/>
    <x v="265"/>
    <s v="South"/>
    <s v="Karnataka"/>
    <x v="12"/>
    <x v="0"/>
    <n v="13"/>
    <x v="9"/>
    <n v="30"/>
    <n v="1976.63"/>
    <n v="25696.190000000002"/>
  </r>
  <r>
    <s v="ORD_631"/>
    <x v="102"/>
    <s v="North"/>
    <s v="Delhi"/>
    <x v="10"/>
    <x v="4"/>
    <n v="17"/>
    <x v="8"/>
    <n v="23"/>
    <n v="1538.4"/>
    <n v="26152.800000000003"/>
  </r>
  <r>
    <s v="ORD_632"/>
    <x v="248"/>
    <s v="North"/>
    <s v="Delhi"/>
    <x v="13"/>
    <x v="0"/>
    <n v="6"/>
    <x v="9"/>
    <n v="34"/>
    <n v="4364.67"/>
    <n v="26188.02"/>
  </r>
  <r>
    <s v="ORD_633"/>
    <x v="331"/>
    <s v="South"/>
    <s v="Karnataka"/>
    <x v="2"/>
    <x v="4"/>
    <n v="20"/>
    <x v="6"/>
    <n v="30"/>
    <n v="1310.3699999999999"/>
    <n v="26207.399999999998"/>
  </r>
  <r>
    <s v="ORD_634"/>
    <x v="22"/>
    <s v="West"/>
    <s v="Gujarat"/>
    <x v="9"/>
    <x v="3"/>
    <n v="12"/>
    <x v="10"/>
    <n v="22"/>
    <n v="2208.4899999999998"/>
    <n v="26501.879999999997"/>
  </r>
  <r>
    <s v="ORD_635"/>
    <x v="332"/>
    <s v="South"/>
    <s v="Karnataka"/>
    <x v="12"/>
    <x v="4"/>
    <n v="19"/>
    <x v="9"/>
    <n v="18"/>
    <n v="1398.49"/>
    <n v="26571.31"/>
  </r>
  <r>
    <s v="ORD_636"/>
    <x v="311"/>
    <s v="South"/>
    <s v="Tamil Nadu"/>
    <x v="8"/>
    <x v="3"/>
    <n v="11"/>
    <x v="1"/>
    <n v="23"/>
    <n v="2426.48"/>
    <n v="26691.279999999999"/>
  </r>
  <r>
    <s v="ORD_637"/>
    <x v="264"/>
    <s v="West"/>
    <s v="Gujarat"/>
    <x v="9"/>
    <x v="2"/>
    <n v="12"/>
    <x v="10"/>
    <n v="38"/>
    <n v="2232.4899999999998"/>
    <n v="26789.879999999997"/>
  </r>
  <r>
    <s v="ORD_638"/>
    <x v="333"/>
    <s v="West"/>
    <s v="Maharashtra"/>
    <x v="3"/>
    <x v="1"/>
    <n v="15"/>
    <x v="0"/>
    <n v="34"/>
    <n v="1790.03"/>
    <n v="26850.45"/>
  </r>
  <r>
    <s v="ORD_639"/>
    <x v="119"/>
    <s v="North"/>
    <s v="Delhi"/>
    <x v="4"/>
    <x v="3"/>
    <n v="19"/>
    <x v="8"/>
    <n v="26"/>
    <n v="1414.78"/>
    <n v="26880.82"/>
  </r>
  <r>
    <s v="ORD_640"/>
    <x v="188"/>
    <s v="West"/>
    <s v="Maharashtra"/>
    <x v="5"/>
    <x v="0"/>
    <n v="10"/>
    <x v="2"/>
    <n v="43"/>
    <n v="2691.21"/>
    <n v="26912.1"/>
  </r>
  <r>
    <s v="ORD_641"/>
    <x v="303"/>
    <s v="West"/>
    <s v="Maharashtra"/>
    <x v="3"/>
    <x v="0"/>
    <n v="8"/>
    <x v="0"/>
    <n v="35"/>
    <n v="3372.86"/>
    <n v="26982.880000000001"/>
  </r>
  <r>
    <s v="ORD_642"/>
    <x v="162"/>
    <s v="West"/>
    <s v="Gujarat"/>
    <x v="14"/>
    <x v="4"/>
    <n v="20"/>
    <x v="8"/>
    <n v="50"/>
    <n v="1353.54"/>
    <n v="27070.799999999999"/>
  </r>
  <r>
    <s v="ORD_643"/>
    <x v="109"/>
    <s v="West"/>
    <s v="Gujarat"/>
    <x v="9"/>
    <x v="1"/>
    <n v="6"/>
    <x v="4"/>
    <n v="26"/>
    <n v="4541.92"/>
    <n v="27251.52"/>
  </r>
  <r>
    <s v="ORD_644"/>
    <x v="334"/>
    <s v="South"/>
    <s v="Tamil Nadu"/>
    <x v="6"/>
    <x v="1"/>
    <n v="11"/>
    <x v="5"/>
    <n v="28"/>
    <n v="2491.8000000000002"/>
    <n v="27409.800000000003"/>
  </r>
  <r>
    <s v="ORD_645"/>
    <x v="164"/>
    <s v="West"/>
    <s v="Maharashtra"/>
    <x v="11"/>
    <x v="2"/>
    <n v="7"/>
    <x v="8"/>
    <n v="23"/>
    <n v="3931.73"/>
    <n v="27522.11"/>
  </r>
  <r>
    <s v="ORD_646"/>
    <x v="210"/>
    <s v="West"/>
    <s v="Maharashtra"/>
    <x v="5"/>
    <x v="2"/>
    <n v="18"/>
    <x v="3"/>
    <n v="31"/>
    <n v="1533.77"/>
    <n v="27607.86"/>
  </r>
  <r>
    <s v="ORD_647"/>
    <x v="44"/>
    <s v="South"/>
    <s v="Tamil Nadu"/>
    <x v="6"/>
    <x v="3"/>
    <n v="14"/>
    <x v="10"/>
    <n v="54"/>
    <n v="1972.22"/>
    <n v="27611.08"/>
  </r>
  <r>
    <s v="ORD_648"/>
    <x v="335"/>
    <s v="West"/>
    <s v="Gujarat"/>
    <x v="14"/>
    <x v="4"/>
    <n v="11"/>
    <x v="3"/>
    <n v="26"/>
    <n v="2522.63"/>
    <n v="27748.93"/>
  </r>
  <r>
    <s v="ORD_649"/>
    <x v="124"/>
    <s v="North"/>
    <s v="Delhi"/>
    <x v="13"/>
    <x v="4"/>
    <n v="9"/>
    <x v="5"/>
    <n v="40"/>
    <n v="3095.35"/>
    <n v="27858.149999999998"/>
  </r>
  <r>
    <s v="ORD_650"/>
    <x v="94"/>
    <s v="North"/>
    <s v="Delhi"/>
    <x v="10"/>
    <x v="2"/>
    <n v="17"/>
    <x v="2"/>
    <n v="55"/>
    <n v="1645.97"/>
    <n v="27981.49"/>
  </r>
  <r>
    <s v="ORD_651"/>
    <x v="38"/>
    <s v="North"/>
    <s v="Delhi"/>
    <x v="10"/>
    <x v="3"/>
    <n v="6"/>
    <x v="5"/>
    <n v="36"/>
    <n v="4673.01"/>
    <n v="28038.06"/>
  </r>
  <r>
    <s v="ORD_652"/>
    <x v="332"/>
    <s v="West"/>
    <s v="Gujarat"/>
    <x v="14"/>
    <x v="1"/>
    <n v="13"/>
    <x v="2"/>
    <n v="54"/>
    <n v="2163.4"/>
    <n v="28124.2"/>
  </r>
  <r>
    <s v="ORD_653"/>
    <x v="29"/>
    <s v="North"/>
    <s v="Delhi"/>
    <x v="13"/>
    <x v="0"/>
    <n v="9"/>
    <x v="5"/>
    <n v="17"/>
    <n v="3137.87"/>
    <n v="28240.829999999998"/>
  </r>
  <r>
    <s v="ORD_654"/>
    <x v="242"/>
    <s v="West"/>
    <s v="Maharashtra"/>
    <x v="3"/>
    <x v="2"/>
    <n v="7"/>
    <x v="7"/>
    <n v="51"/>
    <n v="4046.34"/>
    <n v="28324.38"/>
  </r>
  <r>
    <s v="ORD_655"/>
    <x v="336"/>
    <s v="South"/>
    <s v="Karnataka"/>
    <x v="12"/>
    <x v="0"/>
    <n v="8"/>
    <x v="7"/>
    <n v="41"/>
    <n v="3547.38"/>
    <n v="28379.040000000001"/>
  </r>
  <r>
    <s v="ORD_656"/>
    <x v="337"/>
    <s v="South"/>
    <s v="Karnataka"/>
    <x v="2"/>
    <x v="2"/>
    <n v="18"/>
    <x v="9"/>
    <n v="47"/>
    <n v="1576.88"/>
    <n v="28383.840000000004"/>
  </r>
  <r>
    <s v="ORD_657"/>
    <x v="4"/>
    <s v="West"/>
    <s v="Maharashtra"/>
    <x v="3"/>
    <x v="2"/>
    <n v="10"/>
    <x v="0"/>
    <n v="33"/>
    <n v="2853.88"/>
    <n v="28538.800000000003"/>
  </r>
  <r>
    <s v="ORD_658"/>
    <x v="100"/>
    <s v="South"/>
    <s v="Karnataka"/>
    <x v="7"/>
    <x v="3"/>
    <n v="7"/>
    <x v="1"/>
    <n v="29"/>
    <n v="4083.1"/>
    <n v="28581.7"/>
  </r>
  <r>
    <s v="ORD_659"/>
    <x v="338"/>
    <s v="West"/>
    <s v="Gujarat"/>
    <x v="1"/>
    <x v="1"/>
    <n v="12"/>
    <x v="0"/>
    <n v="24"/>
    <n v="2384.1"/>
    <n v="28609.199999999997"/>
  </r>
  <r>
    <s v="ORD_660"/>
    <x v="22"/>
    <s v="West"/>
    <s v="Gujarat"/>
    <x v="1"/>
    <x v="1"/>
    <n v="12"/>
    <x v="1"/>
    <n v="24"/>
    <n v="2384.1"/>
    <n v="28609.199999999997"/>
  </r>
  <r>
    <s v="ORD_661"/>
    <x v="21"/>
    <s v="South"/>
    <s v="Tamil Nadu"/>
    <x v="6"/>
    <x v="4"/>
    <n v="10"/>
    <x v="8"/>
    <n v="29"/>
    <n v="2861.62"/>
    <n v="28616.199999999997"/>
  </r>
  <r>
    <s v="ORD_662"/>
    <x v="339"/>
    <s v="South"/>
    <s v="Karnataka"/>
    <x v="7"/>
    <x v="4"/>
    <n v="9"/>
    <x v="3"/>
    <n v="40"/>
    <n v="3193.9"/>
    <n v="28745.100000000002"/>
  </r>
  <r>
    <s v="ORD_663"/>
    <x v="32"/>
    <s v="North"/>
    <s v="Delhi"/>
    <x v="10"/>
    <x v="1"/>
    <n v="18"/>
    <x v="2"/>
    <n v="48"/>
    <n v="1601.74"/>
    <n v="28831.32"/>
  </r>
  <r>
    <s v="ORD_664"/>
    <x v="340"/>
    <s v="West"/>
    <s v="Gujarat"/>
    <x v="9"/>
    <x v="0"/>
    <n v="9"/>
    <x v="2"/>
    <n v="35"/>
    <n v="3209.83"/>
    <n v="28888.47"/>
  </r>
  <r>
    <s v="ORD_665"/>
    <x v="220"/>
    <s v="West"/>
    <s v="Maharashtra"/>
    <x v="3"/>
    <x v="1"/>
    <n v="8"/>
    <x v="0"/>
    <n v="51"/>
    <n v="3615.06"/>
    <n v="28920.48"/>
  </r>
  <r>
    <s v="ORD_666"/>
    <x v="28"/>
    <s v="South"/>
    <s v="Karnataka"/>
    <x v="7"/>
    <x v="1"/>
    <n v="13"/>
    <x v="9"/>
    <n v="36"/>
    <n v="2238.96"/>
    <n v="29106.48"/>
  </r>
  <r>
    <s v="ORD_667"/>
    <x v="91"/>
    <s v="West"/>
    <s v="Gujarat"/>
    <x v="9"/>
    <x v="0"/>
    <n v="12"/>
    <x v="6"/>
    <n v="22"/>
    <n v="2438.6799999999998"/>
    <n v="29264.159999999996"/>
  </r>
  <r>
    <s v="ORD_668"/>
    <x v="271"/>
    <s v="South"/>
    <s v="Karnataka"/>
    <x v="7"/>
    <x v="2"/>
    <n v="6"/>
    <x v="7"/>
    <n v="45"/>
    <n v="4894.41"/>
    <n v="29366.46"/>
  </r>
  <r>
    <s v="ORD_669"/>
    <x v="295"/>
    <s v="South"/>
    <s v="Karnataka"/>
    <x v="2"/>
    <x v="1"/>
    <n v="11"/>
    <x v="4"/>
    <n v="17"/>
    <n v="2677.03"/>
    <n v="29447.33"/>
  </r>
  <r>
    <s v="ORD_670"/>
    <x v="189"/>
    <s v="West"/>
    <s v="Maharashtra"/>
    <x v="3"/>
    <x v="2"/>
    <n v="6"/>
    <x v="5"/>
    <n v="41"/>
    <n v="4908.9799999999996"/>
    <n v="29453.879999999997"/>
  </r>
  <r>
    <s v="ORD_671"/>
    <x v="85"/>
    <s v="West"/>
    <s v="Gujarat"/>
    <x v="9"/>
    <x v="3"/>
    <n v="9"/>
    <x v="5"/>
    <n v="41"/>
    <n v="3276.04"/>
    <n v="29484.36"/>
  </r>
  <r>
    <s v="ORD_672"/>
    <x v="238"/>
    <s v="South"/>
    <s v="Karnataka"/>
    <x v="12"/>
    <x v="0"/>
    <n v="15"/>
    <x v="0"/>
    <n v="53"/>
    <n v="1972.75"/>
    <n v="29591.25"/>
  </r>
  <r>
    <s v="ORD_673"/>
    <x v="109"/>
    <s v="North"/>
    <s v="Delhi"/>
    <x v="10"/>
    <x v="0"/>
    <n v="6"/>
    <x v="9"/>
    <n v="48"/>
    <n v="4939.09"/>
    <n v="29634.54"/>
  </r>
  <r>
    <s v="ORD_674"/>
    <x v="44"/>
    <s v="West"/>
    <s v="Maharashtra"/>
    <x v="3"/>
    <x v="4"/>
    <n v="7"/>
    <x v="3"/>
    <n v="27"/>
    <n v="4238.07"/>
    <n v="29666.489999999998"/>
  </r>
  <r>
    <s v="ORD_675"/>
    <x v="103"/>
    <s v="North"/>
    <s v="Delhi"/>
    <x v="13"/>
    <x v="3"/>
    <n v="7"/>
    <x v="5"/>
    <n v="54"/>
    <n v="4243.95"/>
    <n v="29707.649999999998"/>
  </r>
  <r>
    <s v="ORD_676"/>
    <x v="31"/>
    <s v="South"/>
    <s v="Karnataka"/>
    <x v="12"/>
    <x v="3"/>
    <n v="19"/>
    <x v="5"/>
    <n v="35"/>
    <n v="1564.94"/>
    <n v="29733.86"/>
  </r>
  <r>
    <s v="ORD_677"/>
    <x v="242"/>
    <s v="West"/>
    <s v="Maharashtra"/>
    <x v="3"/>
    <x v="3"/>
    <n v="9"/>
    <x v="7"/>
    <n v="47"/>
    <n v="3318.1"/>
    <n v="29862.899999999998"/>
  </r>
  <r>
    <s v="ORD_678"/>
    <x v="341"/>
    <s v="West"/>
    <s v="Maharashtra"/>
    <x v="3"/>
    <x v="3"/>
    <n v="9"/>
    <x v="4"/>
    <n v="47"/>
    <n v="3318.1"/>
    <n v="29862.899999999998"/>
  </r>
  <r>
    <s v="ORD_679"/>
    <x v="183"/>
    <s v="North"/>
    <s v="Delhi"/>
    <x v="4"/>
    <x v="2"/>
    <n v="6"/>
    <x v="10"/>
    <n v="26"/>
    <n v="4984.92"/>
    <n v="29909.52"/>
  </r>
  <r>
    <s v="ORD_680"/>
    <x v="155"/>
    <s v="West"/>
    <s v="Maharashtra"/>
    <x v="11"/>
    <x v="2"/>
    <n v="17"/>
    <x v="3"/>
    <n v="53"/>
    <n v="1759.91"/>
    <n v="29918.47"/>
  </r>
  <r>
    <s v="ORD_681"/>
    <x v="314"/>
    <s v="West"/>
    <s v="Gujarat"/>
    <x v="14"/>
    <x v="4"/>
    <n v="15"/>
    <x v="10"/>
    <n v="33"/>
    <n v="2006.04"/>
    <n v="30090.6"/>
  </r>
  <r>
    <s v="ORD_682"/>
    <x v="272"/>
    <s v="West"/>
    <s v="Maharashtra"/>
    <x v="5"/>
    <x v="2"/>
    <n v="20"/>
    <x v="9"/>
    <n v="18"/>
    <n v="1507.52"/>
    <n v="30150.400000000001"/>
  </r>
  <r>
    <s v="ORD_683"/>
    <x v="185"/>
    <s v="South"/>
    <s v="Karnataka"/>
    <x v="2"/>
    <x v="3"/>
    <n v="17"/>
    <x v="8"/>
    <n v="16"/>
    <n v="1777.42"/>
    <n v="30216.14"/>
  </r>
  <r>
    <s v="ORD_684"/>
    <x v="262"/>
    <s v="North"/>
    <s v="Delhi"/>
    <x v="13"/>
    <x v="3"/>
    <n v="13"/>
    <x v="1"/>
    <n v="32"/>
    <n v="2327.81"/>
    <n v="30261.53"/>
  </r>
  <r>
    <s v="ORD_685"/>
    <x v="291"/>
    <s v="South"/>
    <s v="Karnataka"/>
    <x v="2"/>
    <x v="3"/>
    <n v="20"/>
    <x v="1"/>
    <n v="52"/>
    <n v="1514.3"/>
    <n v="30286"/>
  </r>
  <r>
    <s v="ORD_686"/>
    <x v="104"/>
    <s v="West"/>
    <s v="Gujarat"/>
    <x v="1"/>
    <x v="3"/>
    <n v="17"/>
    <x v="8"/>
    <n v="25"/>
    <n v="1793.43"/>
    <n v="30488.31"/>
  </r>
  <r>
    <s v="ORD_687"/>
    <x v="342"/>
    <s v="South"/>
    <s v="Tamil Nadu"/>
    <x v="6"/>
    <x v="0"/>
    <n v="13"/>
    <x v="4"/>
    <n v="38"/>
    <n v="2347.66"/>
    <n v="30519.579999999998"/>
  </r>
  <r>
    <s v="ORD_688"/>
    <x v="23"/>
    <s v="West"/>
    <s v="Gujarat"/>
    <x v="9"/>
    <x v="0"/>
    <n v="16"/>
    <x v="9"/>
    <n v="31"/>
    <n v="1907.95"/>
    <n v="30527.200000000001"/>
  </r>
  <r>
    <s v="ORD_689"/>
    <x v="243"/>
    <s v="South"/>
    <s v="Tamil Nadu"/>
    <x v="8"/>
    <x v="0"/>
    <n v="9"/>
    <x v="3"/>
    <n v="29"/>
    <n v="3395.02"/>
    <n v="30555.18"/>
  </r>
  <r>
    <s v="ORD_690"/>
    <x v="158"/>
    <s v="West"/>
    <s v="Gujarat"/>
    <x v="9"/>
    <x v="4"/>
    <n v="13"/>
    <x v="6"/>
    <n v="22"/>
    <n v="2351.59"/>
    <n v="30570.670000000002"/>
  </r>
  <r>
    <s v="ORD_691"/>
    <x v="335"/>
    <s v="South"/>
    <s v="Tamil Nadu"/>
    <x v="0"/>
    <x v="2"/>
    <n v="12"/>
    <x v="4"/>
    <n v="52"/>
    <n v="2557.5700000000002"/>
    <n v="30690.840000000004"/>
  </r>
  <r>
    <s v="ORD_692"/>
    <x v="47"/>
    <s v="West"/>
    <s v="Maharashtra"/>
    <x v="11"/>
    <x v="3"/>
    <n v="20"/>
    <x v="9"/>
    <n v="21"/>
    <n v="1536.73"/>
    <n v="30734.6"/>
  </r>
  <r>
    <s v="ORD_693"/>
    <x v="76"/>
    <s v="West"/>
    <s v="Maharashtra"/>
    <x v="11"/>
    <x v="4"/>
    <n v="16"/>
    <x v="10"/>
    <n v="51"/>
    <n v="1933.33"/>
    <n v="30933.279999999999"/>
  </r>
  <r>
    <s v="ORD_694"/>
    <x v="198"/>
    <s v="North"/>
    <s v="Delhi"/>
    <x v="13"/>
    <x v="1"/>
    <n v="12"/>
    <x v="9"/>
    <n v="20"/>
    <n v="2581.09"/>
    <n v="30973.08"/>
  </r>
  <r>
    <s v="ORD_695"/>
    <x v="170"/>
    <s v="North"/>
    <s v="Delhi"/>
    <x v="4"/>
    <x v="0"/>
    <n v="9"/>
    <x v="7"/>
    <n v="54"/>
    <n v="3458"/>
    <n v="31122"/>
  </r>
  <r>
    <s v="ORD_696"/>
    <x v="214"/>
    <s v="West"/>
    <s v="Gujarat"/>
    <x v="9"/>
    <x v="2"/>
    <n v="19"/>
    <x v="5"/>
    <n v="55"/>
    <n v="1641.98"/>
    <n v="31197.62"/>
  </r>
  <r>
    <s v="ORD_697"/>
    <x v="197"/>
    <s v="South"/>
    <s v="Karnataka"/>
    <x v="2"/>
    <x v="3"/>
    <n v="15"/>
    <x v="9"/>
    <n v="25"/>
    <n v="2081.27"/>
    <n v="31219.05"/>
  </r>
  <r>
    <s v="ORD_698"/>
    <x v="181"/>
    <s v="South"/>
    <s v="Tamil Nadu"/>
    <x v="8"/>
    <x v="0"/>
    <n v="10"/>
    <x v="4"/>
    <n v="43"/>
    <n v="3122.59"/>
    <n v="31225.9"/>
  </r>
  <r>
    <s v="ORD_699"/>
    <x v="343"/>
    <s v="South"/>
    <s v="Tamil Nadu"/>
    <x v="6"/>
    <x v="1"/>
    <n v="11"/>
    <x v="5"/>
    <n v="16"/>
    <n v="2852.22"/>
    <n v="31374.42"/>
  </r>
  <r>
    <s v="ORD_700"/>
    <x v="91"/>
    <s v="South"/>
    <s v="Tamil Nadu"/>
    <x v="6"/>
    <x v="1"/>
    <n v="11"/>
    <x v="3"/>
    <n v="16"/>
    <n v="2852.22"/>
    <n v="31374.42"/>
  </r>
  <r>
    <s v="ORD_701"/>
    <x v="344"/>
    <s v="West"/>
    <s v="Gujarat"/>
    <x v="1"/>
    <x v="3"/>
    <n v="7"/>
    <x v="9"/>
    <n v="45"/>
    <n v="4508.28"/>
    <n v="31557.96"/>
  </r>
  <r>
    <s v="ORD_702"/>
    <x v="288"/>
    <s v="West"/>
    <s v="Gujarat"/>
    <x v="9"/>
    <x v="2"/>
    <n v="14"/>
    <x v="3"/>
    <n v="49"/>
    <n v="2260.17"/>
    <n v="31642.38"/>
  </r>
  <r>
    <s v="ORD_703"/>
    <x v="345"/>
    <s v="South"/>
    <s v="Tamil Nadu"/>
    <x v="8"/>
    <x v="3"/>
    <n v="7"/>
    <x v="0"/>
    <n v="20"/>
    <n v="4530.8100000000004"/>
    <n v="31715.670000000002"/>
  </r>
  <r>
    <s v="ORD_704"/>
    <x v="254"/>
    <s v="North"/>
    <s v="Delhi"/>
    <x v="10"/>
    <x v="0"/>
    <n v="7"/>
    <x v="1"/>
    <n v="45"/>
    <n v="4541.83"/>
    <n v="31792.809999999998"/>
  </r>
  <r>
    <s v="ORD_705"/>
    <x v="295"/>
    <s v="North"/>
    <s v="Delhi"/>
    <x v="13"/>
    <x v="4"/>
    <n v="20"/>
    <x v="6"/>
    <n v="24"/>
    <n v="1592.52"/>
    <n v="31850.400000000001"/>
  </r>
  <r>
    <s v="ORD_706"/>
    <x v="340"/>
    <s v="North"/>
    <s v="Delhi"/>
    <x v="4"/>
    <x v="3"/>
    <n v="9"/>
    <x v="0"/>
    <n v="26"/>
    <n v="3552.02"/>
    <n v="31968.18"/>
  </r>
  <r>
    <s v="ORD_707"/>
    <x v="346"/>
    <s v="West"/>
    <s v="Gujarat"/>
    <x v="9"/>
    <x v="2"/>
    <n v="10"/>
    <x v="4"/>
    <n v="18"/>
    <n v="3205.57"/>
    <n v="32055.7"/>
  </r>
  <r>
    <s v="ORD_708"/>
    <x v="226"/>
    <s v="West"/>
    <s v="Gujarat"/>
    <x v="1"/>
    <x v="3"/>
    <n v="8"/>
    <x v="3"/>
    <n v="35"/>
    <n v="4009.51"/>
    <n v="32076.080000000002"/>
  </r>
  <r>
    <s v="ORD_709"/>
    <x v="347"/>
    <s v="West"/>
    <s v="Gujarat"/>
    <x v="14"/>
    <x v="2"/>
    <n v="13"/>
    <x v="0"/>
    <n v="24"/>
    <n v="2475.98"/>
    <n v="32187.74"/>
  </r>
  <r>
    <s v="ORD_710"/>
    <x v="140"/>
    <s v="West"/>
    <s v="Gujarat"/>
    <x v="14"/>
    <x v="2"/>
    <n v="13"/>
    <x v="1"/>
    <n v="24"/>
    <n v="2475.98"/>
    <n v="32187.74"/>
  </r>
  <r>
    <s v="ORD_711"/>
    <x v="114"/>
    <s v="West"/>
    <s v="Maharashtra"/>
    <x v="3"/>
    <x v="2"/>
    <n v="15"/>
    <x v="8"/>
    <n v="43"/>
    <n v="2148.0100000000002"/>
    <n v="32220.15"/>
  </r>
  <r>
    <s v="ORD_712"/>
    <x v="281"/>
    <s v="West"/>
    <s v="Gujarat"/>
    <x v="9"/>
    <x v="4"/>
    <n v="15"/>
    <x v="4"/>
    <n v="26"/>
    <n v="2167.91"/>
    <n v="32518.649999999998"/>
  </r>
  <r>
    <s v="ORD_713"/>
    <x v="305"/>
    <s v="South"/>
    <s v="Tamil Nadu"/>
    <x v="6"/>
    <x v="2"/>
    <n v="15"/>
    <x v="6"/>
    <n v="42"/>
    <n v="2174.4499999999998"/>
    <n v="32616.749999999996"/>
  </r>
  <r>
    <s v="ORD_714"/>
    <x v="348"/>
    <s v="North"/>
    <s v="Delhi"/>
    <x v="10"/>
    <x v="3"/>
    <n v="12"/>
    <x v="7"/>
    <n v="28"/>
    <n v="2726.43"/>
    <n v="32717.159999999996"/>
  </r>
  <r>
    <s v="ORD_715"/>
    <x v="215"/>
    <s v="South"/>
    <s v="Tamil Nadu"/>
    <x v="6"/>
    <x v="1"/>
    <n v="9"/>
    <x v="1"/>
    <n v="45"/>
    <n v="3643.26"/>
    <n v="32789.340000000004"/>
  </r>
  <r>
    <s v="ORD_716"/>
    <x v="349"/>
    <s v="South"/>
    <s v="Tamil Nadu"/>
    <x v="6"/>
    <x v="3"/>
    <n v="12"/>
    <x v="3"/>
    <n v="20"/>
    <n v="2733.87"/>
    <n v="32806.44"/>
  </r>
  <r>
    <s v="ORD_717"/>
    <x v="309"/>
    <s v="South"/>
    <s v="Tamil Nadu"/>
    <x v="6"/>
    <x v="4"/>
    <n v="7"/>
    <x v="1"/>
    <n v="37"/>
    <n v="4720.63"/>
    <n v="33044.410000000003"/>
  </r>
  <r>
    <s v="ORD_718"/>
    <x v="93"/>
    <s v="West"/>
    <s v="Maharashtra"/>
    <x v="3"/>
    <x v="4"/>
    <n v="9"/>
    <x v="9"/>
    <n v="48"/>
    <n v="3678.86"/>
    <n v="33109.74"/>
  </r>
  <r>
    <s v="ORD_719"/>
    <x v="267"/>
    <s v="North"/>
    <s v="Delhi"/>
    <x v="13"/>
    <x v="0"/>
    <n v="11"/>
    <x v="4"/>
    <n v="47"/>
    <n v="3011.73"/>
    <n v="33129.03"/>
  </r>
  <r>
    <s v="ORD_720"/>
    <x v="334"/>
    <s v="West"/>
    <s v="Maharashtra"/>
    <x v="11"/>
    <x v="0"/>
    <n v="8"/>
    <x v="1"/>
    <n v="41"/>
    <n v="4146.82"/>
    <n v="33174.559999999998"/>
  </r>
  <r>
    <s v="ORD_721"/>
    <x v="191"/>
    <s v="North"/>
    <s v="Delhi"/>
    <x v="10"/>
    <x v="2"/>
    <n v="14"/>
    <x v="4"/>
    <n v="26"/>
    <n v="2371.85"/>
    <n v="33205.9"/>
  </r>
  <r>
    <s v="ORD_722"/>
    <x v="190"/>
    <s v="West"/>
    <s v="Gujarat"/>
    <x v="14"/>
    <x v="4"/>
    <n v="8"/>
    <x v="1"/>
    <n v="49"/>
    <n v="4169.8999999999996"/>
    <n v="33359.199999999997"/>
  </r>
  <r>
    <s v="ORD_723"/>
    <x v="88"/>
    <s v="West"/>
    <s v="Gujarat"/>
    <x v="9"/>
    <x v="1"/>
    <n v="8"/>
    <x v="7"/>
    <n v="41"/>
    <n v="4197.6400000000003"/>
    <n v="33581.120000000003"/>
  </r>
  <r>
    <s v="ORD_724"/>
    <x v="82"/>
    <s v="South"/>
    <s v="Karnataka"/>
    <x v="12"/>
    <x v="3"/>
    <n v="8"/>
    <x v="5"/>
    <n v="53"/>
    <n v="4201.6899999999996"/>
    <n v="33613.519999999997"/>
  </r>
  <r>
    <s v="ORD_725"/>
    <x v="65"/>
    <s v="North"/>
    <s v="Delhi"/>
    <x v="13"/>
    <x v="4"/>
    <n v="7"/>
    <x v="8"/>
    <n v="47"/>
    <n v="4803.62"/>
    <n v="33625.339999999997"/>
  </r>
  <r>
    <s v="ORD_726"/>
    <x v="120"/>
    <s v="North"/>
    <s v="Delhi"/>
    <x v="4"/>
    <x v="3"/>
    <n v="7"/>
    <x v="9"/>
    <n v="37"/>
    <n v="4813.28"/>
    <n v="33692.959999999999"/>
  </r>
  <r>
    <s v="ORD_727"/>
    <x v="104"/>
    <s v="West"/>
    <s v="Gujarat"/>
    <x v="14"/>
    <x v="3"/>
    <n v="11"/>
    <x v="4"/>
    <n v="23"/>
    <n v="3072.59"/>
    <n v="33798.490000000005"/>
  </r>
  <r>
    <s v="ORD_728"/>
    <x v="40"/>
    <s v="South"/>
    <s v="Tamil Nadu"/>
    <x v="0"/>
    <x v="3"/>
    <n v="12"/>
    <x v="9"/>
    <n v="53"/>
    <n v="2821.2"/>
    <n v="33854.399999999994"/>
  </r>
  <r>
    <s v="ORD_729"/>
    <x v="152"/>
    <s v="North"/>
    <s v="Delhi"/>
    <x v="10"/>
    <x v="4"/>
    <n v="14"/>
    <x v="10"/>
    <n v="50"/>
    <n v="2429.23"/>
    <n v="34009.22"/>
  </r>
  <r>
    <s v="ORD_730"/>
    <x v="194"/>
    <s v="North"/>
    <s v="Delhi"/>
    <x v="4"/>
    <x v="1"/>
    <n v="10"/>
    <x v="9"/>
    <n v="19"/>
    <n v="3411.13"/>
    <n v="34111.300000000003"/>
  </r>
  <r>
    <s v="ORD_731"/>
    <x v="144"/>
    <s v="West"/>
    <s v="Maharashtra"/>
    <x v="3"/>
    <x v="3"/>
    <n v="8"/>
    <x v="4"/>
    <n v="49"/>
    <n v="4290.04"/>
    <n v="34320.32"/>
  </r>
  <r>
    <s v="ORD_732"/>
    <x v="153"/>
    <s v="West"/>
    <s v="Gujarat"/>
    <x v="14"/>
    <x v="1"/>
    <n v="19"/>
    <x v="2"/>
    <n v="25"/>
    <n v="1809.9"/>
    <n v="34388.1"/>
  </r>
  <r>
    <s v="ORD_733"/>
    <x v="350"/>
    <s v="South"/>
    <s v="Karnataka"/>
    <x v="12"/>
    <x v="2"/>
    <n v="10"/>
    <x v="1"/>
    <n v="50"/>
    <n v="3439.35"/>
    <n v="34393.5"/>
  </r>
  <r>
    <s v="ORD_734"/>
    <x v="202"/>
    <s v="West"/>
    <s v="Maharashtra"/>
    <x v="3"/>
    <x v="0"/>
    <n v="17"/>
    <x v="7"/>
    <n v="17"/>
    <n v="2031.75"/>
    <n v="34539.75"/>
  </r>
  <r>
    <s v="ORD_735"/>
    <x v="89"/>
    <s v="South"/>
    <s v="Tamil Nadu"/>
    <x v="6"/>
    <x v="2"/>
    <n v="12"/>
    <x v="7"/>
    <n v="18"/>
    <n v="2882.46"/>
    <n v="34589.520000000004"/>
  </r>
  <r>
    <s v="ORD_736"/>
    <x v="185"/>
    <s v="West"/>
    <s v="Gujarat"/>
    <x v="1"/>
    <x v="3"/>
    <n v="13"/>
    <x v="6"/>
    <n v="20"/>
    <n v="2665.15"/>
    <n v="34646.950000000004"/>
  </r>
  <r>
    <s v="ORD_737"/>
    <x v="305"/>
    <s v="North"/>
    <s v="Delhi"/>
    <x v="13"/>
    <x v="3"/>
    <n v="8"/>
    <x v="9"/>
    <n v="30"/>
    <n v="4334.41"/>
    <n v="34675.279999999999"/>
  </r>
  <r>
    <s v="ORD_738"/>
    <x v="211"/>
    <s v="North"/>
    <s v="Delhi"/>
    <x v="4"/>
    <x v="2"/>
    <n v="17"/>
    <x v="9"/>
    <n v="50"/>
    <n v="2045.39"/>
    <n v="34771.630000000005"/>
  </r>
  <r>
    <s v="ORD_739"/>
    <x v="351"/>
    <s v="North"/>
    <s v="Delhi"/>
    <x v="4"/>
    <x v="4"/>
    <n v="16"/>
    <x v="0"/>
    <n v="30"/>
    <n v="2178.7800000000002"/>
    <n v="34860.480000000003"/>
  </r>
  <r>
    <s v="ORD_740"/>
    <x v="287"/>
    <s v="North"/>
    <s v="Delhi"/>
    <x v="4"/>
    <x v="4"/>
    <n v="16"/>
    <x v="1"/>
    <n v="30"/>
    <n v="2178.7800000000002"/>
    <n v="34860.480000000003"/>
  </r>
  <r>
    <s v="ORD_741"/>
    <x v="192"/>
    <s v="West"/>
    <s v="Maharashtra"/>
    <x v="5"/>
    <x v="3"/>
    <n v="15"/>
    <x v="8"/>
    <n v="46"/>
    <n v="2330.62"/>
    <n v="34959.299999999996"/>
  </r>
  <r>
    <s v="ORD_742"/>
    <x v="106"/>
    <s v="South"/>
    <s v="Tamil Nadu"/>
    <x v="0"/>
    <x v="1"/>
    <n v="13"/>
    <x v="5"/>
    <n v="36"/>
    <n v="2693.09"/>
    <n v="35010.17"/>
  </r>
  <r>
    <s v="ORD_743"/>
    <x v="309"/>
    <s v="South"/>
    <s v="Karnataka"/>
    <x v="2"/>
    <x v="0"/>
    <n v="15"/>
    <x v="7"/>
    <n v="21"/>
    <n v="2346.4"/>
    <n v="35196"/>
  </r>
  <r>
    <s v="ORD_744"/>
    <x v="12"/>
    <s v="South"/>
    <s v="Karnataka"/>
    <x v="7"/>
    <x v="1"/>
    <n v="8"/>
    <x v="6"/>
    <n v="35"/>
    <n v="4402.3599999999997"/>
    <n v="35218.879999999997"/>
  </r>
  <r>
    <s v="ORD_745"/>
    <x v="172"/>
    <s v="South"/>
    <s v="Karnataka"/>
    <x v="7"/>
    <x v="0"/>
    <n v="10"/>
    <x v="3"/>
    <n v="28"/>
    <n v="3540.6"/>
    <n v="35406"/>
  </r>
  <r>
    <s v="ORD_746"/>
    <x v="211"/>
    <s v="South"/>
    <s v="Karnataka"/>
    <x v="12"/>
    <x v="3"/>
    <n v="18"/>
    <x v="4"/>
    <n v="45"/>
    <n v="1968.87"/>
    <n v="35439.659999999996"/>
  </r>
  <r>
    <s v="ORD_747"/>
    <x v="257"/>
    <s v="West"/>
    <s v="Maharashtra"/>
    <x v="11"/>
    <x v="2"/>
    <n v="13"/>
    <x v="3"/>
    <n v="27"/>
    <n v="2745.75"/>
    <n v="35694.75"/>
  </r>
  <r>
    <s v="ORD_748"/>
    <x v="352"/>
    <s v="South"/>
    <s v="Karnataka"/>
    <x v="7"/>
    <x v="0"/>
    <n v="16"/>
    <x v="1"/>
    <n v="37"/>
    <n v="2231.67"/>
    <n v="35706.720000000001"/>
  </r>
  <r>
    <s v="ORD_749"/>
    <x v="46"/>
    <s v="North"/>
    <s v="Delhi"/>
    <x v="10"/>
    <x v="2"/>
    <n v="18"/>
    <x v="7"/>
    <n v="16"/>
    <n v="1986.52"/>
    <n v="35757.360000000001"/>
  </r>
  <r>
    <s v="ORD_750"/>
    <x v="185"/>
    <s v="West"/>
    <s v="Gujarat"/>
    <x v="9"/>
    <x v="1"/>
    <n v="17"/>
    <x v="4"/>
    <n v="27"/>
    <n v="2107.36"/>
    <n v="35825.120000000003"/>
  </r>
  <r>
    <s v="ORD_751"/>
    <x v="70"/>
    <s v="South"/>
    <s v="Karnataka"/>
    <x v="12"/>
    <x v="3"/>
    <n v="8"/>
    <x v="5"/>
    <n v="19"/>
    <n v="4516.82"/>
    <n v="36134.559999999998"/>
  </r>
  <r>
    <s v="ORD_752"/>
    <x v="353"/>
    <s v="West"/>
    <s v="Maharashtra"/>
    <x v="3"/>
    <x v="3"/>
    <n v="12"/>
    <x v="8"/>
    <n v="48"/>
    <n v="3028.88"/>
    <n v="36346.559999999998"/>
  </r>
  <r>
    <s v="ORD_753"/>
    <x v="354"/>
    <s v="West"/>
    <s v="Maharashtra"/>
    <x v="5"/>
    <x v="2"/>
    <n v="13"/>
    <x v="9"/>
    <n v="38"/>
    <n v="2809.29"/>
    <n v="36520.769999999997"/>
  </r>
  <r>
    <s v="ORD_754"/>
    <x v="355"/>
    <s v="West"/>
    <s v="Maharashtra"/>
    <x v="5"/>
    <x v="1"/>
    <n v="8"/>
    <x v="8"/>
    <n v="46"/>
    <n v="4576.97"/>
    <n v="36615.760000000002"/>
  </r>
  <r>
    <s v="ORD_755"/>
    <x v="78"/>
    <s v="South"/>
    <s v="Tamil Nadu"/>
    <x v="6"/>
    <x v="2"/>
    <n v="13"/>
    <x v="9"/>
    <n v="21"/>
    <n v="2829.47"/>
    <n v="36783.11"/>
  </r>
  <r>
    <s v="ORD_756"/>
    <x v="159"/>
    <s v="West"/>
    <s v="Maharashtra"/>
    <x v="5"/>
    <x v="4"/>
    <n v="12"/>
    <x v="10"/>
    <n v="32"/>
    <n v="3074.45"/>
    <n v="36893.399999999994"/>
  </r>
  <r>
    <s v="ORD_757"/>
    <x v="62"/>
    <s v="West"/>
    <s v="Maharashtra"/>
    <x v="11"/>
    <x v="2"/>
    <n v="12"/>
    <x v="3"/>
    <n v="52"/>
    <n v="3076.03"/>
    <n v="36912.36"/>
  </r>
  <r>
    <s v="ORD_758"/>
    <x v="356"/>
    <s v="West"/>
    <s v="Maharashtra"/>
    <x v="5"/>
    <x v="4"/>
    <n v="8"/>
    <x v="5"/>
    <n v="26"/>
    <n v="4621.75"/>
    <n v="36974"/>
  </r>
  <r>
    <s v="ORD_759"/>
    <x v="357"/>
    <s v="West"/>
    <s v="Maharashtra"/>
    <x v="5"/>
    <x v="4"/>
    <n v="8"/>
    <x v="4"/>
    <n v="26"/>
    <n v="4621.75"/>
    <n v="36974"/>
  </r>
  <r>
    <s v="ORD_760"/>
    <x v="30"/>
    <s v="South"/>
    <s v="Karnataka"/>
    <x v="7"/>
    <x v="0"/>
    <n v="15"/>
    <x v="9"/>
    <n v="46"/>
    <n v="2477.09"/>
    <n v="37156.350000000006"/>
  </r>
  <r>
    <s v="ORD_761"/>
    <x v="300"/>
    <s v="South"/>
    <s v="Tamil Nadu"/>
    <x v="6"/>
    <x v="0"/>
    <n v="8"/>
    <x v="0"/>
    <n v="38"/>
    <n v="4651.3"/>
    <n v="37210.400000000001"/>
  </r>
  <r>
    <s v="ORD_762"/>
    <x v="302"/>
    <s v="West"/>
    <s v="Maharashtra"/>
    <x v="5"/>
    <x v="2"/>
    <n v="19"/>
    <x v="0"/>
    <n v="48"/>
    <n v="1965.12"/>
    <n v="37337.279999999999"/>
  </r>
  <r>
    <s v="ORD_763"/>
    <x v="358"/>
    <s v="West"/>
    <s v="Maharashtra"/>
    <x v="5"/>
    <x v="2"/>
    <n v="18"/>
    <x v="5"/>
    <n v="24"/>
    <n v="2074.52"/>
    <n v="37341.360000000001"/>
  </r>
  <r>
    <s v="ORD_764"/>
    <x v="63"/>
    <s v="North"/>
    <s v="Delhi"/>
    <x v="4"/>
    <x v="1"/>
    <n v="17"/>
    <x v="9"/>
    <n v="52"/>
    <n v="2216.38"/>
    <n v="37678.46"/>
  </r>
  <r>
    <s v="ORD_765"/>
    <x v="359"/>
    <s v="West"/>
    <s v="Gujarat"/>
    <x v="1"/>
    <x v="1"/>
    <n v="15"/>
    <x v="2"/>
    <n v="32"/>
    <n v="2514.9499999999998"/>
    <n v="37724.25"/>
  </r>
  <r>
    <s v="ORD_766"/>
    <x v="118"/>
    <s v="South"/>
    <s v="Tamil Nadu"/>
    <x v="6"/>
    <x v="1"/>
    <n v="13"/>
    <x v="1"/>
    <n v="23"/>
    <n v="2913.56"/>
    <n v="37876.28"/>
  </r>
  <r>
    <s v="ORD_767"/>
    <x v="115"/>
    <s v="West"/>
    <s v="Gujarat"/>
    <x v="1"/>
    <x v="4"/>
    <n v="14"/>
    <x v="9"/>
    <n v="43"/>
    <n v="2715.54"/>
    <n v="38017.56"/>
  </r>
  <r>
    <s v="ORD_768"/>
    <x v="315"/>
    <s v="West"/>
    <s v="Maharashtra"/>
    <x v="11"/>
    <x v="3"/>
    <n v="10"/>
    <x v="8"/>
    <n v="32"/>
    <n v="3806.67"/>
    <n v="38066.699999999997"/>
  </r>
  <r>
    <s v="ORD_769"/>
    <x v="243"/>
    <s v="West"/>
    <s v="Maharashtra"/>
    <x v="3"/>
    <x v="1"/>
    <n v="15"/>
    <x v="4"/>
    <n v="19"/>
    <n v="2551.6"/>
    <n v="38274"/>
  </r>
  <r>
    <s v="ORD_770"/>
    <x v="155"/>
    <s v="West"/>
    <s v="Gujarat"/>
    <x v="1"/>
    <x v="0"/>
    <n v="20"/>
    <x v="9"/>
    <n v="24"/>
    <n v="1916.52"/>
    <n v="38330.400000000001"/>
  </r>
  <r>
    <s v="ORD_771"/>
    <x v="183"/>
    <s v="South"/>
    <s v="Karnataka"/>
    <x v="2"/>
    <x v="3"/>
    <n v="14"/>
    <x v="6"/>
    <n v="46"/>
    <n v="2746.27"/>
    <n v="38447.78"/>
  </r>
  <r>
    <s v="ORD_772"/>
    <x v="59"/>
    <s v="North"/>
    <s v="Delhi"/>
    <x v="13"/>
    <x v="2"/>
    <n v="18"/>
    <x v="5"/>
    <n v="52"/>
    <n v="2149.9899999999998"/>
    <n v="38699.819999999992"/>
  </r>
  <r>
    <s v="ORD_773"/>
    <x v="360"/>
    <s v="West"/>
    <s v="Gujarat"/>
    <x v="14"/>
    <x v="0"/>
    <n v="15"/>
    <x v="8"/>
    <n v="39"/>
    <n v="2586.8000000000002"/>
    <n v="38802"/>
  </r>
  <r>
    <s v="ORD_774"/>
    <x v="67"/>
    <s v="West"/>
    <s v="Maharashtra"/>
    <x v="3"/>
    <x v="4"/>
    <n v="10"/>
    <x v="0"/>
    <n v="37"/>
    <n v="3882.87"/>
    <n v="38828.699999999997"/>
  </r>
  <r>
    <s v="ORD_775"/>
    <x v="81"/>
    <s v="West"/>
    <s v="Maharashtra"/>
    <x v="5"/>
    <x v="1"/>
    <n v="14"/>
    <x v="7"/>
    <n v="31"/>
    <n v="2775.33"/>
    <n v="38854.619999999995"/>
  </r>
  <r>
    <s v="ORD_776"/>
    <x v="184"/>
    <s v="West"/>
    <s v="Gujarat"/>
    <x v="1"/>
    <x v="1"/>
    <n v="11"/>
    <x v="0"/>
    <n v="50"/>
    <n v="3538.83"/>
    <n v="38927.129999999997"/>
  </r>
  <r>
    <s v="ORD_777"/>
    <x v="174"/>
    <s v="North"/>
    <s v="Delhi"/>
    <x v="4"/>
    <x v="1"/>
    <n v="8"/>
    <x v="9"/>
    <n v="55"/>
    <n v="4866.58"/>
    <n v="38932.639999999999"/>
  </r>
  <r>
    <s v="ORD_778"/>
    <x v="219"/>
    <s v="West"/>
    <s v="Maharashtra"/>
    <x v="3"/>
    <x v="2"/>
    <n v="14"/>
    <x v="4"/>
    <n v="35"/>
    <n v="2785.95"/>
    <n v="39003.299999999996"/>
  </r>
  <r>
    <s v="ORD_779"/>
    <x v="226"/>
    <s v="West"/>
    <s v="Maharashtra"/>
    <x v="3"/>
    <x v="2"/>
    <n v="10"/>
    <x v="6"/>
    <n v="25"/>
    <n v="3907.49"/>
    <n v="39074.899999999994"/>
  </r>
  <r>
    <s v="ORD_780"/>
    <x v="119"/>
    <s v="South"/>
    <s v="Tamil Nadu"/>
    <x v="8"/>
    <x v="0"/>
    <n v="11"/>
    <x v="1"/>
    <n v="38"/>
    <n v="3561.4"/>
    <n v="39175.4"/>
  </r>
  <r>
    <s v="ORD_781"/>
    <x v="194"/>
    <s v="South"/>
    <s v="Tamil Nadu"/>
    <x v="8"/>
    <x v="0"/>
    <n v="14"/>
    <x v="0"/>
    <n v="54"/>
    <n v="2808.58"/>
    <n v="39320.119999999995"/>
  </r>
  <r>
    <s v="ORD_782"/>
    <x v="160"/>
    <s v="South"/>
    <s v="Karnataka"/>
    <x v="12"/>
    <x v="3"/>
    <n v="17"/>
    <x v="2"/>
    <n v="43"/>
    <n v="2316.09"/>
    <n v="39373.53"/>
  </r>
  <r>
    <s v="ORD_783"/>
    <x v="361"/>
    <s v="West"/>
    <s v="Maharashtra"/>
    <x v="3"/>
    <x v="1"/>
    <n v="11"/>
    <x v="2"/>
    <n v="19"/>
    <n v="3584.06"/>
    <n v="39424.659999999996"/>
  </r>
  <r>
    <s v="ORD_784"/>
    <x v="362"/>
    <s v="South"/>
    <s v="Karnataka"/>
    <x v="7"/>
    <x v="0"/>
    <n v="11"/>
    <x v="5"/>
    <n v="52"/>
    <n v="3590.89"/>
    <n v="39499.79"/>
  </r>
  <r>
    <s v="ORD_785"/>
    <x v="130"/>
    <s v="South"/>
    <s v="Karnataka"/>
    <x v="7"/>
    <x v="2"/>
    <n v="10"/>
    <x v="1"/>
    <n v="44"/>
    <n v="3950.06"/>
    <n v="39500.6"/>
  </r>
  <r>
    <s v="ORD_786"/>
    <x v="362"/>
    <s v="West"/>
    <s v="Maharashtra"/>
    <x v="5"/>
    <x v="2"/>
    <n v="20"/>
    <x v="9"/>
    <n v="38"/>
    <n v="1977"/>
    <n v="39540"/>
  </r>
  <r>
    <s v="ORD_787"/>
    <x v="309"/>
    <s v="South"/>
    <s v="Karnataka"/>
    <x v="12"/>
    <x v="3"/>
    <n v="10"/>
    <x v="8"/>
    <n v="33"/>
    <n v="3964.05"/>
    <n v="39640.5"/>
  </r>
  <r>
    <s v="ORD_788"/>
    <x v="128"/>
    <s v="North"/>
    <s v="Delhi"/>
    <x v="4"/>
    <x v="1"/>
    <n v="8"/>
    <x v="9"/>
    <n v="35"/>
    <n v="4986.3100000000004"/>
    <n v="39890.480000000003"/>
  </r>
  <r>
    <s v="ORD_789"/>
    <x v="89"/>
    <s v="North"/>
    <s v="Delhi"/>
    <x v="4"/>
    <x v="4"/>
    <n v="13"/>
    <x v="8"/>
    <n v="19"/>
    <n v="3069.28"/>
    <n v="39900.639999999999"/>
  </r>
  <r>
    <s v="ORD_790"/>
    <x v="79"/>
    <s v="North"/>
    <s v="Delhi"/>
    <x v="10"/>
    <x v="4"/>
    <n v="16"/>
    <x v="9"/>
    <n v="42"/>
    <n v="2502.5700000000002"/>
    <n v="40041.120000000003"/>
  </r>
  <r>
    <s v="ORD_791"/>
    <x v="335"/>
    <s v="West"/>
    <s v="Maharashtra"/>
    <x v="3"/>
    <x v="4"/>
    <n v="11"/>
    <x v="4"/>
    <n v="23"/>
    <n v="3646.35"/>
    <n v="40109.85"/>
  </r>
  <r>
    <s v="ORD_792"/>
    <x v="363"/>
    <s v="South"/>
    <s v="Karnataka"/>
    <x v="12"/>
    <x v="1"/>
    <n v="12"/>
    <x v="5"/>
    <n v="46"/>
    <n v="3358.78"/>
    <n v="40305.360000000001"/>
  </r>
  <r>
    <s v="ORD_793"/>
    <x v="58"/>
    <s v="South"/>
    <s v="Karnataka"/>
    <x v="12"/>
    <x v="0"/>
    <n v="9"/>
    <x v="2"/>
    <n v="21"/>
    <n v="4485.21"/>
    <n v="40366.89"/>
  </r>
  <r>
    <s v="ORD_794"/>
    <x v="128"/>
    <s v="West"/>
    <s v="Maharashtra"/>
    <x v="3"/>
    <x v="3"/>
    <n v="15"/>
    <x v="6"/>
    <n v="17"/>
    <n v="2706.66"/>
    <n v="40599.899999999994"/>
  </r>
  <r>
    <s v="ORD_795"/>
    <x v="242"/>
    <s v="West"/>
    <s v="Gujarat"/>
    <x v="1"/>
    <x v="2"/>
    <n v="19"/>
    <x v="1"/>
    <n v="29"/>
    <n v="2146.17"/>
    <n v="40777.230000000003"/>
  </r>
  <r>
    <s v="ORD_796"/>
    <x v="23"/>
    <s v="West"/>
    <s v="Maharashtra"/>
    <x v="5"/>
    <x v="2"/>
    <n v="12"/>
    <x v="4"/>
    <n v="32"/>
    <n v="3400.71"/>
    <n v="40808.520000000004"/>
  </r>
  <r>
    <s v="ORD_797"/>
    <x v="217"/>
    <s v="West"/>
    <s v="Maharashtra"/>
    <x v="5"/>
    <x v="4"/>
    <n v="14"/>
    <x v="2"/>
    <n v="40"/>
    <n v="2918.42"/>
    <n v="40857.880000000005"/>
  </r>
  <r>
    <s v="ORD_798"/>
    <x v="247"/>
    <s v="North"/>
    <s v="Delhi"/>
    <x v="4"/>
    <x v="0"/>
    <n v="10"/>
    <x v="1"/>
    <n v="30"/>
    <n v="4092.05"/>
    <n v="40920.5"/>
  </r>
  <r>
    <s v="ORD_799"/>
    <x v="73"/>
    <s v="West"/>
    <s v="Maharashtra"/>
    <x v="5"/>
    <x v="3"/>
    <n v="16"/>
    <x v="9"/>
    <n v="41"/>
    <n v="2563.69"/>
    <n v="41019.040000000001"/>
  </r>
  <r>
    <s v="ORD_800"/>
    <x v="342"/>
    <s v="South"/>
    <s v="Karnataka"/>
    <x v="7"/>
    <x v="4"/>
    <n v="16"/>
    <x v="6"/>
    <n v="28"/>
    <n v="2573.33"/>
    <n v="41173.279999999999"/>
  </r>
  <r>
    <s v="ORD_801"/>
    <x v="364"/>
    <s v="West"/>
    <s v="Gujarat"/>
    <x v="9"/>
    <x v="1"/>
    <n v="12"/>
    <x v="9"/>
    <n v="55"/>
    <n v="3443.54"/>
    <n v="41322.479999999996"/>
  </r>
  <r>
    <s v="ORD_802"/>
    <x v="280"/>
    <s v="South"/>
    <s v="Tamil Nadu"/>
    <x v="8"/>
    <x v="1"/>
    <n v="13"/>
    <x v="10"/>
    <n v="52"/>
    <n v="3190.8"/>
    <n v="41480.400000000001"/>
  </r>
  <r>
    <s v="ORD_803"/>
    <x v="189"/>
    <s v="South"/>
    <s v="Karnataka"/>
    <x v="2"/>
    <x v="2"/>
    <n v="16"/>
    <x v="0"/>
    <n v="38"/>
    <n v="2600.48"/>
    <n v="41607.68"/>
  </r>
  <r>
    <s v="ORD_804"/>
    <x v="78"/>
    <s v="South"/>
    <s v="Tamil Nadu"/>
    <x v="0"/>
    <x v="0"/>
    <n v="9"/>
    <x v="1"/>
    <n v="23"/>
    <n v="4638.57"/>
    <n v="41747.129999999997"/>
  </r>
  <r>
    <s v="ORD_805"/>
    <x v="339"/>
    <s v="South"/>
    <s v="Karnataka"/>
    <x v="2"/>
    <x v="0"/>
    <n v="16"/>
    <x v="2"/>
    <n v="18"/>
    <n v="2619.73"/>
    <n v="41915.68"/>
  </r>
  <r>
    <s v="ORD_806"/>
    <x v="162"/>
    <s v="South"/>
    <s v="Karnataka"/>
    <x v="2"/>
    <x v="0"/>
    <n v="10"/>
    <x v="3"/>
    <n v="22"/>
    <n v="4196.24"/>
    <n v="41962.399999999994"/>
  </r>
  <r>
    <s v="ORD_807"/>
    <x v="361"/>
    <s v="South"/>
    <s v="Tamil Nadu"/>
    <x v="0"/>
    <x v="2"/>
    <n v="16"/>
    <x v="6"/>
    <n v="33"/>
    <n v="2640.08"/>
    <n v="42241.279999999999"/>
  </r>
  <r>
    <s v="ORD_808"/>
    <x v="129"/>
    <s v="South"/>
    <s v="Tamil Nadu"/>
    <x v="0"/>
    <x v="2"/>
    <n v="20"/>
    <x v="2"/>
    <n v="54"/>
    <n v="2123.15"/>
    <n v="42463"/>
  </r>
  <r>
    <s v="ORD_809"/>
    <x v="25"/>
    <s v="West"/>
    <s v="Gujarat"/>
    <x v="9"/>
    <x v="2"/>
    <n v="16"/>
    <x v="3"/>
    <n v="44"/>
    <n v="2666.78"/>
    <n v="42668.480000000003"/>
  </r>
  <r>
    <s v="ORD_810"/>
    <x v="223"/>
    <s v="West"/>
    <s v="Gujarat"/>
    <x v="1"/>
    <x v="1"/>
    <n v="20"/>
    <x v="3"/>
    <n v="32"/>
    <n v="2133.5300000000002"/>
    <n v="42670.600000000006"/>
  </r>
  <r>
    <s v="ORD_811"/>
    <x v="76"/>
    <s v="West"/>
    <s v="Maharashtra"/>
    <x v="5"/>
    <x v="1"/>
    <n v="9"/>
    <x v="7"/>
    <n v="27"/>
    <n v="4757.53"/>
    <n v="42817.77"/>
  </r>
  <r>
    <s v="ORD_812"/>
    <x v="223"/>
    <s v="South"/>
    <s v="Tamil Nadu"/>
    <x v="0"/>
    <x v="3"/>
    <n v="16"/>
    <x v="7"/>
    <n v="50"/>
    <n v="2682.3"/>
    <n v="42916.800000000003"/>
  </r>
  <r>
    <s v="ORD_813"/>
    <x v="291"/>
    <s v="North"/>
    <s v="Delhi"/>
    <x v="4"/>
    <x v="2"/>
    <n v="10"/>
    <x v="7"/>
    <n v="53"/>
    <n v="4298.32"/>
    <n v="42983.199999999997"/>
  </r>
  <r>
    <s v="ORD_814"/>
    <x v="31"/>
    <s v="South"/>
    <s v="Karnataka"/>
    <x v="2"/>
    <x v="3"/>
    <n v="9"/>
    <x v="9"/>
    <n v="49"/>
    <n v="4781.72"/>
    <n v="43035.48"/>
  </r>
  <r>
    <s v="ORD_815"/>
    <x v="55"/>
    <s v="West"/>
    <s v="Maharashtra"/>
    <x v="3"/>
    <x v="0"/>
    <n v="15"/>
    <x v="9"/>
    <n v="52"/>
    <n v="2869.14"/>
    <n v="43037.1"/>
  </r>
  <r>
    <s v="ORD_816"/>
    <x v="365"/>
    <s v="South"/>
    <s v="Tamil Nadu"/>
    <x v="0"/>
    <x v="0"/>
    <n v="15"/>
    <x v="3"/>
    <n v="23"/>
    <n v="2905.47"/>
    <n v="43582.049999999996"/>
  </r>
  <r>
    <s v="ORD_817"/>
    <x v="152"/>
    <s v="West"/>
    <s v="Maharashtra"/>
    <x v="5"/>
    <x v="4"/>
    <n v="11"/>
    <x v="7"/>
    <n v="52"/>
    <n v="3969.39"/>
    <n v="43663.29"/>
  </r>
  <r>
    <s v="ORD_818"/>
    <x v="366"/>
    <s v="West"/>
    <s v="Maharashtra"/>
    <x v="5"/>
    <x v="3"/>
    <n v="9"/>
    <x v="7"/>
    <n v="27"/>
    <n v="4858.75"/>
    <n v="43728.75"/>
  </r>
  <r>
    <s v="ORD_819"/>
    <x v="17"/>
    <s v="South"/>
    <s v="Tamil Nadu"/>
    <x v="8"/>
    <x v="2"/>
    <n v="19"/>
    <x v="6"/>
    <n v="20"/>
    <n v="2304.92"/>
    <n v="43793.48"/>
  </r>
  <r>
    <s v="ORD_820"/>
    <x v="169"/>
    <s v="West"/>
    <s v="Gujarat"/>
    <x v="1"/>
    <x v="3"/>
    <n v="12"/>
    <x v="10"/>
    <n v="40"/>
    <n v="3650.3"/>
    <n v="43803.600000000006"/>
  </r>
  <r>
    <s v="ORD_821"/>
    <x v="367"/>
    <s v="South"/>
    <s v="Karnataka"/>
    <x v="7"/>
    <x v="3"/>
    <n v="15"/>
    <x v="9"/>
    <n v="19"/>
    <n v="2920.62"/>
    <n v="43809.299999999996"/>
  </r>
  <r>
    <s v="ORD_822"/>
    <x v="253"/>
    <s v="West"/>
    <s v="Gujarat"/>
    <x v="1"/>
    <x v="3"/>
    <n v="16"/>
    <x v="7"/>
    <n v="16"/>
    <n v="2747.36"/>
    <n v="43957.760000000002"/>
  </r>
  <r>
    <s v="ORD_823"/>
    <x v="123"/>
    <s v="South"/>
    <s v="Tamil Nadu"/>
    <x v="0"/>
    <x v="0"/>
    <n v="10"/>
    <x v="5"/>
    <n v="27"/>
    <n v="4413.5"/>
    <n v="44135"/>
  </r>
  <r>
    <s v="ORD_824"/>
    <x v="142"/>
    <s v="West"/>
    <s v="Maharashtra"/>
    <x v="11"/>
    <x v="4"/>
    <n v="12"/>
    <x v="4"/>
    <n v="32"/>
    <n v="3686.27"/>
    <n v="44235.24"/>
  </r>
  <r>
    <s v="ORD_825"/>
    <x v="119"/>
    <s v="South"/>
    <s v="Tamil Nadu"/>
    <x v="0"/>
    <x v="0"/>
    <n v="17"/>
    <x v="9"/>
    <n v="47"/>
    <n v="2603.4899999999998"/>
    <n v="44259.329999999994"/>
  </r>
  <r>
    <s v="ORD_826"/>
    <x v="107"/>
    <s v="South"/>
    <s v="Karnataka"/>
    <x v="2"/>
    <x v="3"/>
    <n v="12"/>
    <x v="7"/>
    <n v="49"/>
    <n v="3703.31"/>
    <n v="44439.72"/>
  </r>
  <r>
    <s v="ORD_827"/>
    <x v="355"/>
    <s v="North"/>
    <s v="Delhi"/>
    <x v="13"/>
    <x v="3"/>
    <n v="13"/>
    <x v="10"/>
    <n v="43"/>
    <n v="3423.36"/>
    <n v="44503.68"/>
  </r>
  <r>
    <s v="ORD_828"/>
    <x v="34"/>
    <s v="West"/>
    <s v="Maharashtra"/>
    <x v="3"/>
    <x v="1"/>
    <n v="9"/>
    <x v="3"/>
    <n v="34"/>
    <n v="4953.3999999999996"/>
    <n v="44580.6"/>
  </r>
  <r>
    <s v="ORD_829"/>
    <x v="188"/>
    <s v="South"/>
    <s v="Tamil Nadu"/>
    <x v="8"/>
    <x v="4"/>
    <n v="16"/>
    <x v="0"/>
    <n v="25"/>
    <n v="2793.48"/>
    <n v="44695.68"/>
  </r>
  <r>
    <s v="ORD_830"/>
    <x v="339"/>
    <s v="South"/>
    <s v="Karnataka"/>
    <x v="7"/>
    <x v="3"/>
    <n v="11"/>
    <x v="2"/>
    <n v="26"/>
    <n v="4066.2"/>
    <n v="44728.2"/>
  </r>
  <r>
    <s v="ORD_831"/>
    <x v="228"/>
    <s v="West"/>
    <s v="Maharashtra"/>
    <x v="3"/>
    <x v="1"/>
    <n v="18"/>
    <x v="9"/>
    <n v="31"/>
    <n v="2494.9499999999998"/>
    <n v="44909.1"/>
  </r>
  <r>
    <s v="ORD_832"/>
    <x v="71"/>
    <s v="South"/>
    <s v="Tamil Nadu"/>
    <x v="8"/>
    <x v="4"/>
    <n v="10"/>
    <x v="7"/>
    <n v="53"/>
    <n v="4496.3900000000003"/>
    <n v="44963.9"/>
  </r>
  <r>
    <s v="ORD_833"/>
    <x v="353"/>
    <s v="South"/>
    <s v="Tamil Nadu"/>
    <x v="8"/>
    <x v="3"/>
    <n v="11"/>
    <x v="4"/>
    <n v="47"/>
    <n v="4089.16"/>
    <n v="44980.759999999995"/>
  </r>
  <r>
    <s v="ORD_834"/>
    <x v="181"/>
    <s v="West"/>
    <s v="Gujarat"/>
    <x v="9"/>
    <x v="1"/>
    <n v="15"/>
    <x v="4"/>
    <n v="37"/>
    <n v="3005.08"/>
    <n v="45076.2"/>
  </r>
  <r>
    <s v="ORD_835"/>
    <x v="196"/>
    <s v="South"/>
    <s v="Tamil Nadu"/>
    <x v="8"/>
    <x v="1"/>
    <n v="17"/>
    <x v="4"/>
    <n v="43"/>
    <n v="2664.62"/>
    <n v="45298.54"/>
  </r>
  <r>
    <s v="ORD_836"/>
    <x v="54"/>
    <s v="South"/>
    <s v="Karnataka"/>
    <x v="2"/>
    <x v="3"/>
    <n v="19"/>
    <x v="1"/>
    <n v="32"/>
    <n v="2386.59"/>
    <n v="45345.210000000006"/>
  </r>
  <r>
    <s v="ORD_837"/>
    <x v="360"/>
    <s v="South"/>
    <s v="Tamil Nadu"/>
    <x v="0"/>
    <x v="2"/>
    <n v="12"/>
    <x v="7"/>
    <n v="36"/>
    <n v="3785.29"/>
    <n v="45423.479999999996"/>
  </r>
  <r>
    <s v="ORD_838"/>
    <x v="155"/>
    <s v="West"/>
    <s v="Maharashtra"/>
    <x v="5"/>
    <x v="4"/>
    <n v="14"/>
    <x v="0"/>
    <n v="16"/>
    <n v="3259.64"/>
    <n v="45634.96"/>
  </r>
  <r>
    <s v="ORD_839"/>
    <x v="368"/>
    <s v="South"/>
    <s v="Tamil Nadu"/>
    <x v="6"/>
    <x v="2"/>
    <n v="15"/>
    <x v="4"/>
    <n v="18"/>
    <n v="3048.36"/>
    <n v="45725.4"/>
  </r>
  <r>
    <s v="ORD_840"/>
    <x v="32"/>
    <s v="West"/>
    <s v="Gujarat"/>
    <x v="14"/>
    <x v="4"/>
    <n v="11"/>
    <x v="4"/>
    <n v="53"/>
    <n v="4188.37"/>
    <n v="46072.07"/>
  </r>
  <r>
    <s v="ORD_841"/>
    <x v="314"/>
    <s v="West"/>
    <s v="Maharashtra"/>
    <x v="11"/>
    <x v="4"/>
    <n v="16"/>
    <x v="5"/>
    <n v="34"/>
    <n v="2882.65"/>
    <n v="46122.400000000001"/>
  </r>
  <r>
    <s v="ORD_842"/>
    <x v="216"/>
    <s v="South"/>
    <s v="Tamil Nadu"/>
    <x v="0"/>
    <x v="3"/>
    <n v="13"/>
    <x v="8"/>
    <n v="34"/>
    <n v="3551.21"/>
    <n v="46165.73"/>
  </r>
  <r>
    <s v="ORD_843"/>
    <x v="264"/>
    <s v="West"/>
    <s v="Gujarat"/>
    <x v="1"/>
    <x v="4"/>
    <n v="11"/>
    <x v="1"/>
    <n v="47"/>
    <n v="4205.55"/>
    <n v="46261.05"/>
  </r>
  <r>
    <s v="ORD_844"/>
    <x v="8"/>
    <s v="South"/>
    <s v="Tamil Nadu"/>
    <x v="6"/>
    <x v="2"/>
    <n v="13"/>
    <x v="3"/>
    <n v="51"/>
    <n v="3568.86"/>
    <n v="46395.18"/>
  </r>
  <r>
    <s v="ORD_845"/>
    <x v="71"/>
    <s v="West"/>
    <s v="Maharashtra"/>
    <x v="11"/>
    <x v="0"/>
    <n v="12"/>
    <x v="9"/>
    <n v="38"/>
    <n v="3895.88"/>
    <n v="46750.559999999998"/>
  </r>
  <r>
    <s v="ORD_846"/>
    <x v="44"/>
    <s v="North"/>
    <s v="Delhi"/>
    <x v="13"/>
    <x v="0"/>
    <n v="20"/>
    <x v="0"/>
    <n v="35"/>
    <n v="2344.7600000000002"/>
    <n v="46895.200000000004"/>
  </r>
  <r>
    <s v="ORD_847"/>
    <x v="51"/>
    <s v="West"/>
    <s v="Gujarat"/>
    <x v="9"/>
    <x v="2"/>
    <n v="10"/>
    <x v="7"/>
    <n v="39"/>
    <n v="4718.03"/>
    <n v="47180.299999999996"/>
  </r>
  <r>
    <s v="ORD_848"/>
    <x v="92"/>
    <s v="South"/>
    <s v="Tamil Nadu"/>
    <x v="8"/>
    <x v="0"/>
    <n v="12"/>
    <x v="2"/>
    <n v="16"/>
    <n v="3932.48"/>
    <n v="47189.760000000002"/>
  </r>
  <r>
    <s v="ORD_849"/>
    <x v="257"/>
    <s v="West"/>
    <s v="Maharashtra"/>
    <x v="5"/>
    <x v="1"/>
    <n v="16"/>
    <x v="9"/>
    <n v="35"/>
    <n v="2954.32"/>
    <n v="47269.120000000003"/>
  </r>
  <r>
    <s v="ORD_850"/>
    <x v="279"/>
    <s v="West"/>
    <s v="Gujarat"/>
    <x v="9"/>
    <x v="1"/>
    <n v="19"/>
    <x v="2"/>
    <n v="28"/>
    <n v="2493.0300000000002"/>
    <n v="47367.570000000007"/>
  </r>
  <r>
    <s v="ORD_851"/>
    <x v="146"/>
    <s v="South"/>
    <s v="Karnataka"/>
    <x v="7"/>
    <x v="0"/>
    <n v="10"/>
    <x v="0"/>
    <n v="47"/>
    <n v="4761.1899999999996"/>
    <n v="47611.899999999994"/>
  </r>
  <r>
    <s v="ORD_852"/>
    <x v="289"/>
    <s v="South"/>
    <s v="Karnataka"/>
    <x v="2"/>
    <x v="4"/>
    <n v="16"/>
    <x v="4"/>
    <n v="18"/>
    <n v="2976.17"/>
    <n v="47618.720000000001"/>
  </r>
  <r>
    <s v="ORD_853"/>
    <x v="224"/>
    <s v="South"/>
    <s v="Karnataka"/>
    <x v="12"/>
    <x v="0"/>
    <n v="19"/>
    <x v="10"/>
    <n v="23"/>
    <n v="2513.27"/>
    <n v="47752.13"/>
  </r>
  <r>
    <s v="ORD_854"/>
    <x v="102"/>
    <s v="North"/>
    <s v="Delhi"/>
    <x v="10"/>
    <x v="1"/>
    <n v="12"/>
    <x v="3"/>
    <n v="36"/>
    <n v="3981.34"/>
    <n v="47776.08"/>
  </r>
  <r>
    <s v="ORD_855"/>
    <x v="91"/>
    <s v="North"/>
    <s v="Delhi"/>
    <x v="10"/>
    <x v="0"/>
    <n v="16"/>
    <x v="3"/>
    <n v="32"/>
    <n v="2991.84"/>
    <n v="47869.440000000002"/>
  </r>
  <r>
    <s v="ORD_856"/>
    <x v="245"/>
    <s v="North"/>
    <s v="Delhi"/>
    <x v="13"/>
    <x v="0"/>
    <n v="12"/>
    <x v="5"/>
    <n v="41"/>
    <n v="4003.52"/>
    <n v="48042.239999999998"/>
  </r>
  <r>
    <s v="ORD_857"/>
    <x v="295"/>
    <s v="West"/>
    <s v="Gujarat"/>
    <x v="1"/>
    <x v="4"/>
    <n v="14"/>
    <x v="0"/>
    <n v="20"/>
    <n v="3433.55"/>
    <n v="48069.700000000004"/>
  </r>
  <r>
    <s v="ORD_858"/>
    <x v="159"/>
    <s v="North"/>
    <s v="Delhi"/>
    <x v="13"/>
    <x v="4"/>
    <n v="19"/>
    <x v="5"/>
    <n v="27"/>
    <n v="2532.7800000000002"/>
    <n v="48122.820000000007"/>
  </r>
  <r>
    <s v="ORD_859"/>
    <x v="29"/>
    <s v="North"/>
    <s v="Delhi"/>
    <x v="13"/>
    <x v="4"/>
    <n v="12"/>
    <x v="9"/>
    <n v="25"/>
    <n v="4011.85"/>
    <n v="48142.2"/>
  </r>
  <r>
    <s v="ORD_860"/>
    <x v="302"/>
    <s v="North"/>
    <s v="Delhi"/>
    <x v="4"/>
    <x v="4"/>
    <n v="15"/>
    <x v="9"/>
    <n v="16"/>
    <n v="3218.59"/>
    <n v="48278.850000000006"/>
  </r>
  <r>
    <s v="ORD_861"/>
    <x v="307"/>
    <s v="West"/>
    <s v="Maharashtra"/>
    <x v="3"/>
    <x v="0"/>
    <n v="20"/>
    <x v="0"/>
    <n v="31"/>
    <n v="2415.86"/>
    <n v="48317.200000000004"/>
  </r>
  <r>
    <s v="ORD_862"/>
    <x v="178"/>
    <s v="North"/>
    <s v="Delhi"/>
    <x v="13"/>
    <x v="2"/>
    <n v="13"/>
    <x v="1"/>
    <n v="42"/>
    <n v="3724.27"/>
    <n v="48415.51"/>
  </r>
  <r>
    <s v="ORD_863"/>
    <x v="34"/>
    <s v="North"/>
    <s v="Delhi"/>
    <x v="10"/>
    <x v="4"/>
    <n v="15"/>
    <x v="6"/>
    <n v="49"/>
    <n v="3256.2"/>
    <n v="48843"/>
  </r>
  <r>
    <s v="ORD_864"/>
    <x v="314"/>
    <s v="South"/>
    <s v="Tamil Nadu"/>
    <x v="8"/>
    <x v="1"/>
    <n v="20"/>
    <x v="6"/>
    <n v="44"/>
    <n v="2446.31"/>
    <n v="48926.2"/>
  </r>
  <r>
    <s v="ORD_865"/>
    <x v="369"/>
    <s v="South"/>
    <s v="Karnataka"/>
    <x v="12"/>
    <x v="1"/>
    <n v="15"/>
    <x v="0"/>
    <n v="38"/>
    <n v="3270.81"/>
    <n v="49062.15"/>
  </r>
  <r>
    <s v="ORD_866"/>
    <x v="81"/>
    <s v="South"/>
    <s v="Karnataka"/>
    <x v="7"/>
    <x v="3"/>
    <n v="15"/>
    <x v="1"/>
    <n v="43"/>
    <n v="3285.68"/>
    <n v="49285.2"/>
  </r>
  <r>
    <s v="ORD_867"/>
    <x v="309"/>
    <s v="West"/>
    <s v="Gujarat"/>
    <x v="1"/>
    <x v="3"/>
    <n v="16"/>
    <x v="8"/>
    <n v="51"/>
    <n v="3082.84"/>
    <n v="49325.440000000002"/>
  </r>
  <r>
    <s v="ORD_868"/>
    <x v="308"/>
    <s v="South"/>
    <s v="Karnataka"/>
    <x v="7"/>
    <x v="2"/>
    <n v="17"/>
    <x v="10"/>
    <n v="39"/>
    <n v="2924.72"/>
    <n v="49720.24"/>
  </r>
  <r>
    <s v="ORD_869"/>
    <x v="90"/>
    <s v="South"/>
    <s v="Tamil Nadu"/>
    <x v="8"/>
    <x v="0"/>
    <n v="20"/>
    <x v="3"/>
    <n v="38"/>
    <n v="2487.65"/>
    <n v="49753"/>
  </r>
  <r>
    <s v="ORD_870"/>
    <x v="306"/>
    <s v="West"/>
    <s v="Gujarat"/>
    <x v="1"/>
    <x v="4"/>
    <n v="11"/>
    <x v="8"/>
    <n v="32"/>
    <n v="4530.5600000000004"/>
    <n v="49836.160000000003"/>
  </r>
  <r>
    <s v="ORD_871"/>
    <x v="315"/>
    <s v="West"/>
    <s v="Maharashtra"/>
    <x v="11"/>
    <x v="3"/>
    <n v="10"/>
    <x v="9"/>
    <n v="52"/>
    <n v="4995.74"/>
    <n v="49957.399999999994"/>
  </r>
  <r>
    <s v="ORD_872"/>
    <x v="370"/>
    <s v="West"/>
    <s v="Maharashtra"/>
    <x v="11"/>
    <x v="2"/>
    <n v="18"/>
    <x v="4"/>
    <n v="22"/>
    <n v="2777.65"/>
    <n v="49997.700000000004"/>
  </r>
  <r>
    <s v="ORD_873"/>
    <x v="371"/>
    <s v="South"/>
    <s v="Karnataka"/>
    <x v="12"/>
    <x v="1"/>
    <n v="18"/>
    <x v="1"/>
    <n v="27"/>
    <n v="2784.49"/>
    <n v="50120.819999999992"/>
  </r>
  <r>
    <s v="ORD_874"/>
    <x v="339"/>
    <s v="South"/>
    <s v="Tamil Nadu"/>
    <x v="0"/>
    <x v="0"/>
    <n v="16"/>
    <x v="3"/>
    <n v="41"/>
    <n v="3155.43"/>
    <n v="50486.879999999997"/>
  </r>
  <r>
    <s v="ORD_875"/>
    <x v="324"/>
    <s v="West"/>
    <s v="Maharashtra"/>
    <x v="11"/>
    <x v="1"/>
    <n v="11"/>
    <x v="3"/>
    <n v="35"/>
    <n v="4681.04"/>
    <n v="51491.44"/>
  </r>
  <r>
    <s v="ORD_876"/>
    <x v="8"/>
    <s v="North"/>
    <s v="Delhi"/>
    <x v="13"/>
    <x v="2"/>
    <n v="20"/>
    <x v="10"/>
    <n v="24"/>
    <n v="2580.02"/>
    <n v="51600.4"/>
  </r>
  <r>
    <s v="ORD_877"/>
    <x v="70"/>
    <s v="North"/>
    <s v="Delhi"/>
    <x v="13"/>
    <x v="3"/>
    <n v="18"/>
    <x v="5"/>
    <n v="54"/>
    <n v="2880.41"/>
    <n v="51847.38"/>
  </r>
  <r>
    <s v="ORD_878"/>
    <x v="63"/>
    <s v="West"/>
    <s v="Gujarat"/>
    <x v="1"/>
    <x v="0"/>
    <n v="19"/>
    <x v="4"/>
    <n v="32"/>
    <n v="2743.67"/>
    <n v="52129.73"/>
  </r>
  <r>
    <s v="ORD_879"/>
    <x v="181"/>
    <s v="South"/>
    <s v="Tamil Nadu"/>
    <x v="0"/>
    <x v="2"/>
    <n v="13"/>
    <x v="7"/>
    <n v="30"/>
    <n v="4021.84"/>
    <n v="52283.92"/>
  </r>
  <r>
    <s v="ORD_880"/>
    <x v="44"/>
    <s v="West"/>
    <s v="Gujarat"/>
    <x v="14"/>
    <x v="3"/>
    <n v="19"/>
    <x v="7"/>
    <n v="36"/>
    <n v="2753.24"/>
    <n v="52311.56"/>
  </r>
  <r>
    <s v="ORD_881"/>
    <x v="96"/>
    <s v="South"/>
    <s v="Karnataka"/>
    <x v="7"/>
    <x v="2"/>
    <n v="11"/>
    <x v="9"/>
    <n v="52"/>
    <n v="4758.46"/>
    <n v="52343.06"/>
  </r>
  <r>
    <s v="ORD_882"/>
    <x v="46"/>
    <s v="North"/>
    <s v="Delhi"/>
    <x v="10"/>
    <x v="0"/>
    <n v="12"/>
    <x v="7"/>
    <n v="26"/>
    <n v="4378.41"/>
    <n v="52540.92"/>
  </r>
  <r>
    <s v="ORD_883"/>
    <x v="249"/>
    <s v="West"/>
    <s v="Maharashtra"/>
    <x v="5"/>
    <x v="2"/>
    <n v="20"/>
    <x v="0"/>
    <n v="50"/>
    <n v="2631.58"/>
    <n v="52631.6"/>
  </r>
  <r>
    <s v="ORD_884"/>
    <x v="161"/>
    <s v="South"/>
    <s v="Tamil Nadu"/>
    <x v="8"/>
    <x v="0"/>
    <n v="12"/>
    <x v="3"/>
    <n v="27"/>
    <n v="4403.8500000000004"/>
    <n v="52846.200000000004"/>
  </r>
  <r>
    <s v="ORD_885"/>
    <x v="329"/>
    <s v="West"/>
    <s v="Gujarat"/>
    <x v="9"/>
    <x v="1"/>
    <n v="13"/>
    <x v="0"/>
    <n v="44"/>
    <n v="4076.94"/>
    <n v="53000.22"/>
  </r>
  <r>
    <s v="ORD_886"/>
    <x v="212"/>
    <s v="North"/>
    <s v="Delhi"/>
    <x v="4"/>
    <x v="1"/>
    <n v="13"/>
    <x v="10"/>
    <n v="42"/>
    <n v="4084.32"/>
    <n v="53096.160000000003"/>
  </r>
  <r>
    <s v="ORD_887"/>
    <x v="304"/>
    <s v="West"/>
    <s v="Gujarat"/>
    <x v="14"/>
    <x v="0"/>
    <n v="15"/>
    <x v="10"/>
    <n v="20"/>
    <n v="3555.88"/>
    <n v="53338.200000000004"/>
  </r>
  <r>
    <s v="ORD_888"/>
    <x v="260"/>
    <s v="South"/>
    <s v="Tamil Nadu"/>
    <x v="6"/>
    <x v="2"/>
    <n v="19"/>
    <x v="7"/>
    <n v="53"/>
    <n v="2814.94"/>
    <n v="53483.86"/>
  </r>
  <r>
    <s v="ORD_889"/>
    <x v="237"/>
    <s v="South"/>
    <s v="Karnataka"/>
    <x v="7"/>
    <x v="4"/>
    <n v="19"/>
    <x v="6"/>
    <n v="23"/>
    <n v="2848.96"/>
    <n v="54130.239999999998"/>
  </r>
  <r>
    <s v="ORD_890"/>
    <x v="358"/>
    <s v="South"/>
    <s v="Karnataka"/>
    <x v="7"/>
    <x v="2"/>
    <n v="15"/>
    <x v="8"/>
    <n v="36"/>
    <n v="3611.2"/>
    <n v="54168"/>
  </r>
  <r>
    <s v="ORD_891"/>
    <x v="103"/>
    <s v="South"/>
    <s v="Karnataka"/>
    <x v="12"/>
    <x v="2"/>
    <n v="19"/>
    <x v="7"/>
    <n v="47"/>
    <n v="2873.83"/>
    <n v="54602.77"/>
  </r>
  <r>
    <s v="ORD_892"/>
    <x v="372"/>
    <s v="South"/>
    <s v="Karnataka"/>
    <x v="12"/>
    <x v="2"/>
    <n v="19"/>
    <x v="4"/>
    <n v="47"/>
    <n v="2873.83"/>
    <n v="54602.77"/>
  </r>
  <r>
    <s v="ORD_893"/>
    <x v="49"/>
    <s v="West"/>
    <s v="Maharashtra"/>
    <x v="11"/>
    <x v="0"/>
    <n v="18"/>
    <x v="9"/>
    <n v="37"/>
    <n v="3040.28"/>
    <n v="54725.04"/>
  </r>
  <r>
    <s v="ORD_894"/>
    <x v="103"/>
    <s v="South"/>
    <s v="Karnataka"/>
    <x v="2"/>
    <x v="0"/>
    <n v="12"/>
    <x v="5"/>
    <n v="21"/>
    <n v="4572.79"/>
    <n v="54873.479999999996"/>
  </r>
  <r>
    <s v="ORD_895"/>
    <x v="10"/>
    <s v="South"/>
    <s v="Karnataka"/>
    <x v="2"/>
    <x v="0"/>
    <n v="13"/>
    <x v="0"/>
    <n v="31"/>
    <n v="4226.47"/>
    <n v="54944.11"/>
  </r>
  <r>
    <s v="ORD_896"/>
    <x v="373"/>
    <s v="South"/>
    <s v="Karnataka"/>
    <x v="2"/>
    <x v="0"/>
    <n v="13"/>
    <x v="0"/>
    <n v="31"/>
    <n v="4226.47"/>
    <n v="54944.11"/>
  </r>
  <r>
    <s v="ORD_897"/>
    <x v="261"/>
    <s v="South"/>
    <s v="Tamil Nadu"/>
    <x v="6"/>
    <x v="3"/>
    <n v="17"/>
    <x v="1"/>
    <n v="43"/>
    <n v="3233.82"/>
    <n v="54974.94"/>
  </r>
  <r>
    <s v="ORD_898"/>
    <x v="11"/>
    <s v="South"/>
    <s v="Karnataka"/>
    <x v="12"/>
    <x v="2"/>
    <n v="20"/>
    <x v="2"/>
    <n v="47"/>
    <n v="2750.28"/>
    <n v="55005.600000000006"/>
  </r>
  <r>
    <s v="ORD_899"/>
    <x v="223"/>
    <s v="West"/>
    <s v="Gujarat"/>
    <x v="9"/>
    <x v="2"/>
    <n v="14"/>
    <x v="1"/>
    <n v="35"/>
    <n v="3931.74"/>
    <n v="55044.36"/>
  </r>
  <r>
    <s v="ORD_900"/>
    <x v="282"/>
    <s v="South"/>
    <s v="Karnataka"/>
    <x v="7"/>
    <x v="1"/>
    <n v="19"/>
    <x v="10"/>
    <n v="48"/>
    <n v="2900.31"/>
    <n v="55105.89"/>
  </r>
  <r>
    <s v="ORD_901"/>
    <x v="85"/>
    <s v="South"/>
    <s v="Karnataka"/>
    <x v="2"/>
    <x v="3"/>
    <n v="18"/>
    <x v="5"/>
    <n v="39"/>
    <n v="3102.47"/>
    <n v="55844.46"/>
  </r>
  <r>
    <s v="ORD_902"/>
    <x v="85"/>
    <s v="South"/>
    <s v="Tamil Nadu"/>
    <x v="8"/>
    <x v="3"/>
    <n v="14"/>
    <x v="6"/>
    <n v="36"/>
    <n v="4009.33"/>
    <n v="56130.619999999995"/>
  </r>
  <r>
    <s v="ORD_903"/>
    <x v="53"/>
    <s v="South"/>
    <s v="Karnataka"/>
    <x v="12"/>
    <x v="2"/>
    <n v="13"/>
    <x v="5"/>
    <n v="42"/>
    <n v="4337.22"/>
    <n v="56383.86"/>
  </r>
  <r>
    <s v="ORD_904"/>
    <x v="153"/>
    <s v="North"/>
    <s v="Delhi"/>
    <x v="4"/>
    <x v="1"/>
    <n v="13"/>
    <x v="1"/>
    <n v="42"/>
    <n v="4339.46"/>
    <n v="56412.98"/>
  </r>
  <r>
    <s v="ORD_905"/>
    <x v="236"/>
    <s v="West"/>
    <s v="Maharashtra"/>
    <x v="3"/>
    <x v="1"/>
    <n v="12"/>
    <x v="9"/>
    <n v="19"/>
    <n v="4713.26"/>
    <n v="56559.12"/>
  </r>
  <r>
    <s v="ORD_906"/>
    <x v="166"/>
    <s v="West"/>
    <s v="Maharashtra"/>
    <x v="3"/>
    <x v="3"/>
    <n v="13"/>
    <x v="0"/>
    <n v="53"/>
    <n v="4357.0200000000004"/>
    <n v="56641.260000000009"/>
  </r>
  <r>
    <s v="ORD_907"/>
    <x v="115"/>
    <s v="South"/>
    <s v="Karnataka"/>
    <x v="12"/>
    <x v="2"/>
    <n v="17"/>
    <x v="8"/>
    <n v="25"/>
    <n v="3342.49"/>
    <n v="56822.329999999994"/>
  </r>
  <r>
    <s v="ORD_908"/>
    <x v="288"/>
    <s v="West"/>
    <s v="Maharashtra"/>
    <x v="11"/>
    <x v="3"/>
    <n v="12"/>
    <x v="6"/>
    <n v="54"/>
    <n v="4765.33"/>
    <n v="57183.96"/>
  </r>
  <r>
    <s v="ORD_909"/>
    <x v="269"/>
    <s v="South"/>
    <s v="Tamil Nadu"/>
    <x v="6"/>
    <x v="4"/>
    <n v="20"/>
    <x v="1"/>
    <n v="24"/>
    <n v="2860.11"/>
    <n v="57202.200000000004"/>
  </r>
  <r>
    <s v="ORD_910"/>
    <x v="123"/>
    <s v="South"/>
    <s v="Tamil Nadu"/>
    <x v="8"/>
    <x v="1"/>
    <n v="20"/>
    <x v="9"/>
    <n v="47"/>
    <n v="2860.96"/>
    <n v="57219.199999999997"/>
  </r>
  <r>
    <s v="ORD_911"/>
    <x v="336"/>
    <s v="West"/>
    <s v="Maharashtra"/>
    <x v="5"/>
    <x v="3"/>
    <n v="16"/>
    <x v="0"/>
    <n v="40"/>
    <n v="3580.79"/>
    <n v="57292.639999999999"/>
  </r>
  <r>
    <s v="ORD_912"/>
    <x v="363"/>
    <s v="South"/>
    <s v="Tamil Nadu"/>
    <x v="8"/>
    <x v="2"/>
    <n v="16"/>
    <x v="6"/>
    <n v="46"/>
    <n v="3586.87"/>
    <n v="57389.919999999998"/>
  </r>
  <r>
    <s v="ORD_913"/>
    <x v="14"/>
    <s v="West"/>
    <s v="Maharashtra"/>
    <x v="3"/>
    <x v="2"/>
    <n v="16"/>
    <x v="4"/>
    <n v="45"/>
    <n v="3599.32"/>
    <n v="57589.120000000003"/>
  </r>
  <r>
    <s v="ORD_914"/>
    <x v="374"/>
    <s v="South"/>
    <s v="Karnataka"/>
    <x v="12"/>
    <x v="4"/>
    <n v="19"/>
    <x v="5"/>
    <n v="53"/>
    <n v="3044.32"/>
    <n v="57842.080000000002"/>
  </r>
  <r>
    <s v="ORD_915"/>
    <x v="344"/>
    <s v="North"/>
    <s v="Delhi"/>
    <x v="4"/>
    <x v="1"/>
    <n v="16"/>
    <x v="5"/>
    <n v="29"/>
    <n v="3625.28"/>
    <n v="58004.480000000003"/>
  </r>
  <r>
    <s v="ORD_916"/>
    <x v="100"/>
    <s v="South"/>
    <s v="Tamil Nadu"/>
    <x v="8"/>
    <x v="4"/>
    <n v="19"/>
    <x v="7"/>
    <n v="16"/>
    <n v="3074.32"/>
    <n v="58412.08"/>
  </r>
  <r>
    <s v="ORD_917"/>
    <x v="375"/>
    <s v="South"/>
    <s v="Tamil Nadu"/>
    <x v="6"/>
    <x v="3"/>
    <n v="15"/>
    <x v="9"/>
    <n v="25"/>
    <n v="3897.39"/>
    <n v="58460.85"/>
  </r>
  <r>
    <s v="ORD_918"/>
    <x v="246"/>
    <s v="South"/>
    <s v="Tamil Nadu"/>
    <x v="0"/>
    <x v="3"/>
    <n v="15"/>
    <x v="2"/>
    <n v="21"/>
    <n v="3909.42"/>
    <n v="58641.3"/>
  </r>
  <r>
    <s v="ORD_919"/>
    <x v="212"/>
    <s v="South"/>
    <s v="Karnataka"/>
    <x v="12"/>
    <x v="3"/>
    <n v="14"/>
    <x v="5"/>
    <n v="18"/>
    <n v="4192.8599999999997"/>
    <n v="58700.039999999994"/>
  </r>
  <r>
    <s v="ORD_920"/>
    <x v="187"/>
    <s v="South"/>
    <s v="Karnataka"/>
    <x v="7"/>
    <x v="2"/>
    <n v="14"/>
    <x v="2"/>
    <n v="42"/>
    <n v="4200.9799999999996"/>
    <n v="58813.719999999994"/>
  </r>
  <r>
    <s v="ORD_921"/>
    <x v="86"/>
    <s v="North"/>
    <s v="Delhi"/>
    <x v="13"/>
    <x v="1"/>
    <n v="13"/>
    <x v="10"/>
    <n v="29"/>
    <n v="4542.74"/>
    <n v="59055.619999999995"/>
  </r>
  <r>
    <s v="ORD_922"/>
    <x v="125"/>
    <s v="South"/>
    <s v="Karnataka"/>
    <x v="2"/>
    <x v="0"/>
    <n v="15"/>
    <x v="9"/>
    <n v="48"/>
    <n v="3943.63"/>
    <n v="59154.450000000004"/>
  </r>
  <r>
    <s v="ORD_923"/>
    <x v="217"/>
    <s v="North"/>
    <s v="Delhi"/>
    <x v="4"/>
    <x v="3"/>
    <n v="18"/>
    <x v="2"/>
    <n v="27"/>
    <n v="3287.05"/>
    <n v="59166.9"/>
  </r>
  <r>
    <s v="ORD_924"/>
    <x v="117"/>
    <s v="West"/>
    <s v="Maharashtra"/>
    <x v="11"/>
    <x v="3"/>
    <n v="16"/>
    <x v="5"/>
    <n v="45"/>
    <n v="3702.43"/>
    <n v="59238.879999999997"/>
  </r>
  <r>
    <s v="ORD_925"/>
    <x v="22"/>
    <s v="West"/>
    <s v="Maharashtra"/>
    <x v="5"/>
    <x v="3"/>
    <n v="17"/>
    <x v="6"/>
    <n v="52"/>
    <n v="3490.72"/>
    <n v="59342.239999999998"/>
  </r>
  <r>
    <s v="ORD_926"/>
    <x v="31"/>
    <s v="South"/>
    <s v="Karnataka"/>
    <x v="2"/>
    <x v="4"/>
    <n v="12"/>
    <x v="0"/>
    <n v="53"/>
    <n v="4945.7700000000004"/>
    <n v="59349.240000000005"/>
  </r>
  <r>
    <s v="ORD_927"/>
    <x v="286"/>
    <s v="South"/>
    <s v="Karnataka"/>
    <x v="2"/>
    <x v="0"/>
    <n v="12"/>
    <x v="8"/>
    <n v="53"/>
    <n v="4964.87"/>
    <n v="59578.44"/>
  </r>
  <r>
    <s v="ORD_928"/>
    <x v="42"/>
    <s v="South"/>
    <s v="Karnataka"/>
    <x v="7"/>
    <x v="4"/>
    <n v="13"/>
    <x v="3"/>
    <n v="50"/>
    <n v="4650.74"/>
    <n v="60459.619999999995"/>
  </r>
  <r>
    <s v="ORD_929"/>
    <x v="271"/>
    <s v="North"/>
    <s v="Delhi"/>
    <x v="10"/>
    <x v="0"/>
    <n v="16"/>
    <x v="7"/>
    <n v="51"/>
    <n v="3788.36"/>
    <n v="60613.760000000002"/>
  </r>
  <r>
    <s v="ORD_930"/>
    <x v="217"/>
    <s v="North"/>
    <s v="Delhi"/>
    <x v="10"/>
    <x v="0"/>
    <n v="16"/>
    <x v="9"/>
    <n v="37"/>
    <n v="3836.1"/>
    <n v="61377.599999999999"/>
  </r>
  <r>
    <s v="ORD_931"/>
    <x v="332"/>
    <s v="North"/>
    <s v="Delhi"/>
    <x v="4"/>
    <x v="3"/>
    <n v="20"/>
    <x v="7"/>
    <n v="40"/>
    <n v="3069.92"/>
    <n v="61398.400000000001"/>
  </r>
  <r>
    <s v="ORD_932"/>
    <x v="66"/>
    <s v="West"/>
    <s v="Maharashtra"/>
    <x v="5"/>
    <x v="1"/>
    <n v="14"/>
    <x v="0"/>
    <n v="34"/>
    <n v="4428"/>
    <n v="61992"/>
  </r>
  <r>
    <s v="ORD_933"/>
    <x v="179"/>
    <s v="South"/>
    <s v="Karnataka"/>
    <x v="7"/>
    <x v="0"/>
    <n v="16"/>
    <x v="9"/>
    <n v="30"/>
    <n v="3895.18"/>
    <n v="62322.879999999997"/>
  </r>
  <r>
    <s v="ORD_934"/>
    <x v="326"/>
    <s v="South"/>
    <s v="Karnataka"/>
    <x v="12"/>
    <x v="1"/>
    <n v="16"/>
    <x v="6"/>
    <n v="54"/>
    <n v="3897.57"/>
    <n v="62361.120000000003"/>
  </r>
  <r>
    <s v="ORD_935"/>
    <x v="13"/>
    <s v="North"/>
    <s v="Delhi"/>
    <x v="4"/>
    <x v="0"/>
    <n v="14"/>
    <x v="5"/>
    <n v="23"/>
    <n v="4457.21"/>
    <n v="62400.94"/>
  </r>
  <r>
    <s v="ORD_936"/>
    <x v="376"/>
    <s v="North"/>
    <s v="Delhi"/>
    <x v="4"/>
    <x v="0"/>
    <n v="14"/>
    <x v="4"/>
    <n v="23"/>
    <n v="4457.21"/>
    <n v="62400.94"/>
  </r>
  <r>
    <s v="ORD_937"/>
    <x v="245"/>
    <s v="North"/>
    <s v="Delhi"/>
    <x v="4"/>
    <x v="2"/>
    <n v="17"/>
    <x v="10"/>
    <n v="36"/>
    <n v="3679.89"/>
    <n v="62558.13"/>
  </r>
  <r>
    <s v="ORD_938"/>
    <x v="377"/>
    <s v="South"/>
    <s v="Karnataka"/>
    <x v="7"/>
    <x v="0"/>
    <n v="16"/>
    <x v="1"/>
    <n v="30"/>
    <n v="3931.95"/>
    <n v="62911.199999999997"/>
  </r>
  <r>
    <s v="ORD_939"/>
    <x v="261"/>
    <s v="West"/>
    <s v="Maharashtra"/>
    <x v="5"/>
    <x v="3"/>
    <n v="13"/>
    <x v="10"/>
    <n v="53"/>
    <n v="4850.17"/>
    <n v="63052.21"/>
  </r>
  <r>
    <s v="ORD_940"/>
    <x v="378"/>
    <s v="West"/>
    <s v="Gujarat"/>
    <x v="9"/>
    <x v="0"/>
    <n v="19"/>
    <x v="0"/>
    <n v="25"/>
    <n v="3326.91"/>
    <n v="63211.289999999994"/>
  </r>
  <r>
    <s v="ORD_941"/>
    <x v="92"/>
    <s v="South"/>
    <s v="Tamil Nadu"/>
    <x v="8"/>
    <x v="1"/>
    <n v="19"/>
    <x v="8"/>
    <n v="17"/>
    <n v="3336.46"/>
    <n v="63392.74"/>
  </r>
  <r>
    <s v="ORD_942"/>
    <x v="305"/>
    <s v="West"/>
    <s v="Gujarat"/>
    <x v="9"/>
    <x v="4"/>
    <n v="18"/>
    <x v="8"/>
    <n v="44"/>
    <n v="3524.11"/>
    <n v="63433.98"/>
  </r>
  <r>
    <s v="ORD_943"/>
    <x v="246"/>
    <s v="South"/>
    <s v="Karnataka"/>
    <x v="7"/>
    <x v="3"/>
    <n v="16"/>
    <x v="2"/>
    <n v="24"/>
    <n v="3981.76"/>
    <n v="63708.160000000003"/>
  </r>
  <r>
    <s v="ORD_944"/>
    <x v="69"/>
    <s v="West"/>
    <s v="Maharashtra"/>
    <x v="3"/>
    <x v="4"/>
    <n v="16"/>
    <x v="5"/>
    <n v="34"/>
    <n v="3988.32"/>
    <n v="63813.120000000003"/>
  </r>
  <r>
    <s v="ORD_945"/>
    <x v="104"/>
    <s v="South"/>
    <s v="Tamil Nadu"/>
    <x v="6"/>
    <x v="4"/>
    <n v="13"/>
    <x v="10"/>
    <n v="55"/>
    <n v="4911.57"/>
    <n v="63850.409999999996"/>
  </r>
  <r>
    <s v="ORD_946"/>
    <x v="254"/>
    <s v="South"/>
    <s v="Karnataka"/>
    <x v="7"/>
    <x v="0"/>
    <n v="15"/>
    <x v="9"/>
    <n v="51"/>
    <n v="4262.53"/>
    <n v="63937.95"/>
  </r>
  <r>
    <s v="ORD_947"/>
    <x v="219"/>
    <s v="South"/>
    <s v="Karnataka"/>
    <x v="12"/>
    <x v="0"/>
    <n v="15"/>
    <x v="1"/>
    <n v="27"/>
    <n v="4269.32"/>
    <n v="64039.799999999996"/>
  </r>
  <r>
    <s v="ORD_948"/>
    <x v="305"/>
    <s v="West"/>
    <s v="Gujarat"/>
    <x v="14"/>
    <x v="1"/>
    <n v="18"/>
    <x v="5"/>
    <n v="49"/>
    <n v="3561.06"/>
    <n v="64099.08"/>
  </r>
  <r>
    <s v="ORD_949"/>
    <x v="198"/>
    <s v="West"/>
    <s v="Maharashtra"/>
    <x v="3"/>
    <x v="1"/>
    <n v="19"/>
    <x v="9"/>
    <n v="22"/>
    <n v="3374.33"/>
    <n v="64112.27"/>
  </r>
  <r>
    <s v="ORD_950"/>
    <x v="261"/>
    <s v="South"/>
    <s v="Tamil Nadu"/>
    <x v="8"/>
    <x v="3"/>
    <n v="17"/>
    <x v="3"/>
    <n v="16"/>
    <n v="3771.79"/>
    <n v="64120.43"/>
  </r>
  <r>
    <s v="ORD_951"/>
    <x v="84"/>
    <s v="West"/>
    <s v="Gujarat"/>
    <x v="1"/>
    <x v="4"/>
    <n v="17"/>
    <x v="10"/>
    <n v="54"/>
    <n v="3791.82"/>
    <n v="64460.94"/>
  </r>
  <r>
    <s v="ORD_952"/>
    <x v="228"/>
    <s v="West"/>
    <s v="Maharashtra"/>
    <x v="11"/>
    <x v="3"/>
    <n v="13"/>
    <x v="4"/>
    <n v="41"/>
    <n v="4985.82"/>
    <n v="64815.659999999996"/>
  </r>
  <r>
    <s v="ORD_953"/>
    <x v="379"/>
    <s v="West"/>
    <s v="Maharashtra"/>
    <x v="11"/>
    <x v="3"/>
    <n v="13"/>
    <x v="4"/>
    <n v="41"/>
    <n v="4985.82"/>
    <n v="64815.659999999996"/>
  </r>
  <r>
    <s v="ORD_954"/>
    <x v="90"/>
    <s v="West"/>
    <s v="Gujarat"/>
    <x v="1"/>
    <x v="4"/>
    <n v="18"/>
    <x v="0"/>
    <n v="16"/>
    <n v="3602.65"/>
    <n v="64847.700000000004"/>
  </r>
  <r>
    <s v="ORD_955"/>
    <x v="217"/>
    <s v="North"/>
    <s v="Delhi"/>
    <x v="13"/>
    <x v="3"/>
    <n v="18"/>
    <x v="10"/>
    <n v="21"/>
    <n v="3614.6"/>
    <n v="65062.799999999996"/>
  </r>
  <r>
    <s v="ORD_956"/>
    <x v="232"/>
    <s v="West"/>
    <s v="Maharashtra"/>
    <x v="5"/>
    <x v="4"/>
    <n v="14"/>
    <x v="0"/>
    <n v="44"/>
    <n v="4649.53"/>
    <n v="65093.42"/>
  </r>
  <r>
    <s v="ORD_957"/>
    <x v="380"/>
    <s v="West"/>
    <s v="Maharashtra"/>
    <x v="5"/>
    <x v="4"/>
    <n v="14"/>
    <x v="0"/>
    <n v="44"/>
    <n v="4649.53"/>
    <n v="65093.42"/>
  </r>
  <r>
    <s v="ORD_958"/>
    <x v="311"/>
    <s v="South"/>
    <s v="Tamil Nadu"/>
    <x v="6"/>
    <x v="3"/>
    <n v="20"/>
    <x v="4"/>
    <n v="42"/>
    <n v="3280.87"/>
    <n v="65617.399999999994"/>
  </r>
  <r>
    <s v="ORD_959"/>
    <x v="381"/>
    <s v="North"/>
    <s v="Delhi"/>
    <x v="10"/>
    <x v="2"/>
    <n v="17"/>
    <x v="2"/>
    <n v="20"/>
    <n v="3878.66"/>
    <n v="65937.22"/>
  </r>
  <r>
    <s v="ORD_960"/>
    <x v="210"/>
    <s v="South"/>
    <s v="Karnataka"/>
    <x v="2"/>
    <x v="4"/>
    <n v="15"/>
    <x v="2"/>
    <n v="55"/>
    <n v="4402.43"/>
    <n v="66036.450000000012"/>
  </r>
  <r>
    <s v="ORD_961"/>
    <x v="382"/>
    <s v="South"/>
    <s v="Karnataka"/>
    <x v="2"/>
    <x v="4"/>
    <n v="15"/>
    <x v="4"/>
    <n v="55"/>
    <n v="4402.43"/>
    <n v="66036.450000000012"/>
  </r>
  <r>
    <s v="ORD_962"/>
    <x v="96"/>
    <s v="South"/>
    <s v="Tamil Nadu"/>
    <x v="6"/>
    <x v="4"/>
    <n v="15"/>
    <x v="2"/>
    <n v="19"/>
    <n v="4426.4399999999996"/>
    <n v="66396.599999999991"/>
  </r>
  <r>
    <s v="ORD_963"/>
    <x v="328"/>
    <s v="South"/>
    <s v="Tamil Nadu"/>
    <x v="8"/>
    <x v="2"/>
    <n v="20"/>
    <x v="1"/>
    <n v="44"/>
    <n v="3331.04"/>
    <n v="66620.800000000003"/>
  </r>
  <r>
    <s v="ORD_964"/>
    <x v="188"/>
    <s v="South"/>
    <s v="Tamil Nadu"/>
    <x v="6"/>
    <x v="1"/>
    <n v="17"/>
    <x v="7"/>
    <n v="32"/>
    <n v="3933.92"/>
    <n v="66876.639999999999"/>
  </r>
  <r>
    <s v="ORD_965"/>
    <x v="31"/>
    <s v="West"/>
    <s v="Gujarat"/>
    <x v="1"/>
    <x v="4"/>
    <n v="17"/>
    <x v="1"/>
    <n v="33"/>
    <n v="3971.7"/>
    <n v="67518.899999999994"/>
  </r>
  <r>
    <s v="ORD_966"/>
    <x v="326"/>
    <s v="West"/>
    <s v="Gujarat"/>
    <x v="9"/>
    <x v="4"/>
    <n v="14"/>
    <x v="1"/>
    <n v="46"/>
    <n v="4839.1099999999997"/>
    <n v="67747.539999999994"/>
  </r>
  <r>
    <s v="ORD_967"/>
    <x v="54"/>
    <s v="South"/>
    <s v="Karnataka"/>
    <x v="12"/>
    <x v="3"/>
    <n v="15"/>
    <x v="0"/>
    <n v="20"/>
    <n v="4545.26"/>
    <n v="68178.900000000009"/>
  </r>
  <r>
    <s v="ORD_968"/>
    <x v="37"/>
    <s v="South"/>
    <s v="Karnataka"/>
    <x v="7"/>
    <x v="1"/>
    <n v="14"/>
    <x v="6"/>
    <n v="16"/>
    <n v="4894.84"/>
    <n v="68527.760000000009"/>
  </r>
  <r>
    <s v="ORD_969"/>
    <x v="263"/>
    <s v="North"/>
    <s v="Delhi"/>
    <x v="4"/>
    <x v="4"/>
    <n v="17"/>
    <x v="8"/>
    <n v="49"/>
    <n v="4033.84"/>
    <n v="68575.28"/>
  </r>
  <r>
    <s v="ORD_970"/>
    <x v="203"/>
    <s v="South"/>
    <s v="Tamil Nadu"/>
    <x v="8"/>
    <x v="2"/>
    <n v="15"/>
    <x v="8"/>
    <n v="30"/>
    <n v="4579.29"/>
    <n v="68689.350000000006"/>
  </r>
  <r>
    <s v="ORD_971"/>
    <x v="5"/>
    <s v="North"/>
    <s v="Delhi"/>
    <x v="10"/>
    <x v="1"/>
    <n v="20"/>
    <x v="9"/>
    <n v="19"/>
    <n v="3438.25"/>
    <n v="68765"/>
  </r>
  <r>
    <s v="ORD_972"/>
    <x v="383"/>
    <s v="South"/>
    <s v="Tamil Nadu"/>
    <x v="8"/>
    <x v="3"/>
    <n v="14"/>
    <x v="10"/>
    <n v="38"/>
    <n v="4935.34"/>
    <n v="69094.760000000009"/>
  </r>
  <r>
    <s v="ORD_973"/>
    <x v="2"/>
    <s v="West"/>
    <s v="Gujarat"/>
    <x v="14"/>
    <x v="2"/>
    <n v="19"/>
    <x v="9"/>
    <n v="18"/>
    <n v="3649.75"/>
    <n v="69345.25"/>
  </r>
  <r>
    <s v="ORD_974"/>
    <x v="229"/>
    <s v="West"/>
    <s v="Maharashtra"/>
    <x v="3"/>
    <x v="2"/>
    <n v="17"/>
    <x v="9"/>
    <n v="46"/>
    <n v="4082.38"/>
    <n v="69400.460000000006"/>
  </r>
  <r>
    <s v="ORD_975"/>
    <x v="22"/>
    <s v="West"/>
    <s v="Gujarat"/>
    <x v="14"/>
    <x v="4"/>
    <n v="20"/>
    <x v="8"/>
    <n v="30"/>
    <n v="3470.23"/>
    <n v="69404.600000000006"/>
  </r>
  <r>
    <s v="ORD_976"/>
    <x v="178"/>
    <s v="West"/>
    <s v="Maharashtra"/>
    <x v="3"/>
    <x v="4"/>
    <n v="20"/>
    <x v="8"/>
    <n v="25"/>
    <n v="3474.05"/>
    <n v="69481"/>
  </r>
  <r>
    <s v="ORD_977"/>
    <x v="4"/>
    <s v="South"/>
    <s v="Karnataka"/>
    <x v="7"/>
    <x v="2"/>
    <n v="17"/>
    <x v="0"/>
    <n v="44"/>
    <n v="4088.77"/>
    <n v="69509.09"/>
  </r>
  <r>
    <s v="ORD_978"/>
    <x v="69"/>
    <s v="South"/>
    <s v="Karnataka"/>
    <x v="7"/>
    <x v="0"/>
    <n v="16"/>
    <x v="9"/>
    <n v="40"/>
    <n v="4354.03"/>
    <n v="69664.479999999996"/>
  </r>
  <r>
    <s v="ORD_979"/>
    <x v="144"/>
    <s v="West"/>
    <s v="Maharashtra"/>
    <x v="5"/>
    <x v="1"/>
    <n v="17"/>
    <x v="7"/>
    <n v="42"/>
    <n v="4100.2700000000004"/>
    <n v="69704.590000000011"/>
  </r>
  <r>
    <s v="ORD_980"/>
    <x v="146"/>
    <s v="North"/>
    <s v="Delhi"/>
    <x v="4"/>
    <x v="4"/>
    <n v="16"/>
    <x v="9"/>
    <n v="37"/>
    <n v="4364.8999999999996"/>
    <n v="69838.399999999994"/>
  </r>
  <r>
    <s v="ORD_981"/>
    <x v="114"/>
    <s v="West"/>
    <s v="Maharashtra"/>
    <x v="5"/>
    <x v="3"/>
    <n v="15"/>
    <x v="10"/>
    <n v="25"/>
    <n v="4657.82"/>
    <n v="69867.299999999988"/>
  </r>
  <r>
    <s v="ORD_982"/>
    <x v="89"/>
    <s v="South"/>
    <s v="Karnataka"/>
    <x v="7"/>
    <x v="0"/>
    <n v="15"/>
    <x v="10"/>
    <n v="52"/>
    <n v="4659.8"/>
    <n v="69897"/>
  </r>
  <r>
    <s v="ORD_983"/>
    <x v="242"/>
    <s v="West"/>
    <s v="Maharashtra"/>
    <x v="11"/>
    <x v="2"/>
    <n v="19"/>
    <x v="3"/>
    <n v="50"/>
    <n v="3683.04"/>
    <n v="69977.759999999995"/>
  </r>
  <r>
    <s v="ORD_984"/>
    <x v="333"/>
    <s v="North"/>
    <s v="Delhi"/>
    <x v="4"/>
    <x v="1"/>
    <n v="15"/>
    <x v="1"/>
    <n v="44"/>
    <n v="4667.42"/>
    <n v="70011.3"/>
  </r>
  <r>
    <s v="ORD_985"/>
    <x v="135"/>
    <s v="West"/>
    <s v="Gujarat"/>
    <x v="9"/>
    <x v="4"/>
    <n v="15"/>
    <x v="3"/>
    <n v="28"/>
    <n v="4678.57"/>
    <n v="70178.549999999988"/>
  </r>
  <r>
    <s v="ORD_986"/>
    <x v="249"/>
    <s v="North"/>
    <s v="Delhi"/>
    <x v="10"/>
    <x v="4"/>
    <n v="19"/>
    <x v="8"/>
    <n v="34"/>
    <n v="3694.62"/>
    <n v="70197.78"/>
  </r>
  <r>
    <s v="ORD_987"/>
    <x v="117"/>
    <s v="West"/>
    <s v="Gujarat"/>
    <x v="1"/>
    <x v="3"/>
    <n v="17"/>
    <x v="9"/>
    <n v="39"/>
    <n v="4136.3100000000004"/>
    <n v="70317.27"/>
  </r>
  <r>
    <s v="ORD_988"/>
    <x v="192"/>
    <s v="South"/>
    <s v="Karnataka"/>
    <x v="7"/>
    <x v="2"/>
    <n v="18"/>
    <x v="5"/>
    <n v="24"/>
    <n v="3913.42"/>
    <n v="70441.56"/>
  </r>
  <r>
    <s v="ORD_989"/>
    <x v="272"/>
    <s v="West"/>
    <s v="Maharashtra"/>
    <x v="5"/>
    <x v="1"/>
    <n v="19"/>
    <x v="1"/>
    <n v="23"/>
    <n v="3718.59"/>
    <n v="70653.210000000006"/>
  </r>
  <r>
    <s v="ORD_990"/>
    <x v="9"/>
    <s v="South"/>
    <s v="Tamil Nadu"/>
    <x v="6"/>
    <x v="3"/>
    <n v="15"/>
    <x v="9"/>
    <n v="21"/>
    <n v="4724.91"/>
    <n v="70873.649999999994"/>
  </r>
  <r>
    <s v="ORD_991"/>
    <x v="296"/>
    <s v="West"/>
    <s v="Gujarat"/>
    <x v="1"/>
    <x v="0"/>
    <n v="18"/>
    <x v="10"/>
    <n v="32"/>
    <n v="3943.82"/>
    <n v="70988.760000000009"/>
  </r>
  <r>
    <s v="ORD_992"/>
    <x v="277"/>
    <s v="West"/>
    <s v="Gujarat"/>
    <x v="14"/>
    <x v="1"/>
    <n v="18"/>
    <x v="0"/>
    <n v="46"/>
    <n v="3982.89"/>
    <n v="71692.02"/>
  </r>
  <r>
    <s v="ORD_993"/>
    <x v="59"/>
    <s v="West"/>
    <s v="Maharashtra"/>
    <x v="5"/>
    <x v="4"/>
    <n v="15"/>
    <x v="2"/>
    <n v="44"/>
    <n v="4785.6099999999997"/>
    <n v="71784.149999999994"/>
  </r>
  <r>
    <s v="ORD_994"/>
    <x v="349"/>
    <s v="West"/>
    <s v="Maharashtra"/>
    <x v="5"/>
    <x v="2"/>
    <n v="15"/>
    <x v="0"/>
    <n v="22"/>
    <n v="4822.26"/>
    <n v="72333.900000000009"/>
  </r>
  <r>
    <s v="ORD_995"/>
    <x v="337"/>
    <s v="West"/>
    <s v="Maharashtra"/>
    <x v="3"/>
    <x v="3"/>
    <n v="18"/>
    <x v="9"/>
    <n v="28"/>
    <n v="4022.66"/>
    <n v="72407.88"/>
  </r>
  <r>
    <s v="ORD_996"/>
    <x v="36"/>
    <s v="North"/>
    <s v="Delhi"/>
    <x v="4"/>
    <x v="0"/>
    <n v="18"/>
    <x v="7"/>
    <n v="40"/>
    <n v="4059.82"/>
    <n v="73076.760000000009"/>
  </r>
  <r>
    <s v="ORD_997"/>
    <x v="302"/>
    <s v="South"/>
    <s v="Tamil Nadu"/>
    <x v="6"/>
    <x v="0"/>
    <n v="20"/>
    <x v="5"/>
    <n v="38"/>
    <n v="3684.86"/>
    <n v="73697.2"/>
  </r>
  <r>
    <s v="ORD_998"/>
    <x v="384"/>
    <s v="West"/>
    <s v="Gujarat"/>
    <x v="9"/>
    <x v="4"/>
    <n v="16"/>
    <x v="10"/>
    <n v="25"/>
    <n v="4614.01"/>
    <n v="73824.160000000003"/>
  </r>
  <r>
    <s v="ORD_999"/>
    <x v="374"/>
    <s v="South"/>
    <s v="Tamil Nadu"/>
    <x v="0"/>
    <x v="3"/>
    <n v="18"/>
    <x v="10"/>
    <n v="54"/>
    <n v="4103.6099999999997"/>
    <n v="73864.98"/>
  </r>
  <r>
    <s v="ORD_1000"/>
    <x v="33"/>
    <s v="West"/>
    <s v="Gujarat"/>
    <x v="1"/>
    <x v="4"/>
    <n v="19"/>
    <x v="9"/>
    <n v="23"/>
    <n v="3907.56"/>
    <n v="74243.64"/>
  </r>
  <r>
    <s v="ORD_1001"/>
    <x v="231"/>
    <s v="South"/>
    <s v="Karnataka"/>
    <x v="2"/>
    <x v="1"/>
    <n v="20"/>
    <x v="5"/>
    <n v="20"/>
    <n v="3728.46"/>
    <n v="74569.2"/>
  </r>
  <r>
    <s v="ORD_1002"/>
    <x v="12"/>
    <s v="West"/>
    <s v="Maharashtra"/>
    <x v="11"/>
    <x v="3"/>
    <n v="19"/>
    <x v="9"/>
    <n v="49"/>
    <n v="3927.27"/>
    <n v="74618.13"/>
  </r>
  <r>
    <s v="ORD_1003"/>
    <x v="288"/>
    <s v="South"/>
    <s v="Tamil Nadu"/>
    <x v="8"/>
    <x v="2"/>
    <n v="20"/>
    <x v="9"/>
    <n v="19"/>
    <n v="3751.01"/>
    <n v="75020.200000000012"/>
  </r>
  <r>
    <s v="ORD_1004"/>
    <x v="344"/>
    <s v="South"/>
    <s v="Tamil Nadu"/>
    <x v="6"/>
    <x v="2"/>
    <n v="18"/>
    <x v="3"/>
    <n v="32"/>
    <n v="4168.59"/>
    <n v="75034.62"/>
  </r>
  <r>
    <s v="ORD_1005"/>
    <x v="385"/>
    <s v="North"/>
    <s v="Delhi"/>
    <x v="10"/>
    <x v="4"/>
    <n v="20"/>
    <x v="9"/>
    <n v="38"/>
    <n v="3753.15"/>
    <n v="75063"/>
  </r>
  <r>
    <s v="ORD_1006"/>
    <x v="194"/>
    <s v="West"/>
    <s v="Gujarat"/>
    <x v="1"/>
    <x v="3"/>
    <n v="17"/>
    <x v="9"/>
    <n v="43"/>
    <n v="4427.79"/>
    <n v="75272.429999999993"/>
  </r>
  <r>
    <s v="ORD_1007"/>
    <x v="31"/>
    <s v="South"/>
    <s v="Karnataka"/>
    <x v="2"/>
    <x v="1"/>
    <n v="16"/>
    <x v="3"/>
    <n v="49"/>
    <n v="4720.2299999999996"/>
    <n v="75523.679999999993"/>
  </r>
  <r>
    <s v="ORD_1008"/>
    <x v="203"/>
    <s v="West"/>
    <s v="Maharashtra"/>
    <x v="3"/>
    <x v="2"/>
    <n v="16"/>
    <x v="4"/>
    <n v="28"/>
    <n v="4780.7700000000004"/>
    <n v="76492.320000000007"/>
  </r>
  <r>
    <s v="ORD_1009"/>
    <x v="37"/>
    <s v="North"/>
    <s v="Delhi"/>
    <x v="4"/>
    <x v="4"/>
    <n v="17"/>
    <x v="3"/>
    <n v="18"/>
    <n v="4502.3900000000003"/>
    <n v="76540.63"/>
  </r>
  <r>
    <s v="ORD_1010"/>
    <x v="48"/>
    <s v="South"/>
    <s v="Tamil Nadu"/>
    <x v="0"/>
    <x v="2"/>
    <n v="17"/>
    <x v="8"/>
    <n v="44"/>
    <n v="4515.21"/>
    <n v="76758.570000000007"/>
  </r>
  <r>
    <s v="ORD_1011"/>
    <x v="50"/>
    <s v="South"/>
    <s v="Karnataka"/>
    <x v="2"/>
    <x v="2"/>
    <n v="17"/>
    <x v="9"/>
    <n v="39"/>
    <n v="4517.78"/>
    <n v="76802.259999999995"/>
  </r>
  <r>
    <s v="ORD_1012"/>
    <x v="76"/>
    <s v="West"/>
    <s v="Gujarat"/>
    <x v="1"/>
    <x v="0"/>
    <n v="16"/>
    <x v="2"/>
    <n v="34"/>
    <n v="4858.3100000000004"/>
    <n v="77732.960000000006"/>
  </r>
  <r>
    <s v="ORD_1013"/>
    <x v="193"/>
    <s v="North"/>
    <s v="Delhi"/>
    <x v="4"/>
    <x v="1"/>
    <n v="16"/>
    <x v="4"/>
    <n v="34"/>
    <n v="4860.07"/>
    <n v="77761.119999999995"/>
  </r>
  <r>
    <s v="ORD_1014"/>
    <x v="30"/>
    <s v="South"/>
    <s v="Tamil Nadu"/>
    <x v="8"/>
    <x v="0"/>
    <n v="20"/>
    <x v="10"/>
    <n v="26"/>
    <n v="3891.28"/>
    <n v="77825.600000000006"/>
  </r>
  <r>
    <s v="ORD_1015"/>
    <x v="332"/>
    <s v="South"/>
    <s v="Tamil Nadu"/>
    <x v="8"/>
    <x v="3"/>
    <n v="19"/>
    <x v="10"/>
    <n v="21"/>
    <n v="4134.01"/>
    <n v="78546.19"/>
  </r>
  <r>
    <s v="ORD_1016"/>
    <x v="298"/>
    <s v="West"/>
    <s v="Maharashtra"/>
    <x v="5"/>
    <x v="2"/>
    <n v="19"/>
    <x v="5"/>
    <n v="39"/>
    <n v="4137.4399999999996"/>
    <n v="78611.359999999986"/>
  </r>
  <r>
    <s v="ORD_1017"/>
    <x v="58"/>
    <s v="South"/>
    <s v="Karnataka"/>
    <x v="12"/>
    <x v="2"/>
    <n v="20"/>
    <x v="7"/>
    <n v="26"/>
    <n v="3937.67"/>
    <n v="78753.399999999994"/>
  </r>
  <r>
    <s v="ORD_1018"/>
    <x v="216"/>
    <s v="South"/>
    <s v="Tamil Nadu"/>
    <x v="0"/>
    <x v="2"/>
    <n v="18"/>
    <x v="1"/>
    <n v="31"/>
    <n v="4403.6899999999996"/>
    <n v="79266.42"/>
  </r>
  <r>
    <s v="ORD_1019"/>
    <x v="112"/>
    <s v="South"/>
    <s v="Tamil Nadu"/>
    <x v="8"/>
    <x v="2"/>
    <n v="18"/>
    <x v="10"/>
    <n v="55"/>
    <n v="4422.21"/>
    <n v="79599.78"/>
  </r>
  <r>
    <s v="ORD_1020"/>
    <x v="143"/>
    <s v="South"/>
    <s v="Karnataka"/>
    <x v="12"/>
    <x v="1"/>
    <n v="16"/>
    <x v="2"/>
    <n v="21"/>
    <n v="4999.8999999999996"/>
    <n v="79998.399999999994"/>
  </r>
  <r>
    <s v="ORD_1021"/>
    <x v="48"/>
    <s v="South"/>
    <s v="Karnataka"/>
    <x v="2"/>
    <x v="1"/>
    <n v="18"/>
    <x v="0"/>
    <n v="18"/>
    <n v="4450.2299999999996"/>
    <n v="80104.139999999985"/>
  </r>
  <r>
    <s v="ORD_1022"/>
    <x v="386"/>
    <s v="West"/>
    <s v="Maharashtra"/>
    <x v="11"/>
    <x v="3"/>
    <n v="19"/>
    <x v="6"/>
    <n v="34"/>
    <n v="4229.42"/>
    <n v="80358.98"/>
  </r>
  <r>
    <s v="ORD_1023"/>
    <x v="17"/>
    <s v="North"/>
    <s v="Delhi"/>
    <x v="4"/>
    <x v="4"/>
    <n v="20"/>
    <x v="9"/>
    <n v="43"/>
    <n v="4035.61"/>
    <n v="80712.2"/>
  </r>
  <r>
    <s v="ORD_1024"/>
    <x v="342"/>
    <s v="West"/>
    <s v="Gujarat"/>
    <x v="14"/>
    <x v="4"/>
    <n v="20"/>
    <x v="3"/>
    <n v="45"/>
    <n v="4066.74"/>
    <n v="81334.799999999988"/>
  </r>
  <r>
    <s v="ORD_1025"/>
    <x v="156"/>
    <s v="South"/>
    <s v="Karnataka"/>
    <x v="2"/>
    <x v="0"/>
    <n v="17"/>
    <x v="6"/>
    <n v="55"/>
    <n v="4825.24"/>
    <n v="82029.08"/>
  </r>
  <r>
    <s v="ORD_1026"/>
    <x v="243"/>
    <s v="West"/>
    <s v="Gujarat"/>
    <x v="1"/>
    <x v="4"/>
    <n v="19"/>
    <x v="7"/>
    <n v="28"/>
    <n v="4348.7299999999996"/>
    <n v="82625.87"/>
  </r>
  <r>
    <s v="ORD_1027"/>
    <x v="120"/>
    <s v="South"/>
    <s v="Tamil Nadu"/>
    <x v="6"/>
    <x v="4"/>
    <n v="17"/>
    <x v="6"/>
    <n v="16"/>
    <n v="4890.5"/>
    <n v="83138.5"/>
  </r>
  <r>
    <s v="ORD_1028"/>
    <x v="210"/>
    <s v="South"/>
    <s v="Karnataka"/>
    <x v="2"/>
    <x v="4"/>
    <n v="19"/>
    <x v="5"/>
    <n v="20"/>
    <n v="4411.57"/>
    <n v="83819.829999999987"/>
  </r>
  <r>
    <s v="ORD_1029"/>
    <x v="30"/>
    <s v="South"/>
    <s v="Karnataka"/>
    <x v="12"/>
    <x v="4"/>
    <n v="19"/>
    <x v="1"/>
    <n v="40"/>
    <n v="4421.6899999999996"/>
    <n v="84012.109999999986"/>
  </r>
  <r>
    <s v="ORD_1030"/>
    <x v="148"/>
    <s v="West"/>
    <s v="Gujarat"/>
    <x v="1"/>
    <x v="3"/>
    <n v="17"/>
    <x v="8"/>
    <n v="42"/>
    <n v="4953.04"/>
    <n v="84201.68"/>
  </r>
  <r>
    <s v="ORD_1031"/>
    <x v="342"/>
    <s v="West"/>
    <s v="Maharashtra"/>
    <x v="11"/>
    <x v="0"/>
    <n v="20"/>
    <x v="4"/>
    <n v="25"/>
    <n v="4226.93"/>
    <n v="84538.6"/>
  </r>
  <r>
    <s v="ORD_1032"/>
    <x v="146"/>
    <s v="West"/>
    <s v="Maharashtra"/>
    <x v="3"/>
    <x v="3"/>
    <n v="17"/>
    <x v="8"/>
    <n v="31"/>
    <n v="4982.8100000000004"/>
    <n v="84707.77"/>
  </r>
  <r>
    <s v="ORD_1033"/>
    <x v="370"/>
    <s v="West"/>
    <s v="Maharashtra"/>
    <x v="11"/>
    <x v="3"/>
    <n v="18"/>
    <x v="3"/>
    <n v="42"/>
    <n v="4721.4399999999996"/>
    <n v="84985.919999999998"/>
  </r>
  <r>
    <s v="ORD_1034"/>
    <x v="345"/>
    <s v="West"/>
    <s v="Maharashtra"/>
    <x v="5"/>
    <x v="4"/>
    <n v="20"/>
    <x v="8"/>
    <n v="45"/>
    <n v="4270.08"/>
    <n v="85401.600000000006"/>
  </r>
  <r>
    <s v="ORD_1035"/>
    <x v="26"/>
    <s v="North"/>
    <s v="Delhi"/>
    <x v="4"/>
    <x v="3"/>
    <n v="18"/>
    <x v="1"/>
    <n v="47"/>
    <n v="4861.3100000000004"/>
    <n v="87503.58"/>
  </r>
  <r>
    <s v="ORD_1036"/>
    <x v="335"/>
    <s v="West"/>
    <s v="Gujarat"/>
    <x v="1"/>
    <x v="3"/>
    <n v="18"/>
    <x v="6"/>
    <n v="18"/>
    <n v="4862.63"/>
    <n v="87527.34"/>
  </r>
  <r>
    <s v="ORD_1037"/>
    <x v="292"/>
    <s v="South"/>
    <s v="Tamil Nadu"/>
    <x v="0"/>
    <x v="2"/>
    <n v="20"/>
    <x v="2"/>
    <n v="26"/>
    <n v="4398.47"/>
    <n v="87969.400000000009"/>
  </r>
  <r>
    <s v="ORD_1038"/>
    <x v="79"/>
    <s v="South"/>
    <s v="Karnataka"/>
    <x v="2"/>
    <x v="3"/>
    <n v="18"/>
    <x v="10"/>
    <n v="29"/>
    <n v="4888.0200000000004"/>
    <n v="87984.360000000015"/>
  </r>
  <r>
    <s v="ORD_1039"/>
    <x v="119"/>
    <s v="South"/>
    <s v="Tamil Nadu"/>
    <x v="0"/>
    <x v="1"/>
    <n v="19"/>
    <x v="7"/>
    <n v="37"/>
    <n v="4642.84"/>
    <n v="88213.96"/>
  </r>
  <r>
    <s v="ORD_1040"/>
    <x v="305"/>
    <s v="South"/>
    <s v="Tamil Nadu"/>
    <x v="6"/>
    <x v="4"/>
    <n v="19"/>
    <x v="9"/>
    <n v="43"/>
    <n v="4771.5"/>
    <n v="90658.5"/>
  </r>
  <r>
    <s v="ORD_1041"/>
    <x v="286"/>
    <s v="West"/>
    <s v="Maharashtra"/>
    <x v="5"/>
    <x v="0"/>
    <n v="20"/>
    <x v="9"/>
    <n v="27"/>
    <n v="4638.2"/>
    <n v="92764"/>
  </r>
  <r>
    <s v="ORD_1042"/>
    <x v="221"/>
    <s v="West"/>
    <s v="Gujarat"/>
    <x v="1"/>
    <x v="3"/>
    <n v="19"/>
    <x v="3"/>
    <n v="28"/>
    <n v="4920.4399999999996"/>
    <n v="93488.359999999986"/>
  </r>
  <r>
    <s v="ORD_1043"/>
    <x v="234"/>
    <s v="West"/>
    <s v="Maharashtra"/>
    <x v="3"/>
    <x v="1"/>
    <n v="19"/>
    <x v="9"/>
    <n v="52"/>
    <n v="4943.6899999999996"/>
    <n v="93930.109999999986"/>
  </r>
  <r>
    <s v="ORD_1044"/>
    <x v="174"/>
    <s v="South"/>
    <s v="Tamil Nadu"/>
    <x v="0"/>
    <x v="1"/>
    <n v="20"/>
    <x v="9"/>
    <n v="37"/>
    <n v="4710.8500000000004"/>
    <n v="94217"/>
  </r>
  <r>
    <s v="ORD_1045"/>
    <x v="69"/>
    <s v="West"/>
    <s v="Gujarat"/>
    <x v="14"/>
    <x v="2"/>
    <n v="20"/>
    <x v="1"/>
    <n v="21"/>
    <n v="4712.75"/>
    <n v="94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4F719-7712-49F7-8AA1-EEA3FB74F74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5:L10" firstHeaderRow="1" firstDataRow="2" firstDataCol="1"/>
  <pivotFields count="5">
    <pivotField compact="0" outline="0" showAll="0"/>
    <pivotField compact="0" outline="0" showAll="0"/>
    <pivotField axis="axisRow" compact="0" outline="0" showAll="0">
      <items count="4">
        <item x="1"/>
        <item x="0"/>
        <item f="1" x="2"/>
        <item t="default"/>
      </items>
    </pivotField>
    <pivotField axis="axisCol" compact="0" outline="0" showAll="0">
      <items count="5">
        <item x="0"/>
        <item x="1"/>
        <item x="2"/>
        <item x="3"/>
        <item t="default"/>
      </items>
    </pivotField>
    <pivotField dataField="1" compact="0" outline="0" showAll="0"/>
  </pivotFields>
  <rowFields count="1">
    <field x="2"/>
  </rowFields>
  <rowItems count="4">
    <i>
      <x/>
    </i>
    <i>
      <x v="1"/>
    </i>
    <i>
      <x v="2"/>
    </i>
    <i t="grand">
      <x/>
    </i>
  </rowItems>
  <colFields count="1">
    <field x="3"/>
  </colFields>
  <colItems count="5">
    <i>
      <x/>
    </i>
    <i>
      <x v="1"/>
    </i>
    <i>
      <x v="2"/>
    </i>
    <i>
      <x v="3"/>
    </i>
    <i t="grand">
      <x/>
    </i>
  </colItems>
  <dataFields count="1">
    <dataField name="Count of Amount" fld="4" subtotal="count" baseField="2" baseItem="0"/>
  </dataFields>
  <formats count="2">
    <format dxfId="4">
      <pivotArea outline="0" fieldPosition="0">
        <references count="1">
          <reference field="2" count="1" selected="0">
            <x v="2"/>
          </reference>
        </references>
      </pivotArea>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60304-CDDA-47CB-A2E7-F35B31119422}"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4:A47" firstHeaderRow="1" firstDataRow="1" firstDataCol="1"/>
  <pivotFields count="12">
    <pivotField compact="0" numFmtId="14" outline="0"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24"/>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18"/>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0"/>
        <item x="251"/>
        <item x="227"/>
        <item x="290"/>
        <item x="108"/>
        <item x="376"/>
        <item x="270"/>
        <item x="373"/>
        <item x="343"/>
        <item x="200"/>
        <item x="330"/>
        <item x="116"/>
        <item x="351"/>
        <item x="259"/>
        <item x="80"/>
        <item x="131"/>
        <item x="205"/>
        <item x="325"/>
        <item x="297"/>
        <item x="380"/>
        <item x="6"/>
        <item x="382"/>
        <item x="240"/>
        <item x="341"/>
        <item x="347"/>
        <item x="250"/>
        <item x="222"/>
        <item x="283"/>
        <item x="113"/>
        <item x="357"/>
        <item x="294"/>
        <item x="126"/>
        <item x="186"/>
        <item x="176"/>
        <item x="319"/>
        <item x="134"/>
        <item x="338"/>
        <item x="168"/>
        <item x="318"/>
        <item x="379"/>
        <item x="6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1"/>
        <item sd="0" x="2"/>
        <item sd="0" x="3"/>
        <item sd="0" x="4"/>
        <item x="0"/>
        <item x="5"/>
        <item t="default"/>
      </items>
      <extLst>
        <ext xmlns:x14="http://schemas.microsoft.com/office/spreadsheetml/2009/9/main" uri="{2946ED86-A175-432a-8AC1-64E0C546D7DE}">
          <x14:pivotField fillDownLabels="1"/>
        </ext>
      </extLst>
    </pivotField>
    <pivotField compact="0" outline="0" showAll="0">
      <items count="5">
        <item sd="0" x="1"/>
        <item sd="0" x="2"/>
        <item x="0"/>
        <item x="3"/>
        <item t="default"/>
      </items>
      <extLst>
        <ext xmlns:x14="http://schemas.microsoft.com/office/spreadsheetml/2009/9/main" uri="{2946ED86-A175-432a-8AC1-64E0C546D7DE}">
          <x14:pivotField fillDownLabels="1"/>
        </ext>
      </extLst>
    </pivotField>
  </pivotFields>
  <rowFields count="1">
    <field x="9"/>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F7F62-5050-4C83-BE21-7AA9EAD7DA53}"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12:C29" firstHeaderRow="1" firstDataRow="1" firstDataCol="0"/>
  <pivotFields count="12">
    <pivotField compact="0" numFmtId="14" outline="0"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24"/>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18"/>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0"/>
        <item x="251"/>
        <item x="227"/>
        <item x="290"/>
        <item x="108"/>
        <item x="376"/>
        <item x="270"/>
        <item x="373"/>
        <item x="343"/>
        <item x="200"/>
        <item x="330"/>
        <item x="116"/>
        <item x="351"/>
        <item x="259"/>
        <item x="80"/>
        <item x="131"/>
        <item x="205"/>
        <item x="325"/>
        <item x="297"/>
        <item x="380"/>
        <item x="6"/>
        <item x="382"/>
        <item x="240"/>
        <item x="341"/>
        <item x="347"/>
        <item x="250"/>
        <item x="222"/>
        <item x="283"/>
        <item x="113"/>
        <item x="357"/>
        <item x="294"/>
        <item x="126"/>
        <item x="186"/>
        <item x="176"/>
        <item x="319"/>
        <item x="134"/>
        <item x="338"/>
        <item x="168"/>
        <item x="318"/>
        <item x="379"/>
        <item x="6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1"/>
        <item sd="0" x="2"/>
        <item sd="0" x="3"/>
        <item sd="0" x="4"/>
        <item x="0"/>
        <item x="5"/>
        <item t="default"/>
      </items>
      <extLst>
        <ext xmlns:x14="http://schemas.microsoft.com/office/spreadsheetml/2009/9/main" uri="{2946ED86-A175-432a-8AC1-64E0C546D7DE}">
          <x14:pivotField fillDownLabels="1"/>
        </ext>
      </extLst>
    </pivotField>
    <pivotField compact="0" outline="0" showAll="0">
      <items count="5">
        <item sd="0" x="1"/>
        <item sd="0" x="2"/>
        <item x="0"/>
        <item x="3"/>
        <item t="default"/>
      </items>
      <extLst>
        <ext xmlns:x14="http://schemas.microsoft.com/office/spreadsheetml/2009/9/main" uri="{2946ED86-A175-432a-8AC1-64E0C546D7DE}">
          <x14:pivotField fillDownLabels="1"/>
        </ext>
      </extLst>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611C6E-1FF8-43F0-B753-7188C3D3ECD9}"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A7" firstHeaderRow="1" firstDataRow="1" firstDataCol="1"/>
  <pivotFields count="12">
    <pivotField compact="0" numFmtId="14" outline="0"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24"/>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18"/>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0"/>
        <item x="251"/>
        <item x="227"/>
        <item x="290"/>
        <item x="108"/>
        <item x="376"/>
        <item x="270"/>
        <item x="373"/>
        <item x="343"/>
        <item x="200"/>
        <item x="330"/>
        <item x="116"/>
        <item x="351"/>
        <item x="259"/>
        <item x="80"/>
        <item x="131"/>
        <item x="205"/>
        <item x="325"/>
        <item x="297"/>
        <item x="380"/>
        <item x="6"/>
        <item x="382"/>
        <item x="240"/>
        <item x="341"/>
        <item x="347"/>
        <item x="250"/>
        <item x="222"/>
        <item x="283"/>
        <item x="113"/>
        <item x="357"/>
        <item x="294"/>
        <item x="126"/>
        <item x="186"/>
        <item x="176"/>
        <item x="319"/>
        <item x="134"/>
        <item x="338"/>
        <item x="168"/>
        <item x="318"/>
        <item x="379"/>
        <item x="6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7">
        <item x="2"/>
        <item x="1"/>
        <item x="4"/>
        <item x="0"/>
        <item x="3"/>
        <item m="1"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1"/>
        <item sd="0" x="2"/>
        <item sd="0" x="3"/>
        <item sd="0" x="4"/>
        <item x="0"/>
        <item x="5"/>
        <item t="default"/>
      </items>
      <extLst>
        <ext xmlns:x14="http://schemas.microsoft.com/office/spreadsheetml/2009/9/main" uri="{2946ED86-A175-432a-8AC1-64E0C546D7DE}">
          <x14:pivotField fillDownLabels="1"/>
        </ext>
      </extLst>
    </pivotField>
    <pivotField compact="0" outline="0" showAll="0">
      <items count="5">
        <item sd="0" x="1"/>
        <item sd="0" x="2"/>
        <item x="0"/>
        <item x="3"/>
        <item t="default"/>
      </items>
      <extLst>
        <ext xmlns:x14="http://schemas.microsoft.com/office/spreadsheetml/2009/9/main" uri="{2946ED86-A175-432a-8AC1-64E0C546D7DE}">
          <x14:pivotField fillDownLabels="1"/>
        </ext>
      </extLst>
    </pivotField>
  </pivotFields>
  <rowFields count="1">
    <field x="4"/>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C6B3CA-B901-4D6C-9A5E-6D745FF89BA5}"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D24:E34" firstHeaderRow="1" firstDataRow="1" firstDataCol="1"/>
  <pivotFields count="12">
    <pivotField compact="0" numFmtId="14" outline="0"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251"/>
        <item x="227"/>
        <item x="290"/>
        <item x="108"/>
        <item x="376"/>
        <item x="270"/>
        <item x="373"/>
        <item x="343"/>
        <item x="200"/>
        <item x="330"/>
        <item x="116"/>
        <item x="351"/>
        <item x="259"/>
        <item x="80"/>
        <item x="131"/>
        <item x="205"/>
        <item x="325"/>
        <item x="297"/>
        <item x="380"/>
        <item x="382"/>
        <item x="240"/>
        <item x="341"/>
        <item x="347"/>
        <item x="250"/>
        <item x="222"/>
        <item x="283"/>
        <item x="113"/>
        <item x="357"/>
        <item x="294"/>
        <item x="126"/>
        <item x="186"/>
        <item x="176"/>
        <item x="319"/>
        <item x="134"/>
        <item x="338"/>
        <item x="168"/>
        <item x="318"/>
        <item x="379"/>
        <item x="61"/>
        <item x="0"/>
        <item x="6"/>
        <item x="18"/>
        <item x="24"/>
        <item t="default"/>
      </items>
    </pivotField>
    <pivotField compact="0" outline="0" showAll="0"/>
    <pivotField compact="0" outline="0" showAll="0"/>
    <pivotField compact="0" outline="0" showAll="0">
      <items count="16">
        <item x="1"/>
        <item h="1" x="7"/>
        <item h="1" x="0"/>
        <item h="1" x="8"/>
        <item h="1" x="10"/>
        <item h="1" x="2"/>
        <item h="1" x="13"/>
        <item h="1" x="6"/>
        <item h="1" x="5"/>
        <item h="1" x="12"/>
        <item h="1" x="3"/>
        <item h="1" x="4"/>
        <item h="1" x="11"/>
        <item h="1" x="14"/>
        <item h="1" x="9"/>
        <item t="default"/>
      </items>
    </pivotField>
    <pivotField compact="0" outline="0" showAll="0">
      <items count="7">
        <item h="1" x="2"/>
        <item x="1"/>
        <item h="1" x="4"/>
        <item h="1" x="0"/>
        <item h="1" x="3"/>
        <item h="1" m="1" x="5"/>
        <item t="default"/>
      </items>
    </pivotField>
    <pivotField dataField="1" compact="0" outline="0" showAll="0"/>
    <pivotField compact="0" outline="0" showAll="0"/>
    <pivotField compact="0" outline="0" showAll="0"/>
    <pivotField compact="0" outline="0" showAl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4">
        <item sd="0" x="1"/>
        <item sd="0" x="2"/>
        <item x="0"/>
        <item x="3"/>
      </items>
    </pivotField>
  </pivotFields>
  <rowFields count="1">
    <field x="9"/>
  </rowFields>
  <rowItems count="10">
    <i>
      <x v="1"/>
    </i>
    <i>
      <x v="2"/>
    </i>
    <i>
      <x v="3"/>
    </i>
    <i>
      <x v="5"/>
    </i>
    <i>
      <x v="6"/>
    </i>
    <i>
      <x v="8"/>
    </i>
    <i>
      <x v="10"/>
    </i>
    <i>
      <x v="11"/>
    </i>
    <i>
      <x v="12"/>
    </i>
    <i t="grand">
      <x/>
    </i>
  </rowItems>
  <colItems count="1">
    <i/>
  </colItems>
  <dataFields count="1">
    <dataField name="Sum of Quantity" fld="5" baseField="0" baseItem="0"/>
  </dataFields>
  <chartFormats count="1">
    <chartFormat chart="1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9B0E0B-539B-4D4E-AE94-360D8263DFB8}"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H10:I16" firstHeaderRow="1" firstDataRow="1" firstDataCol="1"/>
  <pivotFields count="12">
    <pivotField compact="0" numFmtId="14" outline="0"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251"/>
        <item x="227"/>
        <item x="290"/>
        <item x="108"/>
        <item x="376"/>
        <item x="270"/>
        <item x="373"/>
        <item x="343"/>
        <item x="200"/>
        <item x="330"/>
        <item x="116"/>
        <item x="351"/>
        <item x="259"/>
        <item x="80"/>
        <item x="131"/>
        <item x="205"/>
        <item x="325"/>
        <item x="297"/>
        <item x="380"/>
        <item x="382"/>
        <item x="240"/>
        <item x="341"/>
        <item x="347"/>
        <item x="250"/>
        <item x="222"/>
        <item x="283"/>
        <item x="113"/>
        <item x="357"/>
        <item x="294"/>
        <item x="126"/>
        <item x="186"/>
        <item x="176"/>
        <item x="319"/>
        <item x="134"/>
        <item x="338"/>
        <item x="168"/>
        <item x="318"/>
        <item x="379"/>
        <item x="61"/>
        <item x="0"/>
        <item x="6"/>
        <item x="18"/>
        <item x="24"/>
        <item t="default"/>
      </items>
    </pivotField>
    <pivotField compact="0" outline="0" showAll="0"/>
    <pivotField compact="0" outline="0" showAll="0"/>
    <pivotField compact="0" outline="0" showAll="0">
      <items count="16">
        <item x="1"/>
        <item h="1" x="7"/>
        <item h="1" x="0"/>
        <item h="1" x="8"/>
        <item h="1" x="10"/>
        <item h="1" x="2"/>
        <item h="1" x="13"/>
        <item h="1" x="6"/>
        <item h="1" x="5"/>
        <item h="1" x="12"/>
        <item h="1" x="3"/>
        <item h="1" x="4"/>
        <item h="1" x="11"/>
        <item h="1" x="14"/>
        <item h="1" x="9"/>
        <item t="default"/>
      </items>
    </pivotField>
    <pivotField axis="axisRow" compact="0" outline="0" showAll="0">
      <items count="7">
        <item x="2"/>
        <item x="1"/>
        <item x="4"/>
        <item x="0"/>
        <item x="3"/>
        <item m="1" x="5"/>
        <item t="default"/>
      </items>
    </pivotField>
    <pivotField dataField="1"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4">
        <item x="1"/>
        <item x="2"/>
        <item x="0"/>
        <item x="3"/>
      </items>
    </pivotField>
  </pivotFields>
  <rowFields count="1">
    <field x="4"/>
  </rowFields>
  <rowItems count="6">
    <i>
      <x/>
    </i>
    <i>
      <x v="1"/>
    </i>
    <i>
      <x v="2"/>
    </i>
    <i>
      <x v="3"/>
    </i>
    <i>
      <x v="4"/>
    </i>
    <i t="grand">
      <x/>
    </i>
  </rowItems>
  <colItems count="1">
    <i/>
  </colItems>
  <dataFields count="1">
    <dataField name="Sum of Quantity" fld="5" baseField="0" baseItem="0"/>
  </dataFields>
  <chartFormats count="6">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2" format="10">
      <pivotArea type="data" outline="0" fieldPosition="0">
        <references count="2">
          <reference field="4294967294" count="1" selected="0">
            <x v="0"/>
          </reference>
          <reference field="4" count="1" selected="0">
            <x v="1"/>
          </reference>
        </references>
      </pivotArea>
    </chartFormat>
    <chartFormat chart="12" format="11">
      <pivotArea type="data" outline="0" fieldPosition="0">
        <references count="2">
          <reference field="4294967294" count="1" selected="0">
            <x v="0"/>
          </reference>
          <reference field="4" count="1" selected="0">
            <x v="2"/>
          </reference>
        </references>
      </pivotArea>
    </chartFormat>
    <chartFormat chart="12" format="12">
      <pivotArea type="data" outline="0" fieldPosition="0">
        <references count="2">
          <reference field="4294967294" count="1" selected="0">
            <x v="0"/>
          </reference>
          <reference field="4" count="1" selected="0">
            <x v="3"/>
          </reference>
        </references>
      </pivotArea>
    </chartFormat>
    <chartFormat chart="12" format="13">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7124CB-4A9C-400D-BC9D-EBCE16721EB2}"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E2:F18" firstHeaderRow="1" firstDataRow="1" firstDataCol="1"/>
  <pivotFields count="12">
    <pivotField compact="0" numFmtId="14" outline="0"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251"/>
        <item x="227"/>
        <item x="290"/>
        <item x="108"/>
        <item x="376"/>
        <item x="270"/>
        <item x="373"/>
        <item x="343"/>
        <item x="200"/>
        <item x="330"/>
        <item x="116"/>
        <item x="351"/>
        <item x="259"/>
        <item x="80"/>
        <item x="131"/>
        <item x="205"/>
        <item x="325"/>
        <item x="297"/>
        <item x="380"/>
        <item x="382"/>
        <item x="240"/>
        <item x="341"/>
        <item x="347"/>
        <item x="250"/>
        <item x="222"/>
        <item x="283"/>
        <item x="113"/>
        <item x="357"/>
        <item x="294"/>
        <item x="126"/>
        <item x="186"/>
        <item x="176"/>
        <item x="319"/>
        <item x="134"/>
        <item x="338"/>
        <item x="168"/>
        <item x="318"/>
        <item x="379"/>
        <item x="61"/>
        <item x="0"/>
        <item x="6"/>
        <item x="18"/>
        <item x="24"/>
        <item t="default"/>
      </items>
    </pivotField>
    <pivotField compact="0" outline="0" showAll="0"/>
    <pivotField compact="0" outline="0" showAll="0"/>
    <pivotField axis="axisRow" compact="0" outline="0" showAll="0">
      <items count="16">
        <item x="1"/>
        <item x="7"/>
        <item x="0"/>
        <item x="8"/>
        <item x="10"/>
        <item x="2"/>
        <item x="13"/>
        <item x="6"/>
        <item x="5"/>
        <item x="12"/>
        <item x="3"/>
        <item x="4"/>
        <item x="11"/>
        <item x="14"/>
        <item x="9"/>
        <item t="default"/>
      </items>
    </pivotField>
    <pivotField compact="0" outline="0" showAll="0">
      <items count="7">
        <item h="1" x="2"/>
        <item x="1"/>
        <item h="1" x="4"/>
        <item h="1" x="0"/>
        <item h="1" x="3"/>
        <item h="1" m="1" x="5"/>
        <item t="default"/>
      </items>
    </pivotField>
    <pivotField dataField="1"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4">
        <item x="1"/>
        <item x="2"/>
        <item x="0"/>
        <item x="3"/>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Quantity" fld="5"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9B425-1844-44B9-9BFF-685A36DDBEFE}"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2:B13" firstHeaderRow="1" firstDataRow="1" firstDataCol="1"/>
  <pivotFields count="12">
    <pivotField compact="0" numFmtId="14" outline="0"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251"/>
        <item x="227"/>
        <item x="290"/>
        <item x="108"/>
        <item x="376"/>
        <item x="270"/>
        <item x="373"/>
        <item x="343"/>
        <item x="200"/>
        <item x="330"/>
        <item x="116"/>
        <item x="351"/>
        <item x="259"/>
        <item x="80"/>
        <item x="131"/>
        <item x="205"/>
        <item x="325"/>
        <item x="297"/>
        <item x="380"/>
        <item x="382"/>
        <item x="240"/>
        <item x="341"/>
        <item x="347"/>
        <item x="250"/>
        <item x="222"/>
        <item x="283"/>
        <item x="113"/>
        <item x="357"/>
        <item x="294"/>
        <item x="126"/>
        <item x="186"/>
        <item x="176"/>
        <item x="319"/>
        <item x="134"/>
        <item x="338"/>
        <item x="168"/>
        <item x="318"/>
        <item x="379"/>
        <item x="61"/>
        <item x="0"/>
        <item x="6"/>
        <item x="18"/>
        <item x="24"/>
        <item t="default"/>
      </items>
    </pivotField>
    <pivotField compact="0" outline="0" showAll="0"/>
    <pivotField compact="0" outline="0" showAll="0"/>
    <pivotField compact="0" outline="0" showAll="0">
      <items count="16">
        <item x="1"/>
        <item h="1" x="7"/>
        <item h="1" x="0"/>
        <item h="1" x="8"/>
        <item h="1" x="10"/>
        <item h="1" x="2"/>
        <item h="1" x="13"/>
        <item h="1" x="6"/>
        <item h="1" x="5"/>
        <item h="1" x="12"/>
        <item h="1" x="3"/>
        <item h="1" x="4"/>
        <item h="1" x="11"/>
        <item h="1" x="14"/>
        <item h="1" x="9"/>
        <item t="default"/>
      </items>
    </pivotField>
    <pivotField compact="0" outline="0" showAll="0">
      <items count="7">
        <item h="1" x="2"/>
        <item x="1"/>
        <item h="1" x="4"/>
        <item h="1" x="0"/>
        <item h="1" x="3"/>
        <item h="1" m="1" x="5"/>
        <item t="default"/>
      </items>
    </pivotField>
    <pivotField dataField="1" compact="0" outline="0" showAll="0"/>
    <pivotField axis="axisRow" compact="0" outline="0" showAll="0">
      <items count="28">
        <item m="1" x="22"/>
        <item m="1" x="23"/>
        <item x="5"/>
        <item m="1" x="25"/>
        <item x="2"/>
        <item m="1" x="26"/>
        <item x="8"/>
        <item x="7"/>
        <item x="10"/>
        <item x="3"/>
        <item x="4"/>
        <item x="6"/>
        <item x="9"/>
        <item m="1" x="24"/>
        <item m="1" x="21"/>
        <item x="1"/>
        <item m="1" x="11"/>
        <item m="1" x="12"/>
        <item m="1" x="13"/>
        <item m="1" x="14"/>
        <item m="1" x="15"/>
        <item m="1" x="16"/>
        <item m="1" x="17"/>
        <item m="1" x="18"/>
        <item m="1" x="19"/>
        <item m="1" x="20"/>
        <item x="0"/>
        <item t="default"/>
      </items>
    </pivotField>
    <pivotField compact="0" outline="0" showAll="0"/>
    <pivotField compact="0" outline="0" showAll="0"/>
    <pivotField compact="0" outline="0" showAll="0" defaultSubtotal="0"/>
    <pivotField compact="0" outline="0" showAll="0" defaultSubtotal="0"/>
    <pivotField compact="0" outline="0" showAll="0" defaultSubtotal="0">
      <items count="4">
        <item x="1"/>
        <item x="2"/>
        <item x="0"/>
        <item x="3"/>
      </items>
    </pivotField>
  </pivotFields>
  <rowFields count="1">
    <field x="6"/>
  </rowFields>
  <rowItems count="11">
    <i>
      <x v="2"/>
    </i>
    <i>
      <x v="4"/>
    </i>
    <i>
      <x v="6"/>
    </i>
    <i>
      <x v="7"/>
    </i>
    <i>
      <x v="8"/>
    </i>
    <i>
      <x v="9"/>
    </i>
    <i>
      <x v="10"/>
    </i>
    <i>
      <x v="12"/>
    </i>
    <i>
      <x v="15"/>
    </i>
    <i>
      <x v="26"/>
    </i>
    <i t="grand">
      <x/>
    </i>
  </rowItems>
  <colItems count="1">
    <i/>
  </colItems>
  <dataFields count="1">
    <dataField name="Sum of Quantity" fld="5" baseField="0" baseItem="0"/>
  </dataField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B06ACB-4C21-4D1F-8386-A3E0037AF5CB}"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B8" firstHeaderRow="1" firstDataRow="1" firstDataCol="1"/>
  <pivotFields count="13">
    <pivotField compact="0" outline="0" subtotalTop="0" showAll="0" insertBlankRow="1" defaultSubtotal="0">
      <items count="387">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24"/>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18"/>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0"/>
        <item x="251"/>
        <item x="227"/>
        <item x="290"/>
        <item x="108"/>
        <item x="376"/>
        <item x="270"/>
        <item x="373"/>
        <item x="343"/>
        <item x="200"/>
        <item x="330"/>
        <item x="116"/>
        <item x="351"/>
        <item x="259"/>
        <item x="80"/>
        <item x="131"/>
        <item x="205"/>
        <item x="325"/>
        <item x="297"/>
        <item x="380"/>
        <item x="6"/>
        <item x="382"/>
        <item x="240"/>
        <item x="341"/>
        <item x="347"/>
        <item x="250"/>
        <item x="222"/>
        <item x="283"/>
        <item x="113"/>
        <item x="357"/>
        <item x="294"/>
        <item x="126"/>
        <item x="186"/>
        <item x="176"/>
        <item x="319"/>
        <item x="134"/>
        <item x="338"/>
        <item x="168"/>
        <item x="318"/>
        <item x="379"/>
        <item x="61"/>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items count="15">
        <item x="1"/>
        <item x="7"/>
        <item x="0"/>
        <item x="8"/>
        <item x="10"/>
        <item x="2"/>
        <item x="13"/>
        <item x="6"/>
        <item x="5"/>
        <item x="12"/>
        <item x="3"/>
        <item x="4"/>
        <item x="11"/>
        <item x="14"/>
        <item x="9"/>
      </items>
      <extLst>
        <ext xmlns:x14="http://schemas.microsoft.com/office/spreadsheetml/2009/9/main" uri="{2946ED86-A175-432a-8AC1-64E0C546D7DE}">
          <x14:pivotField fillDownLabels="1"/>
        </ext>
      </extLst>
    </pivotField>
    <pivotField axis="axisRow" compact="0" outline="0" subtotalTop="0" showAll="0" insertBlankRow="1" defaultSubtotal="0">
      <items count="5">
        <item x="2"/>
        <item x="1"/>
        <item x="4"/>
        <item x="0"/>
        <item x="3"/>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items count="11">
        <item x="5"/>
        <item x="2"/>
        <item x="8"/>
        <item x="7"/>
        <item x="10"/>
        <item x="3"/>
        <item x="4"/>
        <item x="6"/>
        <item x="9"/>
        <item x="0"/>
        <item x="1"/>
      </items>
      <extLst>
        <ext xmlns:x14="http://schemas.microsoft.com/office/spreadsheetml/2009/9/main" uri="{2946ED86-A175-432a-8AC1-64E0C546D7DE}">
          <x14:pivotField fillDownLabels="1"/>
        </ext>
      </extLst>
    </pivotField>
    <pivotField compact="0" outline="0" subtotalTop="0" showAll="0" insertBlankRow="1" defaultSubtotal="0">
      <items count="40">
        <item x="30"/>
        <item x="33"/>
        <item x="9"/>
        <item x="27"/>
        <item x="6"/>
        <item x="0"/>
        <item x="29"/>
        <item x="1"/>
        <item x="24"/>
        <item x="15"/>
        <item x="7"/>
        <item x="20"/>
        <item x="14"/>
        <item x="39"/>
        <item x="26"/>
        <item x="10"/>
        <item x="22"/>
        <item x="35"/>
        <item x="2"/>
        <item x="36"/>
        <item x="5"/>
        <item x="34"/>
        <item x="37"/>
        <item x="12"/>
        <item x="13"/>
        <item x="4"/>
        <item x="17"/>
        <item x="28"/>
        <item x="32"/>
        <item x="23"/>
        <item x="25"/>
        <item x="38"/>
        <item x="8"/>
        <item x="11"/>
        <item x="19"/>
        <item x="3"/>
        <item x="31"/>
        <item x="16"/>
        <item x="21"/>
        <item x="18"/>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dataField="1"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ubtotalTop="0" showAll="0" insertBlankRow="1"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ubtotalTop="0" showAll="0" insertBlankRow="1" defaultSubtotal="0">
      <items count="4">
        <item sd="0" x="0"/>
        <item sd="0" x="1"/>
        <item sd="0" x="2"/>
        <item sd="0" x="3"/>
      </items>
      <extLst>
        <ext xmlns:x14="http://schemas.microsoft.com/office/spreadsheetml/2009/9/main" uri="{2946ED86-A175-432a-8AC1-64E0C546D7DE}">
          <x14:pivotField fillDownLabels="1"/>
        </ext>
      </extLst>
    </pivotField>
  </pivotFields>
  <rowFields count="1">
    <field x="4"/>
  </rowFields>
  <rowItems count="5">
    <i>
      <x/>
    </i>
    <i>
      <x v="1"/>
    </i>
    <i>
      <x v="2"/>
    </i>
    <i>
      <x v="3"/>
    </i>
    <i>
      <x v="4"/>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7184C2-9AF4-4C44-B8BF-5E0F909B287A}"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7:B32" firstHeaderRow="1" firstDataRow="1" firstDataCol="1"/>
  <pivotFields count="13">
    <pivotField compact="0" outline="0" subtotalTop="0" showAll="0" insertBlankRow="1" defaultSubtotal="0">
      <items count="387">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24"/>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18"/>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0"/>
        <item x="251"/>
        <item x="227"/>
        <item x="290"/>
        <item x="108"/>
        <item x="376"/>
        <item x="270"/>
        <item x="373"/>
        <item x="343"/>
        <item x="200"/>
        <item x="330"/>
        <item x="116"/>
        <item x="351"/>
        <item x="259"/>
        <item x="80"/>
        <item x="131"/>
        <item x="205"/>
        <item x="325"/>
        <item x="297"/>
        <item x="380"/>
        <item x="6"/>
        <item x="382"/>
        <item x="240"/>
        <item x="341"/>
        <item x="347"/>
        <item x="250"/>
        <item x="222"/>
        <item x="283"/>
        <item x="113"/>
        <item x="357"/>
        <item x="294"/>
        <item x="126"/>
        <item x="186"/>
        <item x="176"/>
        <item x="319"/>
        <item x="134"/>
        <item x="338"/>
        <item x="168"/>
        <item x="318"/>
        <item x="379"/>
        <item x="61"/>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axis="axisRow" compact="0" outline="0" subtotalTop="0" showAll="0" insertBlankRow="1" defaultSubtotal="0">
      <items count="15">
        <item x="1"/>
        <item x="7"/>
        <item x="0"/>
        <item x="8"/>
        <item x="10"/>
        <item x="2"/>
        <item x="13"/>
        <item x="6"/>
        <item x="5"/>
        <item x="12"/>
        <item x="3"/>
        <item x="4"/>
        <item x="11"/>
        <item x="14"/>
        <item x="9"/>
      </items>
      <extLst>
        <ext xmlns:x14="http://schemas.microsoft.com/office/spreadsheetml/2009/9/main" uri="{2946ED86-A175-432a-8AC1-64E0C546D7DE}">
          <x14:pivotField fillDownLabels="1"/>
        </ext>
      </extLst>
    </pivotField>
    <pivotField compact="0" outline="0" subtotalTop="0" showAll="0" insertBlankRow="1" defaultSubtotal="0">
      <items count="5">
        <item x="2"/>
        <item x="1"/>
        <item x="4"/>
        <item x="0"/>
        <item x="3"/>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items count="11">
        <item x="5"/>
        <item x="2"/>
        <item x="8"/>
        <item x="7"/>
        <item x="10"/>
        <item x="3"/>
        <item x="4"/>
        <item x="6"/>
        <item x="9"/>
        <item x="0"/>
        <item x="1"/>
      </items>
      <extLst>
        <ext xmlns:x14="http://schemas.microsoft.com/office/spreadsheetml/2009/9/main" uri="{2946ED86-A175-432a-8AC1-64E0C546D7DE}">
          <x14:pivotField fillDownLabels="1"/>
        </ext>
      </extLst>
    </pivotField>
    <pivotField compact="0" outline="0" subtotalTop="0" showAll="0" insertBlankRow="1" defaultSubtotal="0">
      <items count="40">
        <item x="30"/>
        <item x="33"/>
        <item x="9"/>
        <item x="27"/>
        <item x="6"/>
        <item x="0"/>
        <item x="29"/>
        <item x="1"/>
        <item x="24"/>
        <item x="15"/>
        <item x="7"/>
        <item x="20"/>
        <item x="14"/>
        <item x="39"/>
        <item x="26"/>
        <item x="10"/>
        <item x="22"/>
        <item x="35"/>
        <item x="2"/>
        <item x="36"/>
        <item x="5"/>
        <item x="34"/>
        <item x="37"/>
        <item x="12"/>
        <item x="13"/>
        <item x="4"/>
        <item x="17"/>
        <item x="28"/>
        <item x="32"/>
        <item x="23"/>
        <item x="25"/>
        <item x="38"/>
        <item x="8"/>
        <item x="11"/>
        <item x="19"/>
        <item x="3"/>
        <item x="31"/>
        <item x="16"/>
        <item x="21"/>
        <item x="18"/>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dataField="1"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ubtotalTop="0" showAll="0" insertBlankRow="1"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ubtotalTop="0" showAll="0" insertBlankRow="1" defaultSubtotal="0">
      <items count="4">
        <item sd="0" x="0"/>
        <item sd="0" x="1"/>
        <item sd="0" x="2"/>
        <item sd="0" x="3"/>
      </items>
      <extLst>
        <ext xmlns:x14="http://schemas.microsoft.com/office/spreadsheetml/2009/9/main" uri="{2946ED86-A175-432a-8AC1-64E0C546D7DE}">
          <x14:pivotField fillDownLabels="1"/>
        </ext>
      </extLst>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01A760-DB72-4D53-B268-EC1F871D9044}"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G26" firstHeaderRow="1" firstDataRow="2" firstDataCol="1"/>
  <pivotFields count="11">
    <pivotField showAll="0"/>
    <pivotField numFmtId="14" showAll="0">
      <items count="388">
        <item x="366"/>
        <item x="165"/>
        <item x="264"/>
        <item x="118"/>
        <item x="151"/>
        <item x="38"/>
        <item x="82"/>
        <item x="117"/>
        <item x="344"/>
        <item x="334"/>
        <item x="289"/>
        <item x="370"/>
        <item x="29"/>
        <item x="316"/>
        <item x="305"/>
        <item x="187"/>
        <item x="384"/>
        <item x="281"/>
        <item x="311"/>
        <item x="149"/>
        <item x="230"/>
        <item x="1"/>
        <item x="128"/>
        <item x="209"/>
        <item x="320"/>
        <item x="124"/>
        <item x="207"/>
        <item x="3"/>
        <item x="221"/>
        <item x="369"/>
        <item x="291"/>
        <item x="304"/>
        <item x="191"/>
        <item x="144"/>
        <item x="269"/>
        <item x="284"/>
        <item x="101"/>
        <item x="135"/>
        <item x="111"/>
        <item x="364"/>
        <item x="257"/>
        <item x="49"/>
        <item x="331"/>
        <item x="349"/>
        <item x="65"/>
        <item x="199"/>
        <item x="162"/>
        <item x="238"/>
        <item x="2"/>
        <item x="242"/>
        <item x="185"/>
        <item x="11"/>
        <item x="286"/>
        <item x="377"/>
        <item x="299"/>
        <item x="157"/>
        <item x="85"/>
        <item x="161"/>
        <item x="308"/>
        <item x="361"/>
        <item x="106"/>
        <item x="87"/>
        <item x="268"/>
        <item x="155"/>
        <item x="119"/>
        <item x="132"/>
        <item x="258"/>
        <item x="260"/>
        <item x="105"/>
        <item x="324"/>
        <item x="332"/>
        <item x="248"/>
        <item x="9"/>
        <item x="252"/>
        <item x="183"/>
        <item x="34"/>
        <item x="386"/>
        <item x="206"/>
        <item x="8"/>
        <item x="278"/>
        <item x="45"/>
        <item x="156"/>
        <item x="271"/>
        <item x="51"/>
        <item x="182"/>
        <item x="196"/>
        <item x="48"/>
        <item x="167"/>
        <item x="64"/>
        <item x="68"/>
        <item x="276"/>
        <item x="158"/>
        <item x="95"/>
        <item x="261"/>
        <item x="109"/>
        <item x="277"/>
        <item x="254"/>
        <item x="313"/>
        <item x="15"/>
        <item x="12"/>
        <item x="67"/>
        <item x="139"/>
        <item x="21"/>
        <item x="86"/>
        <item x="306"/>
        <item x="104"/>
        <item x="204"/>
        <item x="56"/>
        <item x="110"/>
        <item x="81"/>
        <item x="234"/>
        <item x="383"/>
        <item x="337"/>
        <item x="262"/>
        <item x="58"/>
        <item x="142"/>
        <item x="213"/>
        <item x="164"/>
        <item x="363"/>
        <item x="298"/>
        <item x="202"/>
        <item x="345"/>
        <item x="26"/>
        <item x="239"/>
        <item x="198"/>
        <item x="358"/>
        <item x="365"/>
        <item x="91"/>
        <item x="247"/>
        <item x="99"/>
        <item x="150"/>
        <item x="192"/>
        <item x="57"/>
        <item x="141"/>
        <item x="329"/>
        <item x="355"/>
        <item x="208"/>
        <item x="145"/>
        <item x="219"/>
        <item x="115"/>
        <item x="44"/>
        <item x="352"/>
        <item x="218"/>
        <item x="123"/>
        <item x="195"/>
        <item x="74"/>
        <item x="214"/>
        <item x="360"/>
        <item x="14"/>
        <item x="292"/>
        <item x="39"/>
        <item x="138"/>
        <item x="235"/>
        <item x="359"/>
        <item x="374"/>
        <item x="381"/>
        <item x="216"/>
        <item x="121"/>
        <item x="385"/>
        <item x="302"/>
        <item x="368"/>
        <item x="66"/>
        <item x="16"/>
        <item x="17"/>
        <item x="163"/>
        <item x="137"/>
        <item x="88"/>
        <item x="103"/>
        <item x="62"/>
        <item x="146"/>
        <item x="47"/>
        <item x="102"/>
        <item x="152"/>
        <item x="244"/>
        <item x="211"/>
        <item x="293"/>
        <item x="194"/>
        <item x="243"/>
        <item x="30"/>
        <item x="160"/>
        <item x="245"/>
        <item x="307"/>
        <item x="181"/>
        <item x="76"/>
        <item x="127"/>
        <item x="296"/>
        <item x="362"/>
        <item x="233"/>
        <item x="169"/>
        <item x="232"/>
        <item x="24"/>
        <item x="37"/>
        <item x="203"/>
        <item x="249"/>
        <item x="35"/>
        <item x="328"/>
        <item x="40"/>
        <item x="314"/>
        <item x="237"/>
        <item x="147"/>
        <item x="97"/>
        <item x="301"/>
        <item x="253"/>
        <item x="231"/>
        <item x="148"/>
        <item x="217"/>
        <item x="267"/>
        <item x="171"/>
        <item x="201"/>
        <item x="375"/>
        <item x="125"/>
        <item x="94"/>
        <item x="323"/>
        <item x="140"/>
        <item x="350"/>
        <item x="310"/>
        <item x="335"/>
        <item x="50"/>
        <item x="23"/>
        <item x="177"/>
        <item x="5"/>
        <item x="317"/>
        <item x="92"/>
        <item x="25"/>
        <item x="336"/>
        <item x="184"/>
        <item x="273"/>
        <item x="100"/>
        <item x="42"/>
        <item x="43"/>
        <item x="356"/>
        <item x="378"/>
        <item x="96"/>
        <item x="275"/>
        <item x="154"/>
        <item x="178"/>
        <item x="346"/>
        <item x="354"/>
        <item x="263"/>
        <item x="333"/>
        <item x="285"/>
        <item x="4"/>
        <item x="84"/>
        <item x="300"/>
        <item x="112"/>
        <item x="53"/>
        <item x="303"/>
        <item x="46"/>
        <item x="295"/>
        <item x="279"/>
        <item x="60"/>
        <item x="174"/>
        <item x="52"/>
        <item x="188"/>
        <item x="77"/>
        <item x="170"/>
        <item x="41"/>
        <item x="212"/>
        <item x="71"/>
        <item x="69"/>
        <item x="31"/>
        <item x="266"/>
        <item x="193"/>
        <item x="172"/>
        <item x="136"/>
        <item x="28"/>
        <item x="98"/>
        <item x="173"/>
        <item x="114"/>
        <item x="339"/>
        <item x="72"/>
        <item x="223"/>
        <item x="13"/>
        <item x="90"/>
        <item x="93"/>
        <item x="367"/>
        <item x="220"/>
        <item x="22"/>
        <item x="265"/>
        <item x="282"/>
        <item x="33"/>
        <item x="79"/>
        <item x="287"/>
        <item x="54"/>
        <item x="75"/>
        <item x="27"/>
        <item x="215"/>
        <item x="133"/>
        <item x="36"/>
        <item x="55"/>
        <item x="73"/>
        <item x="241"/>
        <item x="229"/>
        <item x="10"/>
        <item x="63"/>
        <item x="246"/>
        <item x="18"/>
        <item x="255"/>
        <item x="180"/>
        <item x="159"/>
        <item x="166"/>
        <item x="236"/>
        <item x="353"/>
        <item x="153"/>
        <item x="322"/>
        <item x="59"/>
        <item x="107"/>
        <item x="274"/>
        <item x="340"/>
        <item x="189"/>
        <item x="190"/>
        <item x="197"/>
        <item x="327"/>
        <item x="20"/>
        <item x="342"/>
        <item x="120"/>
        <item x="130"/>
        <item x="225"/>
        <item x="309"/>
        <item x="280"/>
        <item x="326"/>
        <item x="7"/>
        <item x="179"/>
        <item x="348"/>
        <item x="143"/>
        <item x="371"/>
        <item x="321"/>
        <item x="32"/>
        <item x="89"/>
        <item x="312"/>
        <item x="78"/>
        <item x="272"/>
        <item x="175"/>
        <item x="83"/>
        <item x="129"/>
        <item x="226"/>
        <item x="70"/>
        <item x="122"/>
        <item x="288"/>
        <item x="224"/>
        <item x="19"/>
        <item x="228"/>
        <item x="210"/>
        <item x="315"/>
        <item x="256"/>
        <item x="372"/>
        <item x="0"/>
        <item x="251"/>
        <item x="227"/>
        <item x="290"/>
        <item x="108"/>
        <item x="376"/>
        <item x="270"/>
        <item x="373"/>
        <item x="343"/>
        <item x="200"/>
        <item x="330"/>
        <item x="116"/>
        <item x="351"/>
        <item x="259"/>
        <item x="80"/>
        <item x="131"/>
        <item x="205"/>
        <item x="325"/>
        <item x="297"/>
        <item x="380"/>
        <item x="6"/>
        <item x="382"/>
        <item x="240"/>
        <item x="341"/>
        <item x="347"/>
        <item x="250"/>
        <item x="222"/>
        <item x="283"/>
        <item x="113"/>
        <item x="357"/>
        <item x="294"/>
        <item x="126"/>
        <item x="186"/>
        <item x="176"/>
        <item x="319"/>
        <item x="134"/>
        <item x="338"/>
        <item x="168"/>
        <item x="318"/>
        <item x="379"/>
        <item x="61"/>
        <item t="default"/>
      </items>
    </pivotField>
    <pivotField showAll="0"/>
    <pivotField showAll="0"/>
    <pivotField showAll="0">
      <items count="16">
        <item h="1" x="1"/>
        <item h="1" x="7"/>
        <item h="1" x="0"/>
        <item h="1" x="8"/>
        <item h="1" x="10"/>
        <item h="1" x="2"/>
        <item h="1" x="13"/>
        <item h="1" x="6"/>
        <item h="1" x="5"/>
        <item h="1" x="12"/>
        <item h="1" x="3"/>
        <item x="4"/>
        <item h="1" x="11"/>
        <item h="1" x="14"/>
        <item h="1" x="9"/>
        <item t="default"/>
      </items>
    </pivotField>
    <pivotField axis="axisCol" showAll="0">
      <items count="6">
        <item x="2"/>
        <item x="1"/>
        <item x="4"/>
        <item x="0"/>
        <item x="3"/>
        <item t="default"/>
      </items>
    </pivotField>
    <pivotField showAll="0"/>
    <pivotField axis="axisRow" showAll="0">
      <items count="12">
        <item x="5"/>
        <item x="2"/>
        <item x="8"/>
        <item x="7"/>
        <item x="10"/>
        <item x="3"/>
        <item x="4"/>
        <item x="6"/>
        <item x="9"/>
        <item x="0"/>
        <item x="1"/>
        <item t="default"/>
      </items>
    </pivotField>
    <pivotField showAll="0"/>
    <pivotField showAll="0"/>
    <pivotField dataField="1" showAll="0"/>
  </pivotFields>
  <rowFields count="1">
    <field x="7"/>
  </rowFields>
  <rowItems count="12">
    <i>
      <x/>
    </i>
    <i>
      <x v="1"/>
    </i>
    <i>
      <x v="2"/>
    </i>
    <i>
      <x v="3"/>
    </i>
    <i>
      <x v="4"/>
    </i>
    <i>
      <x v="5"/>
    </i>
    <i>
      <x v="6"/>
    </i>
    <i>
      <x v="7"/>
    </i>
    <i>
      <x v="8"/>
    </i>
    <i>
      <x v="9"/>
    </i>
    <i>
      <x v="10"/>
    </i>
    <i t="grand">
      <x/>
    </i>
  </rowItems>
  <colFields count="1">
    <field x="5"/>
  </colFields>
  <colItems count="6">
    <i>
      <x/>
    </i>
    <i>
      <x v="1"/>
    </i>
    <i>
      <x v="2"/>
    </i>
    <i>
      <x v="3"/>
    </i>
    <i>
      <x v="4"/>
    </i>
    <i t="grand">
      <x/>
    </i>
  </colItems>
  <dataFields count="1">
    <dataField name="Sum of Sales Amount" fld="10" baseField="0" baseItem="0"/>
  </dataFields>
  <pivotTableStyleInfo name="PivotStyleLight16" showRowHeaders="1" showColHeaders="1" showRowStripes="0" showColStripes="0" showLastColumn="1"/>
  <filters count="1">
    <filter fld="1" type="dateBetween" evalOrder="-1" id="70" name="Sale 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1240F2D-622D-487D-942C-990485211D42}" sourceName="Product">
  <pivotTables>
    <pivotTable tabId="5" name="PivotTable1"/>
    <pivotTable tabId="5" name="PivotTable2"/>
    <pivotTable tabId="5" name="PivotTable5"/>
  </pivotTables>
  <data>
    <tabular pivotCacheId="878726782">
      <items count="6">
        <i x="2"/>
        <i x="1" s="1"/>
        <i x="4"/>
        <i x="0"/>
        <i x="3"/>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5264725-7995-43CA-8AF2-949CCB2027F8}" sourceName="City">
  <pivotTables>
    <pivotTable tabId="5" name="PivotTable1"/>
    <pivotTable tabId="5" name="PivotTable4"/>
    <pivotTable tabId="5" name="PivotTable5"/>
  </pivotTables>
  <data>
    <tabular pivotCacheId="878726782">
      <items count="15">
        <i x="1" s="1"/>
        <i x="7"/>
        <i x="0"/>
        <i x="8"/>
        <i x="10"/>
        <i x="2"/>
        <i x="13"/>
        <i x="6"/>
        <i x="5"/>
        <i x="12"/>
        <i x="3"/>
        <i x="4"/>
        <i x="11"/>
        <i x="14"/>
        <i x="9"/>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CB89A36-0DC3-49DF-B57D-3DC86C48CF1A}" sourceName="City">
  <pivotTables>
    <pivotTable tabId="9" name="PivotTable1"/>
  </pivotTables>
  <data>
    <tabular pivotCacheId="11215878">
      <items count="15">
        <i x="1" s="1"/>
        <i x="7" s="1"/>
        <i x="0" s="1"/>
        <i x="8" s="1"/>
        <i x="10" s="1"/>
        <i x="2" s="1"/>
        <i x="13" s="1"/>
        <i x="6" s="1"/>
        <i x="5" s="1"/>
        <i x="12" s="1"/>
        <i x="3" s="1"/>
        <i x="4" s="1"/>
        <i x="11" s="1"/>
        <i x="14"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CF6B0E-086C-441E-BD2A-F3A2FE827C5A}" sourceName="Product">
  <pivotTables>
    <pivotTable tabId="9" name="PivotTable3"/>
  </pivotTables>
  <data>
    <tabular pivotCacheId="11215878">
      <items count="5">
        <i x="2" s="1"/>
        <i x="1" s="1"/>
        <i x="4"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18870568-8E2F-41EF-9178-E8E65E0D066C}" sourceName="Salesman">
  <pivotTables>
    <pivotTable tabId="9" name="PivotTable1"/>
    <pivotTable tabId="9" name="PivotTable3"/>
  </pivotTables>
  <data>
    <tabular pivotCacheId="11215878">
      <items count="11">
        <i x="5" s="1"/>
        <i x="2" s="1"/>
        <i x="8" s="1"/>
        <i x="7" s="1"/>
        <i x="10" s="1"/>
        <i x="3" s="1"/>
        <i x="4" s="1"/>
        <i x="6" s="1"/>
        <i x="9"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325A031-6DB9-4A6F-AD0A-3CDFF8A01988}" cache="Slicer_Product1" caption="Product" columnCount="5" showCaption="0" style="SlicerStyleDark2" rowHeight="324000"/>
  <slicer name="City 1" xr10:uid="{58DC8BB6-7777-4100-83AC-B737AC98D14B}" cache="Slicer_City1" caption="City" showCaption="0" style="SlicerStyleDark2"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02AAAD2-EF6C-4255-A72A-9ADF5E9E4E8C}" cache="Slicer_City" caption="City" columnCount="15" showCaption="0" rowHeight="241300"/>
  <slicer name="Product" xr10:uid="{C6F82CDE-9701-4F3C-B584-14049672CF1B}" cache="Slicer_Product" caption="Product" rowHeight="241300"/>
  <slicer name="Salesman" xr10:uid="{B24AC31F-EEFC-4BE0-A938-DE88E0617158}" cache="Slicer_Salesman" caption="Salesma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8A86D7-8E39-4AB6-8C28-8D6E36FF0BB7}" name="Table1" displayName="Table1" ref="A1:K1046" totalsRowShown="0" headerRowDxfId="0" tableBorderDxfId="2">
  <autoFilter ref="A1:K1046" xr:uid="{AA02EBCD-917B-43E0-ADBD-B90CAA40D19B}"/>
  <tableColumns count="11">
    <tableColumn id="1" xr3:uid="{FA47627A-1860-420E-A7FB-D4F474CCC46F}" name="Order ID"/>
    <tableColumn id="2" xr3:uid="{7E28269A-529F-4F68-BF4A-E18AF782ECF2}" name="Sale Date" dataDxfId="1"/>
    <tableColumn id="3" xr3:uid="{9E22606F-E666-49EF-9F91-9F7395F46531}" name="Region"/>
    <tableColumn id="4" xr3:uid="{E3267617-AA84-4BAF-8B88-47D8FAB5748B}" name="State"/>
    <tableColumn id="5" xr3:uid="{F77641A3-BCA3-4A4A-B83F-E207125040F7}" name="City"/>
    <tableColumn id="6" xr3:uid="{F4DC21EF-7FDC-4BAB-9B29-C54C562E8003}" name="Product"/>
    <tableColumn id="7" xr3:uid="{312633C5-6C52-433D-9126-0669DF995F78}" name="Quantity"/>
    <tableColumn id="8" xr3:uid="{112A1CCC-0D5C-45D5-AD3F-0537873FFCDB}" name="Salesman"/>
    <tableColumn id="9" xr3:uid="{886AC925-FDFC-4043-B602-BF6E6EB7F542}" name="AGE"/>
    <tableColumn id="10" xr3:uid="{B1705843-2CD4-4F53-8FC9-6AEB82A61DB9}" name="Price per Unit"/>
    <tableColumn id="11" xr3:uid="{29C8B8B7-F2B3-4CC4-B01C-A96BF6DBB733}" name="Sales Amount">
      <calculatedColumnFormula>G2*J2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5AFC-7F11-4A86-9A77-8B95B381A09E}">
  <dimension ref="A1:V56"/>
  <sheetViews>
    <sheetView topLeftCell="A19" workbookViewId="0">
      <selection activeCell="B56" sqref="B56"/>
    </sheetView>
  </sheetViews>
  <sheetFormatPr defaultRowHeight="14.5" x14ac:dyDescent="0.35"/>
  <cols>
    <col min="2" max="2" width="22.90625" customWidth="1"/>
    <col min="3" max="3" width="6.08984375" bestFit="1" customWidth="1"/>
    <col min="4" max="4" width="7.08984375" bestFit="1" customWidth="1"/>
    <col min="5" max="5" width="5.1796875" bestFit="1" customWidth="1"/>
    <col min="6" max="10" width="9.81640625" bestFit="1" customWidth="1"/>
    <col min="11" max="11" width="14.1796875" customWidth="1"/>
    <col min="12" max="16" width="9.81640625" bestFit="1" customWidth="1"/>
    <col min="17" max="17" width="77.54296875" bestFit="1" customWidth="1"/>
    <col min="18" max="18" width="16.1796875" customWidth="1"/>
    <col min="19" max="19" width="24.36328125" bestFit="1" customWidth="1"/>
    <col min="20" max="20" width="18.6328125" style="4" customWidth="1"/>
    <col min="21" max="42" width="9.81640625" bestFit="1" customWidth="1"/>
    <col min="43" max="43" width="11.81640625" bestFit="1" customWidth="1"/>
  </cols>
  <sheetData>
    <row r="1" spans="1:22" x14ac:dyDescent="0.35">
      <c r="Q1" t="s">
        <v>119</v>
      </c>
      <c r="R1" t="s">
        <v>48</v>
      </c>
      <c r="S1" t="s">
        <v>120</v>
      </c>
      <c r="T1" s="4" t="s">
        <v>121</v>
      </c>
      <c r="U1" t="s">
        <v>122</v>
      </c>
      <c r="V1" t="s">
        <v>123</v>
      </c>
    </row>
    <row r="2" spans="1:22" x14ac:dyDescent="0.35">
      <c r="A2" t="s">
        <v>95</v>
      </c>
      <c r="B2" t="s">
        <v>48</v>
      </c>
      <c r="C2" t="s">
        <v>49</v>
      </c>
      <c r="D2" t="s">
        <v>50</v>
      </c>
      <c r="E2" t="s">
        <v>51</v>
      </c>
      <c r="I2" t="s">
        <v>49</v>
      </c>
      <c r="J2" t="s">
        <v>50</v>
      </c>
      <c r="K2" t="s">
        <v>51</v>
      </c>
      <c r="L2" t="s">
        <v>48</v>
      </c>
      <c r="Q2" s="1" t="s">
        <v>99</v>
      </c>
      <c r="R2" t="s">
        <v>172</v>
      </c>
    </row>
    <row r="3" spans="1:22" x14ac:dyDescent="0.35">
      <c r="A3">
        <v>123</v>
      </c>
      <c r="B3" t="s">
        <v>55</v>
      </c>
      <c r="C3">
        <v>81</v>
      </c>
      <c r="D3">
        <v>89</v>
      </c>
      <c r="E3">
        <v>72</v>
      </c>
      <c r="I3">
        <f ca="1">RANDBETWEEN(60,99)</f>
        <v>83</v>
      </c>
      <c r="J3">
        <f t="shared" ref="J3:K8" ca="1" si="0">RANDBETWEEN(60,99)</f>
        <v>71</v>
      </c>
      <c r="K3">
        <f t="shared" ca="1" si="0"/>
        <v>91</v>
      </c>
      <c r="L3" t="s">
        <v>0</v>
      </c>
      <c r="Q3" s="1" t="s">
        <v>100</v>
      </c>
      <c r="R3" t="s">
        <v>173</v>
      </c>
    </row>
    <row r="4" spans="1:22" x14ac:dyDescent="0.35">
      <c r="A4">
        <v>124</v>
      </c>
      <c r="B4" t="s">
        <v>56</v>
      </c>
      <c r="C4">
        <v>68</v>
      </c>
      <c r="D4">
        <v>65</v>
      </c>
      <c r="E4">
        <v>78</v>
      </c>
      <c r="I4">
        <f t="shared" ref="I4:I8" ca="1" si="1">RANDBETWEEN(60,99)</f>
        <v>92</v>
      </c>
      <c r="J4">
        <f t="shared" ca="1" si="0"/>
        <v>63</v>
      </c>
      <c r="K4">
        <f t="shared" ca="1" si="0"/>
        <v>76</v>
      </c>
      <c r="L4" t="s">
        <v>46</v>
      </c>
      <c r="Q4" s="1" t="s">
        <v>101</v>
      </c>
      <c r="R4" t="s">
        <v>174</v>
      </c>
    </row>
    <row r="5" spans="1:22" x14ac:dyDescent="0.35">
      <c r="A5">
        <v>125</v>
      </c>
      <c r="B5" t="s">
        <v>47</v>
      </c>
      <c r="C5">
        <v>73</v>
      </c>
      <c r="D5">
        <v>62</v>
      </c>
      <c r="E5">
        <v>71</v>
      </c>
      <c r="I5">
        <f t="shared" ca="1" si="1"/>
        <v>85</v>
      </c>
      <c r="J5">
        <f t="shared" ca="1" si="0"/>
        <v>60</v>
      </c>
      <c r="K5">
        <f t="shared" ca="1" si="0"/>
        <v>91</v>
      </c>
      <c r="L5" t="s">
        <v>47</v>
      </c>
      <c r="Q5" s="1" t="s">
        <v>102</v>
      </c>
      <c r="R5" t="s">
        <v>175</v>
      </c>
    </row>
    <row r="6" spans="1:22" x14ac:dyDescent="0.35">
      <c r="A6">
        <v>126</v>
      </c>
      <c r="B6" t="s">
        <v>52</v>
      </c>
      <c r="C6">
        <v>62</v>
      </c>
      <c r="D6">
        <v>77</v>
      </c>
      <c r="E6">
        <v>93</v>
      </c>
      <c r="I6">
        <f t="shared" ca="1" si="1"/>
        <v>63</v>
      </c>
      <c r="J6">
        <f t="shared" ca="1" si="0"/>
        <v>78</v>
      </c>
      <c r="K6">
        <f t="shared" ca="1" si="0"/>
        <v>67</v>
      </c>
      <c r="L6" t="s">
        <v>52</v>
      </c>
      <c r="Q6" s="1" t="s">
        <v>103</v>
      </c>
      <c r="R6" t="s">
        <v>176</v>
      </c>
    </row>
    <row r="7" spans="1:22" x14ac:dyDescent="0.35">
      <c r="A7">
        <v>127</v>
      </c>
      <c r="B7" t="s">
        <v>53</v>
      </c>
      <c r="C7">
        <v>95</v>
      </c>
      <c r="D7">
        <v>60</v>
      </c>
      <c r="E7">
        <v>82</v>
      </c>
      <c r="I7">
        <f t="shared" ca="1" si="1"/>
        <v>74</v>
      </c>
      <c r="J7">
        <f t="shared" ca="1" si="0"/>
        <v>79</v>
      </c>
      <c r="K7">
        <f t="shared" ca="1" si="0"/>
        <v>60</v>
      </c>
      <c r="L7" t="s">
        <v>53</v>
      </c>
      <c r="Q7" s="1" t="s">
        <v>104</v>
      </c>
      <c r="R7" t="s">
        <v>177</v>
      </c>
    </row>
    <row r="8" spans="1:22" x14ac:dyDescent="0.35">
      <c r="A8">
        <v>128</v>
      </c>
      <c r="B8" t="s">
        <v>54</v>
      </c>
      <c r="C8">
        <v>89</v>
      </c>
      <c r="D8">
        <v>91</v>
      </c>
      <c r="E8">
        <v>78</v>
      </c>
      <c r="I8">
        <f t="shared" ca="1" si="1"/>
        <v>87</v>
      </c>
      <c r="J8">
        <f t="shared" ca="1" si="0"/>
        <v>62</v>
      </c>
      <c r="K8">
        <f t="shared" ca="1" si="0"/>
        <v>66</v>
      </c>
      <c r="L8" t="s">
        <v>54</v>
      </c>
      <c r="Q8" s="1" t="s">
        <v>105</v>
      </c>
      <c r="R8" t="s">
        <v>178</v>
      </c>
    </row>
    <row r="9" spans="1:22" x14ac:dyDescent="0.35">
      <c r="Q9" s="1" t="s">
        <v>106</v>
      </c>
      <c r="R9" t="s">
        <v>179</v>
      </c>
    </row>
    <row r="10" spans="1:22" x14ac:dyDescent="0.35">
      <c r="Q10" s="1" t="s">
        <v>107</v>
      </c>
      <c r="R10" t="s">
        <v>180</v>
      </c>
    </row>
    <row r="11" spans="1:22" x14ac:dyDescent="0.35">
      <c r="G11" s="15"/>
      <c r="Q11" s="1" t="s">
        <v>108</v>
      </c>
      <c r="R11" t="s">
        <v>181</v>
      </c>
    </row>
    <row r="12" spans="1:22" x14ac:dyDescent="0.35">
      <c r="Q12" s="1" t="s">
        <v>109</v>
      </c>
      <c r="R12" t="s">
        <v>182</v>
      </c>
    </row>
    <row r="13" spans="1:22" x14ac:dyDescent="0.35">
      <c r="B13" t="s">
        <v>48</v>
      </c>
      <c r="C13" t="s">
        <v>0</v>
      </c>
      <c r="D13" t="s">
        <v>46</v>
      </c>
      <c r="E13" t="s">
        <v>47</v>
      </c>
      <c r="F13" t="s">
        <v>52</v>
      </c>
      <c r="G13" t="s">
        <v>53</v>
      </c>
      <c r="H13" t="s">
        <v>54</v>
      </c>
      <c r="I13" t="s">
        <v>0</v>
      </c>
      <c r="J13" t="s">
        <v>46</v>
      </c>
      <c r="K13" t="s">
        <v>47</v>
      </c>
      <c r="L13" t="s">
        <v>52</v>
      </c>
      <c r="M13" t="s">
        <v>53</v>
      </c>
      <c r="N13" t="s">
        <v>54</v>
      </c>
      <c r="Q13" s="1" t="s">
        <v>110</v>
      </c>
      <c r="R13" t="s">
        <v>183</v>
      </c>
    </row>
    <row r="14" spans="1:22" x14ac:dyDescent="0.35">
      <c r="B14" t="s">
        <v>49</v>
      </c>
      <c r="C14">
        <f t="shared" ref="C14:N16" ca="1" si="2">RANDBETWEEN(60,99)</f>
        <v>72</v>
      </c>
      <c r="D14">
        <f t="shared" ca="1" si="2"/>
        <v>60</v>
      </c>
      <c r="E14">
        <f t="shared" ca="1" si="2"/>
        <v>84</v>
      </c>
      <c r="F14">
        <f t="shared" ca="1" si="2"/>
        <v>80</v>
      </c>
      <c r="G14">
        <f t="shared" ca="1" si="2"/>
        <v>69</v>
      </c>
      <c r="H14">
        <f t="shared" ca="1" si="2"/>
        <v>67</v>
      </c>
      <c r="I14">
        <f t="shared" ca="1" si="2"/>
        <v>91</v>
      </c>
      <c r="J14">
        <f t="shared" ca="1" si="2"/>
        <v>92</v>
      </c>
      <c r="K14">
        <f t="shared" ca="1" si="2"/>
        <v>73</v>
      </c>
      <c r="L14">
        <f t="shared" ca="1" si="2"/>
        <v>68</v>
      </c>
      <c r="M14">
        <f t="shared" ca="1" si="2"/>
        <v>99</v>
      </c>
      <c r="N14">
        <f t="shared" ca="1" si="2"/>
        <v>88</v>
      </c>
      <c r="Q14" s="1" t="s">
        <v>111</v>
      </c>
      <c r="R14" t="s">
        <v>184</v>
      </c>
    </row>
    <row r="15" spans="1:22" x14ac:dyDescent="0.35">
      <c r="B15" t="s">
        <v>50</v>
      </c>
      <c r="C15">
        <f t="shared" ca="1" si="2"/>
        <v>69</v>
      </c>
      <c r="D15">
        <f t="shared" ca="1" si="2"/>
        <v>78</v>
      </c>
      <c r="E15">
        <f t="shared" ca="1" si="2"/>
        <v>92</v>
      </c>
      <c r="F15">
        <f t="shared" ca="1" si="2"/>
        <v>96</v>
      </c>
      <c r="G15">
        <f t="shared" ca="1" si="2"/>
        <v>78</v>
      </c>
      <c r="H15">
        <f t="shared" ca="1" si="2"/>
        <v>73</v>
      </c>
      <c r="I15">
        <f t="shared" ca="1" si="2"/>
        <v>62</v>
      </c>
      <c r="J15">
        <f t="shared" ca="1" si="2"/>
        <v>75</v>
      </c>
      <c r="K15">
        <f t="shared" ca="1" si="2"/>
        <v>75</v>
      </c>
      <c r="L15">
        <f t="shared" ca="1" si="2"/>
        <v>78</v>
      </c>
      <c r="M15">
        <f t="shared" ca="1" si="2"/>
        <v>72</v>
      </c>
      <c r="N15">
        <f t="shared" ca="1" si="2"/>
        <v>60</v>
      </c>
      <c r="Q15" t="s">
        <v>112</v>
      </c>
      <c r="R15" t="s">
        <v>185</v>
      </c>
    </row>
    <row r="16" spans="1:22" x14ac:dyDescent="0.35">
      <c r="B16" t="s">
        <v>51</v>
      </c>
      <c r="C16">
        <f t="shared" ca="1" si="2"/>
        <v>91</v>
      </c>
      <c r="D16">
        <f t="shared" ca="1" si="2"/>
        <v>67</v>
      </c>
      <c r="E16">
        <f t="shared" ca="1" si="2"/>
        <v>77</v>
      </c>
      <c r="F16">
        <f t="shared" ca="1" si="2"/>
        <v>69</v>
      </c>
      <c r="G16">
        <f t="shared" ca="1" si="2"/>
        <v>69</v>
      </c>
      <c r="H16">
        <f t="shared" ca="1" si="2"/>
        <v>70</v>
      </c>
      <c r="I16">
        <f t="shared" ca="1" si="2"/>
        <v>83</v>
      </c>
      <c r="J16">
        <f t="shared" ca="1" si="2"/>
        <v>61</v>
      </c>
      <c r="K16">
        <f t="shared" ca="1" si="2"/>
        <v>68</v>
      </c>
      <c r="L16">
        <f t="shared" ca="1" si="2"/>
        <v>89</v>
      </c>
      <c r="M16">
        <f t="shared" ca="1" si="2"/>
        <v>82</v>
      </c>
      <c r="N16">
        <f t="shared" ca="1" si="2"/>
        <v>63</v>
      </c>
      <c r="Q16" t="s">
        <v>113</v>
      </c>
      <c r="R16" t="s">
        <v>186</v>
      </c>
    </row>
    <row r="17" spans="7:18" x14ac:dyDescent="0.35">
      <c r="Q17" t="s">
        <v>114</v>
      </c>
      <c r="R17" t="s">
        <v>187</v>
      </c>
    </row>
    <row r="18" spans="7:18" x14ac:dyDescent="0.35">
      <c r="Q18" t="s">
        <v>115</v>
      </c>
      <c r="R18" t="s">
        <v>188</v>
      </c>
    </row>
    <row r="19" spans="7:18" x14ac:dyDescent="0.35">
      <c r="M19" t="s">
        <v>0</v>
      </c>
      <c r="N19">
        <f ca="1">SUM(N14:N16)</f>
        <v>211</v>
      </c>
      <c r="Q19" t="s">
        <v>116</v>
      </c>
      <c r="R19" t="s">
        <v>189</v>
      </c>
    </row>
    <row r="20" spans="7:18" x14ac:dyDescent="0.35">
      <c r="Q20" t="s">
        <v>117</v>
      </c>
      <c r="R20" t="s">
        <v>190</v>
      </c>
    </row>
    <row r="21" spans="7:18" x14ac:dyDescent="0.35">
      <c r="H21" s="41" t="s">
        <v>193</v>
      </c>
      <c r="I21" s="41"/>
      <c r="J21" s="41"/>
      <c r="K21" s="41"/>
      <c r="L21" s="41"/>
      <c r="Q21" t="s">
        <v>118</v>
      </c>
      <c r="R21" t="s">
        <v>191</v>
      </c>
    </row>
    <row r="22" spans="7:18" x14ac:dyDescent="0.35">
      <c r="J22" s="20"/>
    </row>
    <row r="23" spans="7:18" x14ac:dyDescent="0.35">
      <c r="G23" s="21" t="s">
        <v>48</v>
      </c>
      <c r="H23" s="21" t="s">
        <v>192</v>
      </c>
      <c r="I23" s="21" t="s">
        <v>51</v>
      </c>
      <c r="K23" s="22" t="s">
        <v>48</v>
      </c>
      <c r="L23" s="22" t="s">
        <v>192</v>
      </c>
      <c r="M23" s="22" t="s">
        <v>51</v>
      </c>
    </row>
    <row r="24" spans="7:18" x14ac:dyDescent="0.35">
      <c r="G24" s="21" t="s">
        <v>0</v>
      </c>
      <c r="H24" s="21">
        <v>89</v>
      </c>
      <c r="I24" s="21">
        <v>90</v>
      </c>
      <c r="K24" s="22" t="s">
        <v>0</v>
      </c>
      <c r="L24" s="22">
        <v>89</v>
      </c>
      <c r="M24" s="22">
        <v>90</v>
      </c>
    </row>
    <row r="30" spans="7:18" x14ac:dyDescent="0.35">
      <c r="I30" s="42"/>
      <c r="J30" s="42"/>
      <c r="K30" s="42"/>
      <c r="L30" s="42"/>
    </row>
    <row r="31" spans="7:18" x14ac:dyDescent="0.35">
      <c r="I31" s="42"/>
      <c r="J31" s="42"/>
      <c r="K31" s="42"/>
      <c r="L31" s="42"/>
    </row>
    <row r="32" spans="7:18" x14ac:dyDescent="0.35">
      <c r="I32" s="42"/>
      <c r="J32" s="42"/>
      <c r="K32" s="42"/>
      <c r="L32" s="42"/>
    </row>
    <row r="33" spans="9:12" x14ac:dyDescent="0.35">
      <c r="I33" s="42"/>
      <c r="J33" s="42"/>
      <c r="K33" s="42"/>
      <c r="L33" s="42"/>
    </row>
    <row r="34" spans="9:12" x14ac:dyDescent="0.35">
      <c r="I34" s="42"/>
      <c r="J34" s="42"/>
      <c r="K34" s="42"/>
      <c r="L34" s="42"/>
    </row>
    <row r="35" spans="9:12" x14ac:dyDescent="0.35">
      <c r="I35" s="42"/>
      <c r="J35" s="42"/>
      <c r="K35" s="42"/>
      <c r="L35" s="42"/>
    </row>
    <row r="36" spans="9:12" x14ac:dyDescent="0.35">
      <c r="I36" s="42"/>
      <c r="J36" s="42"/>
      <c r="K36" s="42"/>
      <c r="L36" s="42"/>
    </row>
    <row r="56" spans="2:2" x14ac:dyDescent="0.35">
      <c r="B56" s="23" t="s">
        <v>196</v>
      </c>
    </row>
  </sheetData>
  <customSheetViews>
    <customSheetView guid="{87A1CBC9-9776-4993-B904-8709C619272F}" topLeftCell="I1">
      <selection activeCell="K25" sqref="K25:M25"/>
      <pageMargins left="0.7" right="0.7" top="0.75" bottom="0.75" header="0.3" footer="0.3"/>
    </customSheetView>
  </customSheetViews>
  <mergeCells count="2">
    <mergeCell ref="H21:L21"/>
    <mergeCell ref="I30:L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1C20-6124-4C94-864B-80CBB9670FEB}">
  <dimension ref="A1:T46"/>
  <sheetViews>
    <sheetView topLeftCell="G1" workbookViewId="0">
      <selection activeCell="N4" sqref="N4"/>
    </sheetView>
  </sheetViews>
  <sheetFormatPr defaultRowHeight="14.5" x14ac:dyDescent="0.35"/>
  <cols>
    <col min="1" max="1" width="20.90625" bestFit="1" customWidth="1"/>
    <col min="2" max="2" width="13.26953125" bestFit="1" customWidth="1"/>
    <col min="3" max="3" width="12.90625" bestFit="1" customWidth="1"/>
    <col min="4" max="4" width="14.6328125" bestFit="1" customWidth="1"/>
    <col min="5" max="5" width="11.453125" bestFit="1" customWidth="1"/>
    <col min="6" max="6" width="17" customWidth="1"/>
    <col min="7" max="7" width="15.26953125" customWidth="1"/>
    <col min="8" max="8" width="19.26953125" bestFit="1" customWidth="1"/>
    <col min="10" max="10" width="20.90625" bestFit="1" customWidth="1"/>
    <col min="11" max="11" width="10.36328125" bestFit="1" customWidth="1"/>
    <col min="12" max="12" width="8.36328125" bestFit="1" customWidth="1"/>
    <col min="13" max="13" width="9.453125" bestFit="1" customWidth="1"/>
    <col min="14" max="14" width="11.453125" bestFit="1" customWidth="1"/>
  </cols>
  <sheetData>
    <row r="1" spans="1:20" ht="15" thickBot="1" x14ac:dyDescent="0.4">
      <c r="A1" s="43" t="s">
        <v>164</v>
      </c>
      <c r="B1" s="44"/>
      <c r="C1" s="44"/>
      <c r="D1" s="44"/>
      <c r="E1" s="45"/>
    </row>
    <row r="2" spans="1:20" ht="18" x14ac:dyDescent="0.4">
      <c r="A2" s="16" t="s">
        <v>124</v>
      </c>
      <c r="B2" s="17" t="s">
        <v>125</v>
      </c>
      <c r="C2" s="17" t="s">
        <v>126</v>
      </c>
      <c r="D2" s="17" t="s">
        <v>127</v>
      </c>
      <c r="E2" s="18" t="s">
        <v>128</v>
      </c>
      <c r="J2" s="6" t="s">
        <v>124</v>
      </c>
      <c r="K2" s="7" t="s">
        <v>125</v>
      </c>
      <c r="L2" s="7" t="s">
        <v>126</v>
      </c>
      <c r="M2" s="7" t="s">
        <v>127</v>
      </c>
      <c r="N2" s="26" t="s">
        <v>128</v>
      </c>
    </row>
    <row r="3" spans="1:20" ht="17.5" x14ac:dyDescent="0.35">
      <c r="A3" s="9" t="s">
        <v>129</v>
      </c>
      <c r="B3" s="10">
        <v>59</v>
      </c>
      <c r="C3" s="10">
        <v>62</v>
      </c>
      <c r="D3" s="10">
        <v>76</v>
      </c>
      <c r="E3" s="11">
        <v>43</v>
      </c>
      <c r="J3" s="9" t="s">
        <v>129</v>
      </c>
      <c r="K3" s="10">
        <v>79</v>
      </c>
      <c r="L3" s="10">
        <v>74</v>
      </c>
      <c r="M3" s="10">
        <v>59</v>
      </c>
      <c r="N3" s="24">
        <v>59</v>
      </c>
      <c r="O3" s="55" t="str">
        <f>IF(AND(K3&gt;=33,L3&gt;=33,M3&gt;=33,N3&gt;=33),"Pass","Fail")</f>
        <v>Pass</v>
      </c>
      <c r="P3" s="56"/>
      <c r="Q3" s="56"/>
      <c r="R3" s="56"/>
      <c r="S3" s="56"/>
      <c r="T3" s="57"/>
    </row>
    <row r="4" spans="1:20" ht="17.5" x14ac:dyDescent="0.35">
      <c r="A4" s="9" t="s">
        <v>130</v>
      </c>
      <c r="B4" s="10">
        <v>68</v>
      </c>
      <c r="C4" s="10">
        <v>51</v>
      </c>
      <c r="D4" s="10">
        <v>42</v>
      </c>
      <c r="E4" s="24">
        <v>41</v>
      </c>
      <c r="F4" s="25" t="s">
        <v>197</v>
      </c>
      <c r="G4" t="s">
        <v>133</v>
      </c>
      <c r="H4" t="s">
        <v>134</v>
      </c>
      <c r="J4" s="9" t="s">
        <v>130</v>
      </c>
      <c r="K4" s="10">
        <v>77</v>
      </c>
      <c r="L4" s="10">
        <v>61</v>
      </c>
      <c r="M4" s="10">
        <v>69</v>
      </c>
      <c r="N4" s="24">
        <v>55</v>
      </c>
      <c r="O4" s="55" t="str">
        <f t="shared" ref="O4:O6" si="0">IF(AND(K4&gt;=33,L4&gt;=33,M4&gt;=33,N4&gt;=33),"Pass","Fail")</f>
        <v>Pass</v>
      </c>
      <c r="P4" s="56"/>
      <c r="Q4" s="56"/>
      <c r="R4" s="56"/>
      <c r="S4" s="56"/>
      <c r="T4" s="57"/>
    </row>
    <row r="5" spans="1:20" ht="17.5" x14ac:dyDescent="0.35">
      <c r="A5" s="9" t="s">
        <v>131</v>
      </c>
      <c r="B5" s="10">
        <v>53</v>
      </c>
      <c r="C5" s="10">
        <v>60</v>
      </c>
      <c r="D5" s="10">
        <v>43</v>
      </c>
      <c r="E5" s="11">
        <v>93</v>
      </c>
      <c r="G5" t="s">
        <v>135</v>
      </c>
      <c r="H5" t="s">
        <v>136</v>
      </c>
      <c r="J5" s="9" t="s">
        <v>131</v>
      </c>
      <c r="K5" s="10">
        <v>50</v>
      </c>
      <c r="L5" s="10">
        <v>84</v>
      </c>
      <c r="M5" s="10">
        <v>88</v>
      </c>
      <c r="N5" s="24"/>
      <c r="O5" s="55" t="str">
        <f t="shared" si="0"/>
        <v>Fail</v>
      </c>
      <c r="P5" s="56"/>
      <c r="Q5" s="56"/>
      <c r="R5" s="56"/>
      <c r="S5" s="56"/>
      <c r="T5" s="57"/>
    </row>
    <row r="6" spans="1:20" ht="18" thickBot="1" x14ac:dyDescent="0.4">
      <c r="A6" s="12" t="s">
        <v>132</v>
      </c>
      <c r="B6" s="13">
        <v>82</v>
      </c>
      <c r="C6" s="13">
        <v>58</v>
      </c>
      <c r="D6" s="13">
        <v>76</v>
      </c>
      <c r="E6" s="14">
        <v>46</v>
      </c>
      <c r="G6" t="s">
        <v>138</v>
      </c>
      <c r="H6" t="s">
        <v>137</v>
      </c>
      <c r="J6" s="12" t="s">
        <v>132</v>
      </c>
      <c r="K6" s="13">
        <v>92</v>
      </c>
      <c r="L6" s="13">
        <v>68</v>
      </c>
      <c r="M6" s="13">
        <v>94</v>
      </c>
      <c r="N6" s="27">
        <v>63</v>
      </c>
      <c r="O6" s="55" t="str">
        <f t="shared" si="0"/>
        <v>Pass</v>
      </c>
      <c r="P6" s="56"/>
      <c r="Q6" s="56"/>
      <c r="R6" s="56"/>
      <c r="S6" s="56"/>
      <c r="T6" s="57"/>
    </row>
    <row r="7" spans="1:20" x14ac:dyDescent="0.35">
      <c r="G7" t="s">
        <v>139</v>
      </c>
      <c r="H7" t="s">
        <v>140</v>
      </c>
    </row>
    <row r="8" spans="1:20" x14ac:dyDescent="0.35">
      <c r="G8" t="s">
        <v>141</v>
      </c>
      <c r="H8" t="s">
        <v>142</v>
      </c>
      <c r="J8" t="s">
        <v>124</v>
      </c>
      <c r="K8" t="s">
        <v>125</v>
      </c>
      <c r="L8" t="s">
        <v>126</v>
      </c>
      <c r="M8" t="s">
        <v>127</v>
      </c>
      <c r="N8" t="s">
        <v>128</v>
      </c>
    </row>
    <row r="9" spans="1:20" x14ac:dyDescent="0.35">
      <c r="G9" t="s">
        <v>143</v>
      </c>
      <c r="H9" t="s">
        <v>144</v>
      </c>
      <c r="J9" t="s">
        <v>129</v>
      </c>
      <c r="K9">
        <v>59</v>
      </c>
      <c r="L9">
        <v>62</v>
      </c>
      <c r="M9">
        <v>76</v>
      </c>
      <c r="N9">
        <v>43</v>
      </c>
    </row>
    <row r="10" spans="1:20" x14ac:dyDescent="0.35">
      <c r="G10" t="s">
        <v>145</v>
      </c>
      <c r="H10" t="s">
        <v>146</v>
      </c>
      <c r="J10" t="s">
        <v>130</v>
      </c>
      <c r="K10">
        <v>68</v>
      </c>
      <c r="L10">
        <v>51</v>
      </c>
      <c r="M10">
        <v>42</v>
      </c>
      <c r="N10">
        <v>41</v>
      </c>
    </row>
    <row r="11" spans="1:20" x14ac:dyDescent="0.35">
      <c r="G11" t="s">
        <v>147</v>
      </c>
      <c r="H11" t="s">
        <v>148</v>
      </c>
      <c r="J11" t="s">
        <v>131</v>
      </c>
      <c r="K11">
        <v>53</v>
      </c>
      <c r="L11">
        <v>60</v>
      </c>
      <c r="M11">
        <v>43</v>
      </c>
      <c r="N11">
        <v>93</v>
      </c>
    </row>
    <row r="12" spans="1:20" x14ac:dyDescent="0.35">
      <c r="G12" t="s">
        <v>149</v>
      </c>
      <c r="H12" t="s">
        <v>150</v>
      </c>
      <c r="J12" t="s">
        <v>132</v>
      </c>
      <c r="K12">
        <v>82</v>
      </c>
      <c r="L12">
        <v>58</v>
      </c>
      <c r="M12">
        <v>76</v>
      </c>
      <c r="N12">
        <v>46</v>
      </c>
    </row>
    <row r="13" spans="1:20" x14ac:dyDescent="0.35">
      <c r="G13" t="s">
        <v>151</v>
      </c>
      <c r="H13" t="s">
        <v>152</v>
      </c>
    </row>
    <row r="14" spans="1:20" ht="15" thickBot="1" x14ac:dyDescent="0.4">
      <c r="G14" t="s">
        <v>153</v>
      </c>
      <c r="H14" t="s">
        <v>154</v>
      </c>
    </row>
    <row r="15" spans="1:20" ht="22" x14ac:dyDescent="0.6">
      <c r="A15" t="s">
        <v>124</v>
      </c>
      <c r="B15" t="s">
        <v>129</v>
      </c>
      <c r="C15" t="s">
        <v>130</v>
      </c>
      <c r="D15" t="s">
        <v>131</v>
      </c>
      <c r="E15" t="s">
        <v>132</v>
      </c>
      <c r="G15" t="s">
        <v>160</v>
      </c>
      <c r="H15" t="s">
        <v>161</v>
      </c>
      <c r="J15" s="6" t="s">
        <v>155</v>
      </c>
      <c r="K15" s="7" t="s">
        <v>156</v>
      </c>
      <c r="L15" s="7" t="s">
        <v>157</v>
      </c>
      <c r="M15" s="7" t="s">
        <v>158</v>
      </c>
      <c r="N15" s="8" t="s">
        <v>159</v>
      </c>
    </row>
    <row r="16" spans="1:20" ht="17.5" x14ac:dyDescent="0.35">
      <c r="A16" t="s">
        <v>125</v>
      </c>
      <c r="B16">
        <v>59</v>
      </c>
      <c r="C16">
        <v>68</v>
      </c>
      <c r="D16">
        <v>53</v>
      </c>
      <c r="E16">
        <v>82</v>
      </c>
      <c r="G16" t="s">
        <v>162</v>
      </c>
      <c r="H16" t="s">
        <v>163</v>
      </c>
      <c r="J16" s="9"/>
      <c r="K16" s="10"/>
      <c r="L16" s="10"/>
      <c r="M16" s="10"/>
      <c r="N16" s="11"/>
    </row>
    <row r="17" spans="1:15" ht="17.5" x14ac:dyDescent="0.35">
      <c r="A17" t="s">
        <v>126</v>
      </c>
      <c r="B17">
        <v>62</v>
      </c>
      <c r="C17">
        <v>51</v>
      </c>
      <c r="D17">
        <v>60</v>
      </c>
      <c r="E17">
        <v>58</v>
      </c>
      <c r="G17" t="s">
        <v>166</v>
      </c>
      <c r="H17" t="s">
        <v>167</v>
      </c>
      <c r="J17" s="9"/>
      <c r="K17" s="10"/>
      <c r="L17" s="10"/>
      <c r="M17" s="10"/>
      <c r="N17" s="11"/>
    </row>
    <row r="18" spans="1:15" ht="17.5" x14ac:dyDescent="0.35">
      <c r="A18" t="s">
        <v>127</v>
      </c>
      <c r="B18">
        <v>76</v>
      </c>
      <c r="C18">
        <v>42</v>
      </c>
      <c r="D18">
        <v>43</v>
      </c>
      <c r="E18">
        <v>76</v>
      </c>
      <c r="G18" t="s">
        <v>168</v>
      </c>
      <c r="H18" t="s">
        <v>169</v>
      </c>
      <c r="J18" s="9"/>
      <c r="K18" s="10"/>
      <c r="L18" s="10"/>
      <c r="M18" s="10"/>
      <c r="N18" s="11"/>
    </row>
    <row r="19" spans="1:15" ht="18" thickBot="1" x14ac:dyDescent="0.4">
      <c r="A19" t="s">
        <v>128</v>
      </c>
      <c r="B19">
        <v>43</v>
      </c>
      <c r="C19">
        <v>41</v>
      </c>
      <c r="D19">
        <v>93</v>
      </c>
      <c r="E19">
        <v>46</v>
      </c>
      <c r="G19" t="s">
        <v>171</v>
      </c>
      <c r="H19" t="s">
        <v>170</v>
      </c>
      <c r="J19" s="12"/>
      <c r="K19" s="13"/>
      <c r="L19" s="13"/>
      <c r="M19" s="13"/>
      <c r="N19" s="14"/>
    </row>
    <row r="20" spans="1:15" ht="17.5" customHeight="1" x14ac:dyDescent="0.35"/>
    <row r="21" spans="1:15" x14ac:dyDescent="0.35">
      <c r="K21" s="55"/>
      <c r="L21" s="56"/>
      <c r="M21" s="56"/>
      <c r="N21" s="56"/>
      <c r="O21" s="57"/>
    </row>
    <row r="22" spans="1:15" x14ac:dyDescent="0.35">
      <c r="K22" s="55"/>
      <c r="L22" s="56"/>
      <c r="M22" s="56"/>
      <c r="N22" s="56"/>
      <c r="O22" s="57"/>
    </row>
    <row r="23" spans="1:15" x14ac:dyDescent="0.35">
      <c r="K23" s="55"/>
      <c r="L23" s="56"/>
      <c r="M23" s="56"/>
      <c r="N23" s="56"/>
      <c r="O23" s="57"/>
    </row>
    <row r="24" spans="1:15" x14ac:dyDescent="0.35">
      <c r="K24" s="55"/>
      <c r="L24" s="56"/>
      <c r="M24" s="56"/>
      <c r="N24" s="56"/>
      <c r="O24" s="57"/>
    </row>
    <row r="26" spans="1:15" x14ac:dyDescent="0.35">
      <c r="F26" s="46" t="s">
        <v>165</v>
      </c>
      <c r="G26" s="47"/>
      <c r="H26" s="47"/>
      <c r="I26" s="47"/>
      <c r="J26" s="48"/>
    </row>
    <row r="27" spans="1:15" x14ac:dyDescent="0.35">
      <c r="F27" s="49"/>
      <c r="G27" s="50"/>
      <c r="H27" s="50"/>
      <c r="I27" s="50"/>
      <c r="J27" s="51"/>
      <c r="L27" s="50"/>
      <c r="M27" s="50"/>
      <c r="N27" s="50"/>
      <c r="O27" s="50"/>
    </row>
    <row r="28" spans="1:15" x14ac:dyDescent="0.35">
      <c r="F28" s="49"/>
      <c r="G28" s="50"/>
      <c r="H28" s="50"/>
      <c r="I28" s="50"/>
      <c r="J28" s="51"/>
      <c r="L28" s="50"/>
      <c r="M28" s="50"/>
      <c r="N28" s="50"/>
      <c r="O28" s="50"/>
    </row>
    <row r="29" spans="1:15" x14ac:dyDescent="0.35">
      <c r="F29" s="52"/>
      <c r="G29" s="53"/>
      <c r="H29" s="53"/>
      <c r="I29" s="53"/>
      <c r="J29" s="54"/>
      <c r="L29" s="50"/>
      <c r="M29" s="50"/>
      <c r="N29" s="50"/>
      <c r="O29" s="50"/>
    </row>
    <row r="30" spans="1:15" x14ac:dyDescent="0.35">
      <c r="L30" s="50"/>
      <c r="M30" s="50"/>
      <c r="N30" s="50"/>
      <c r="O30" s="50"/>
    </row>
    <row r="31" spans="1:15" x14ac:dyDescent="0.35">
      <c r="F31" s="19"/>
      <c r="G31" s="19"/>
      <c r="H31" s="19"/>
      <c r="I31" s="19"/>
      <c r="J31" s="19"/>
      <c r="L31" s="50"/>
      <c r="M31" s="50"/>
      <c r="N31" s="50"/>
      <c r="O31" s="50"/>
    </row>
    <row r="32" spans="1:15" x14ac:dyDescent="0.35">
      <c r="F32" s="42"/>
      <c r="G32" s="42"/>
      <c r="H32" s="42"/>
      <c r="I32" s="42"/>
      <c r="J32" s="42"/>
    </row>
    <row r="33" spans="6:15" x14ac:dyDescent="0.35">
      <c r="F33" s="42"/>
      <c r="G33" s="42"/>
      <c r="H33" s="42"/>
      <c r="I33" s="42"/>
      <c r="J33" s="42"/>
    </row>
    <row r="34" spans="6:15" x14ac:dyDescent="0.35">
      <c r="F34" s="42"/>
      <c r="G34" s="42"/>
      <c r="H34" s="42"/>
      <c r="I34" s="42"/>
      <c r="J34" s="42"/>
    </row>
    <row r="35" spans="6:15" x14ac:dyDescent="0.35">
      <c r="F35" s="42"/>
      <c r="G35" s="42"/>
      <c r="H35" s="42"/>
      <c r="I35" s="42"/>
      <c r="J35" s="42"/>
    </row>
    <row r="36" spans="6:15" x14ac:dyDescent="0.35">
      <c r="F36" s="42"/>
      <c r="G36" s="42"/>
      <c r="H36" s="42"/>
      <c r="I36" s="42"/>
      <c r="J36" s="42"/>
    </row>
    <row r="40" spans="6:15" x14ac:dyDescent="0.35">
      <c r="J40" s="42"/>
      <c r="K40" s="42"/>
      <c r="L40" s="42"/>
      <c r="M40" s="42"/>
      <c r="N40" s="42"/>
      <c r="O40" s="42"/>
    </row>
    <row r="41" spans="6:15" x14ac:dyDescent="0.35">
      <c r="J41" s="42"/>
      <c r="K41" s="42"/>
      <c r="L41" s="42"/>
      <c r="M41" s="42"/>
      <c r="N41" s="42"/>
      <c r="O41" s="42"/>
    </row>
    <row r="42" spans="6:15" x14ac:dyDescent="0.35">
      <c r="F42" s="58"/>
      <c r="G42" s="59"/>
      <c r="H42" s="59"/>
      <c r="I42" s="60"/>
      <c r="J42" s="42"/>
      <c r="K42" s="42"/>
      <c r="L42" s="42"/>
      <c r="M42" s="42"/>
      <c r="N42" s="42"/>
      <c r="O42" s="42"/>
    </row>
    <row r="43" spans="6:15" x14ac:dyDescent="0.35">
      <c r="F43" s="61"/>
      <c r="G43" s="42"/>
      <c r="H43" s="42"/>
      <c r="I43" s="62"/>
      <c r="J43" s="42"/>
      <c r="K43" s="42"/>
      <c r="L43" s="42"/>
      <c r="M43" s="42"/>
      <c r="N43" s="42"/>
      <c r="O43" s="42"/>
    </row>
    <row r="44" spans="6:15" x14ac:dyDescent="0.35">
      <c r="F44" s="61"/>
      <c r="G44" s="42"/>
      <c r="H44" s="42"/>
      <c r="I44" s="62"/>
      <c r="J44" s="42"/>
      <c r="K44" s="42"/>
      <c r="L44" s="42"/>
      <c r="M44" s="42"/>
      <c r="N44" s="42"/>
      <c r="O44" s="42"/>
    </row>
    <row r="45" spans="6:15" x14ac:dyDescent="0.35">
      <c r="F45" s="61"/>
      <c r="G45" s="42"/>
      <c r="H45" s="42"/>
      <c r="I45" s="62"/>
      <c r="J45" s="42"/>
      <c r="K45" s="42"/>
      <c r="L45" s="42"/>
      <c r="M45" s="42"/>
      <c r="N45" s="42"/>
      <c r="O45" s="42"/>
    </row>
    <row r="46" spans="6:15" x14ac:dyDescent="0.35">
      <c r="F46" s="63"/>
      <c r="G46" s="64"/>
      <c r="H46" s="64"/>
      <c r="I46" s="65"/>
      <c r="J46" s="42"/>
      <c r="K46" s="42"/>
      <c r="L46" s="42"/>
      <c r="M46" s="42"/>
      <c r="N46" s="42"/>
      <c r="O46" s="42"/>
    </row>
  </sheetData>
  <mergeCells count="14">
    <mergeCell ref="F42:I46"/>
    <mergeCell ref="J40:O46"/>
    <mergeCell ref="O3:T3"/>
    <mergeCell ref="O4:T4"/>
    <mergeCell ref="O5:T5"/>
    <mergeCell ref="O6:T6"/>
    <mergeCell ref="F32:J36"/>
    <mergeCell ref="L27:O31"/>
    <mergeCell ref="A1:E1"/>
    <mergeCell ref="F26:J29"/>
    <mergeCell ref="K21:O21"/>
    <mergeCell ref="K22:O22"/>
    <mergeCell ref="K23:O23"/>
    <mergeCell ref="K24:O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9E2B0-DFB0-4F49-817B-5E486C597581}">
  <dimension ref="A1:L73"/>
  <sheetViews>
    <sheetView topLeftCell="E1" workbookViewId="0">
      <selection activeCell="J8" sqref="J8"/>
    </sheetView>
  </sheetViews>
  <sheetFormatPr defaultRowHeight="14.5" x14ac:dyDescent="0.35"/>
  <cols>
    <col min="1" max="1" width="9.90625" bestFit="1" customWidth="1"/>
    <col min="2" max="2" width="8.90625" bestFit="1" customWidth="1"/>
    <col min="3" max="3" width="6.453125" bestFit="1" customWidth="1"/>
    <col min="4" max="4" width="14" bestFit="1" customWidth="1"/>
    <col min="5" max="5" width="8.26953125" bestFit="1" customWidth="1"/>
    <col min="7" max="7" width="15.453125" bestFit="1" customWidth="1"/>
    <col min="8" max="11" width="15.1796875" bestFit="1" customWidth="1"/>
    <col min="12" max="12" width="10.7265625" bestFit="1" customWidth="1"/>
  </cols>
  <sheetData>
    <row r="1" spans="1:12" ht="15.5" x14ac:dyDescent="0.35">
      <c r="A1" s="3" t="s">
        <v>94</v>
      </c>
      <c r="B1" s="3" t="s">
        <v>93</v>
      </c>
      <c r="C1" s="3" t="s">
        <v>92</v>
      </c>
      <c r="D1" s="3" t="s">
        <v>91</v>
      </c>
      <c r="E1" s="3" t="s">
        <v>90</v>
      </c>
    </row>
    <row r="2" spans="1:12" x14ac:dyDescent="0.35">
      <c r="A2" t="s">
        <v>89</v>
      </c>
      <c r="B2" t="s">
        <v>194</v>
      </c>
      <c r="C2" t="s">
        <v>78</v>
      </c>
      <c r="D2" t="s">
        <v>79</v>
      </c>
      <c r="E2">
        <v>4000</v>
      </c>
    </row>
    <row r="3" spans="1:12" x14ac:dyDescent="0.35">
      <c r="A3" t="s">
        <v>89</v>
      </c>
      <c r="B3" t="s">
        <v>76</v>
      </c>
      <c r="C3" t="s">
        <v>72</v>
      </c>
      <c r="D3" t="s">
        <v>77</v>
      </c>
      <c r="E3">
        <v>1600</v>
      </c>
    </row>
    <row r="4" spans="1:12" x14ac:dyDescent="0.35">
      <c r="A4" t="s">
        <v>89</v>
      </c>
      <c r="B4" t="s">
        <v>73</v>
      </c>
      <c r="C4" t="s">
        <v>78</v>
      </c>
      <c r="D4" t="s">
        <v>75</v>
      </c>
      <c r="E4">
        <v>6400</v>
      </c>
    </row>
    <row r="5" spans="1:12" x14ac:dyDescent="0.35">
      <c r="A5" t="s">
        <v>89</v>
      </c>
      <c r="B5" t="s">
        <v>194</v>
      </c>
      <c r="C5" t="s">
        <v>72</v>
      </c>
      <c r="D5" t="s">
        <v>71</v>
      </c>
      <c r="E5">
        <v>2400</v>
      </c>
      <c r="G5" s="2" t="s">
        <v>198</v>
      </c>
      <c r="H5" s="2" t="s">
        <v>91</v>
      </c>
    </row>
    <row r="6" spans="1:12" x14ac:dyDescent="0.35">
      <c r="A6" t="s">
        <v>89</v>
      </c>
      <c r="B6" t="s">
        <v>76</v>
      </c>
      <c r="C6" t="s">
        <v>78</v>
      </c>
      <c r="D6" t="s">
        <v>79</v>
      </c>
      <c r="E6">
        <v>3200</v>
      </c>
      <c r="G6" s="2" t="s">
        <v>92</v>
      </c>
      <c r="H6" t="s">
        <v>79</v>
      </c>
      <c r="I6" t="s">
        <v>77</v>
      </c>
      <c r="J6" t="s">
        <v>75</v>
      </c>
      <c r="K6" t="s">
        <v>71</v>
      </c>
      <c r="L6" t="s">
        <v>57</v>
      </c>
    </row>
    <row r="7" spans="1:12" x14ac:dyDescent="0.35">
      <c r="A7" t="s">
        <v>89</v>
      </c>
      <c r="B7" t="s">
        <v>73</v>
      </c>
      <c r="C7" t="s">
        <v>78</v>
      </c>
      <c r="D7" t="s">
        <v>77</v>
      </c>
      <c r="E7">
        <v>2000</v>
      </c>
      <c r="G7" t="s">
        <v>72</v>
      </c>
      <c r="H7">
        <v>3</v>
      </c>
      <c r="I7">
        <v>4</v>
      </c>
      <c r="J7">
        <v>8</v>
      </c>
      <c r="K7">
        <v>9</v>
      </c>
      <c r="L7">
        <v>24</v>
      </c>
    </row>
    <row r="8" spans="1:12" x14ac:dyDescent="0.35">
      <c r="A8" t="s">
        <v>88</v>
      </c>
      <c r="B8" t="s">
        <v>194</v>
      </c>
      <c r="C8" t="s">
        <v>72</v>
      </c>
      <c r="D8" t="s">
        <v>75</v>
      </c>
      <c r="E8">
        <v>4800</v>
      </c>
      <c r="G8" t="s">
        <v>78</v>
      </c>
      <c r="H8">
        <v>15</v>
      </c>
      <c r="I8">
        <v>14</v>
      </c>
      <c r="J8">
        <v>10</v>
      </c>
      <c r="K8">
        <v>9</v>
      </c>
      <c r="L8">
        <v>48</v>
      </c>
    </row>
    <row r="9" spans="1:12" x14ac:dyDescent="0.35">
      <c r="A9" t="s">
        <v>88</v>
      </c>
      <c r="B9" t="s">
        <v>76</v>
      </c>
      <c r="C9" t="s">
        <v>78</v>
      </c>
      <c r="D9" t="s">
        <v>71</v>
      </c>
      <c r="E9">
        <v>2800</v>
      </c>
      <c r="G9" t="s">
        <v>199</v>
      </c>
      <c r="H9" s="30">
        <v>0.16666666666666663</v>
      </c>
      <c r="I9" s="30">
        <v>0.22222222222222221</v>
      </c>
      <c r="J9" s="30">
        <v>0.44444444444444442</v>
      </c>
      <c r="K9" s="30">
        <v>0.5</v>
      </c>
      <c r="L9" s="30">
        <v>1.333333333333333</v>
      </c>
    </row>
    <row r="10" spans="1:12" x14ac:dyDescent="0.35">
      <c r="A10" t="s">
        <v>88</v>
      </c>
      <c r="B10" t="s">
        <v>73</v>
      </c>
      <c r="C10" t="s">
        <v>78</v>
      </c>
      <c r="D10" t="s">
        <v>79</v>
      </c>
      <c r="E10">
        <v>3600</v>
      </c>
      <c r="G10" t="s">
        <v>57</v>
      </c>
      <c r="H10" s="4">
        <v>18.166666666666668</v>
      </c>
      <c r="I10" s="4">
        <v>18.222222222222221</v>
      </c>
      <c r="J10" s="4">
        <v>18.444444444444443</v>
      </c>
      <c r="K10" s="4">
        <v>18.5</v>
      </c>
      <c r="L10" s="4">
        <v>73.333333333333329</v>
      </c>
    </row>
    <row r="11" spans="1:12" x14ac:dyDescent="0.35">
      <c r="A11" t="s">
        <v>88</v>
      </c>
      <c r="B11" t="s">
        <v>194</v>
      </c>
      <c r="C11" t="s">
        <v>78</v>
      </c>
      <c r="D11" t="s">
        <v>77</v>
      </c>
      <c r="E11">
        <v>1800</v>
      </c>
    </row>
    <row r="12" spans="1:12" x14ac:dyDescent="0.35">
      <c r="A12" t="s">
        <v>88</v>
      </c>
      <c r="B12" t="s">
        <v>76</v>
      </c>
      <c r="C12" t="s">
        <v>72</v>
      </c>
      <c r="D12" t="s">
        <v>75</v>
      </c>
      <c r="E12">
        <v>4800</v>
      </c>
    </row>
    <row r="13" spans="1:12" x14ac:dyDescent="0.35">
      <c r="A13" t="s">
        <v>88</v>
      </c>
      <c r="B13" t="s">
        <v>73</v>
      </c>
      <c r="C13" t="s">
        <v>78</v>
      </c>
      <c r="D13" t="s">
        <v>71</v>
      </c>
      <c r="E13">
        <v>2200</v>
      </c>
    </row>
    <row r="14" spans="1:12" x14ac:dyDescent="0.35">
      <c r="A14" t="s">
        <v>87</v>
      </c>
      <c r="B14" t="s">
        <v>194</v>
      </c>
      <c r="C14" t="s">
        <v>78</v>
      </c>
      <c r="D14" t="s">
        <v>79</v>
      </c>
      <c r="E14">
        <v>4400</v>
      </c>
    </row>
    <row r="15" spans="1:12" x14ac:dyDescent="0.35">
      <c r="A15" t="s">
        <v>87</v>
      </c>
      <c r="B15" t="s">
        <v>76</v>
      </c>
      <c r="C15" t="s">
        <v>78</v>
      </c>
      <c r="D15" t="s">
        <v>77</v>
      </c>
      <c r="E15">
        <v>1440</v>
      </c>
    </row>
    <row r="16" spans="1:12" x14ac:dyDescent="0.35">
      <c r="A16" t="s">
        <v>87</v>
      </c>
      <c r="B16" t="s">
        <v>73</v>
      </c>
      <c r="C16" t="s">
        <v>72</v>
      </c>
      <c r="D16" t="s">
        <v>75</v>
      </c>
      <c r="E16">
        <v>5200</v>
      </c>
    </row>
    <row r="17" spans="1:5" x14ac:dyDescent="0.35">
      <c r="A17" t="s">
        <v>87</v>
      </c>
      <c r="B17" t="s">
        <v>194</v>
      </c>
      <c r="C17" t="s">
        <v>78</v>
      </c>
      <c r="D17" t="s">
        <v>71</v>
      </c>
      <c r="E17">
        <v>2880</v>
      </c>
    </row>
    <row r="18" spans="1:5" x14ac:dyDescent="0.35">
      <c r="A18" t="s">
        <v>87</v>
      </c>
      <c r="B18" t="s">
        <v>76</v>
      </c>
      <c r="C18" t="s">
        <v>78</v>
      </c>
      <c r="D18" t="s">
        <v>79</v>
      </c>
      <c r="E18">
        <v>3840</v>
      </c>
    </row>
    <row r="19" spans="1:5" x14ac:dyDescent="0.35">
      <c r="A19" t="s">
        <v>87</v>
      </c>
      <c r="B19" t="s">
        <v>73</v>
      </c>
      <c r="C19" t="s">
        <v>78</v>
      </c>
      <c r="D19" t="s">
        <v>77</v>
      </c>
      <c r="E19">
        <v>2560</v>
      </c>
    </row>
    <row r="20" spans="1:5" x14ac:dyDescent="0.35">
      <c r="A20" t="s">
        <v>86</v>
      </c>
      <c r="B20" t="s">
        <v>194</v>
      </c>
      <c r="C20" t="s">
        <v>72</v>
      </c>
      <c r="D20" t="s">
        <v>75</v>
      </c>
      <c r="E20">
        <v>4400</v>
      </c>
    </row>
    <row r="21" spans="1:5" x14ac:dyDescent="0.35">
      <c r="A21" t="s">
        <v>86</v>
      </c>
      <c r="B21" t="s">
        <v>76</v>
      </c>
      <c r="C21" t="s">
        <v>72</v>
      </c>
      <c r="D21" t="s">
        <v>71</v>
      </c>
      <c r="E21">
        <v>3200</v>
      </c>
    </row>
    <row r="22" spans="1:5" x14ac:dyDescent="0.35">
      <c r="A22" t="s">
        <v>86</v>
      </c>
      <c r="B22" t="s">
        <v>73</v>
      </c>
      <c r="C22" t="s">
        <v>78</v>
      </c>
      <c r="D22" t="s">
        <v>79</v>
      </c>
      <c r="E22">
        <v>4320</v>
      </c>
    </row>
    <row r="23" spans="1:5" x14ac:dyDescent="0.35">
      <c r="A23" t="s">
        <v>86</v>
      </c>
      <c r="B23" t="s">
        <v>194</v>
      </c>
      <c r="C23" t="s">
        <v>78</v>
      </c>
      <c r="D23" t="s">
        <v>77</v>
      </c>
      <c r="E23">
        <v>2160</v>
      </c>
    </row>
    <row r="24" spans="1:5" x14ac:dyDescent="0.35">
      <c r="A24" t="s">
        <v>86</v>
      </c>
      <c r="B24" t="s">
        <v>76</v>
      </c>
      <c r="C24" t="s">
        <v>78</v>
      </c>
      <c r="D24" t="s">
        <v>75</v>
      </c>
      <c r="E24">
        <v>5600</v>
      </c>
    </row>
    <row r="25" spans="1:5" x14ac:dyDescent="0.35">
      <c r="A25" t="s">
        <v>86</v>
      </c>
      <c r="B25" t="s">
        <v>73</v>
      </c>
      <c r="C25" t="s">
        <v>72</v>
      </c>
      <c r="D25" t="s">
        <v>71</v>
      </c>
      <c r="E25">
        <v>2400</v>
      </c>
    </row>
    <row r="26" spans="1:5" x14ac:dyDescent="0.35">
      <c r="A26" t="s">
        <v>63</v>
      </c>
      <c r="B26" t="s">
        <v>194</v>
      </c>
      <c r="C26" t="s">
        <v>72</v>
      </c>
      <c r="D26" t="s">
        <v>79</v>
      </c>
      <c r="E26">
        <v>4800</v>
      </c>
    </row>
    <row r="27" spans="1:5" x14ac:dyDescent="0.35">
      <c r="A27" t="s">
        <v>63</v>
      </c>
      <c r="B27" t="s">
        <v>76</v>
      </c>
      <c r="C27" t="s">
        <v>78</v>
      </c>
      <c r="D27" t="s">
        <v>77</v>
      </c>
      <c r="E27">
        <v>1200</v>
      </c>
    </row>
    <row r="28" spans="1:5" x14ac:dyDescent="0.35">
      <c r="A28" t="s">
        <v>63</v>
      </c>
      <c r="B28" t="s">
        <v>73</v>
      </c>
      <c r="C28" t="s">
        <v>78</v>
      </c>
      <c r="D28" t="s">
        <v>75</v>
      </c>
      <c r="E28">
        <v>5100</v>
      </c>
    </row>
    <row r="29" spans="1:5" x14ac:dyDescent="0.35">
      <c r="A29" t="s">
        <v>63</v>
      </c>
      <c r="B29" t="s">
        <v>194</v>
      </c>
      <c r="C29" t="s">
        <v>72</v>
      </c>
      <c r="D29" t="s">
        <v>71</v>
      </c>
      <c r="E29">
        <v>2280</v>
      </c>
    </row>
    <row r="30" spans="1:5" x14ac:dyDescent="0.35">
      <c r="A30" t="s">
        <v>63</v>
      </c>
      <c r="B30" t="s">
        <v>76</v>
      </c>
      <c r="C30" t="s">
        <v>78</v>
      </c>
      <c r="D30" t="s">
        <v>79</v>
      </c>
      <c r="E30">
        <v>3840</v>
      </c>
    </row>
    <row r="31" spans="1:5" x14ac:dyDescent="0.35">
      <c r="A31" t="s">
        <v>63</v>
      </c>
      <c r="B31" t="s">
        <v>73</v>
      </c>
      <c r="C31" t="s">
        <v>78</v>
      </c>
      <c r="D31" t="s">
        <v>77</v>
      </c>
      <c r="E31">
        <v>1600</v>
      </c>
    </row>
    <row r="32" spans="1:5" x14ac:dyDescent="0.35">
      <c r="A32" t="s">
        <v>85</v>
      </c>
      <c r="B32" t="s">
        <v>194</v>
      </c>
      <c r="C32" t="s">
        <v>78</v>
      </c>
      <c r="D32" t="s">
        <v>75</v>
      </c>
      <c r="E32">
        <v>4800</v>
      </c>
    </row>
    <row r="33" spans="1:5" x14ac:dyDescent="0.35">
      <c r="A33" t="s">
        <v>85</v>
      </c>
      <c r="B33" t="s">
        <v>76</v>
      </c>
      <c r="C33" t="s">
        <v>72</v>
      </c>
      <c r="D33" t="s">
        <v>71</v>
      </c>
      <c r="E33">
        <v>3360</v>
      </c>
    </row>
    <row r="34" spans="1:5" x14ac:dyDescent="0.35">
      <c r="A34" t="s">
        <v>85</v>
      </c>
      <c r="B34" t="s">
        <v>73</v>
      </c>
      <c r="C34" t="s">
        <v>78</v>
      </c>
      <c r="D34" t="s">
        <v>79</v>
      </c>
      <c r="E34">
        <v>4800</v>
      </c>
    </row>
    <row r="35" spans="1:5" x14ac:dyDescent="0.35">
      <c r="A35" t="s">
        <v>85</v>
      </c>
      <c r="B35" t="s">
        <v>194</v>
      </c>
      <c r="C35" t="s">
        <v>78</v>
      </c>
      <c r="D35" t="s">
        <v>77</v>
      </c>
      <c r="E35">
        <v>2160</v>
      </c>
    </row>
    <row r="36" spans="1:5" x14ac:dyDescent="0.35">
      <c r="A36" t="s">
        <v>85</v>
      </c>
      <c r="B36" t="s">
        <v>76</v>
      </c>
      <c r="C36" t="s">
        <v>78</v>
      </c>
      <c r="D36" t="s">
        <v>75</v>
      </c>
      <c r="E36">
        <v>5440</v>
      </c>
    </row>
    <row r="37" spans="1:5" x14ac:dyDescent="0.35">
      <c r="A37" t="s">
        <v>85</v>
      </c>
      <c r="B37" t="s">
        <v>73</v>
      </c>
      <c r="C37" t="s">
        <v>78</v>
      </c>
      <c r="D37" t="s">
        <v>71</v>
      </c>
      <c r="E37">
        <v>2080</v>
      </c>
    </row>
    <row r="38" spans="1:5" x14ac:dyDescent="0.35">
      <c r="A38" t="s">
        <v>84</v>
      </c>
      <c r="B38" t="s">
        <v>194</v>
      </c>
      <c r="C38" t="s">
        <v>78</v>
      </c>
      <c r="D38" t="s">
        <v>79</v>
      </c>
      <c r="E38">
        <v>4640</v>
      </c>
    </row>
    <row r="39" spans="1:5" x14ac:dyDescent="0.35">
      <c r="A39" t="s">
        <v>84</v>
      </c>
      <c r="B39" t="s">
        <v>76</v>
      </c>
      <c r="C39" t="s">
        <v>72</v>
      </c>
      <c r="D39" t="s">
        <v>77</v>
      </c>
      <c r="E39">
        <v>1360</v>
      </c>
    </row>
    <row r="40" spans="1:5" x14ac:dyDescent="0.35">
      <c r="A40" t="s">
        <v>84</v>
      </c>
      <c r="B40" t="s">
        <v>73</v>
      </c>
      <c r="C40" t="s">
        <v>78</v>
      </c>
      <c r="D40" t="s">
        <v>75</v>
      </c>
      <c r="E40">
        <v>6240</v>
      </c>
    </row>
    <row r="41" spans="1:5" x14ac:dyDescent="0.35">
      <c r="A41" t="s">
        <v>84</v>
      </c>
      <c r="B41" t="s">
        <v>194</v>
      </c>
      <c r="C41" t="s">
        <v>72</v>
      </c>
      <c r="D41" t="s">
        <v>71</v>
      </c>
      <c r="E41">
        <v>2720</v>
      </c>
    </row>
    <row r="42" spans="1:5" x14ac:dyDescent="0.35">
      <c r="A42" t="s">
        <v>84</v>
      </c>
      <c r="B42" t="s">
        <v>76</v>
      </c>
      <c r="C42" t="s">
        <v>78</v>
      </c>
      <c r="D42" t="s">
        <v>79</v>
      </c>
      <c r="E42">
        <v>4480</v>
      </c>
    </row>
    <row r="43" spans="1:5" x14ac:dyDescent="0.35">
      <c r="A43" t="s">
        <v>84</v>
      </c>
      <c r="B43" t="s">
        <v>73</v>
      </c>
      <c r="C43" t="s">
        <v>72</v>
      </c>
      <c r="D43" t="s">
        <v>77</v>
      </c>
      <c r="E43">
        <v>2240</v>
      </c>
    </row>
    <row r="44" spans="1:5" x14ac:dyDescent="0.35">
      <c r="A44" t="s">
        <v>83</v>
      </c>
      <c r="B44" t="s">
        <v>194</v>
      </c>
      <c r="C44" t="s">
        <v>78</v>
      </c>
      <c r="D44" t="s">
        <v>75</v>
      </c>
      <c r="E44">
        <v>5600</v>
      </c>
    </row>
    <row r="45" spans="1:5" x14ac:dyDescent="0.35">
      <c r="A45" t="s">
        <v>83</v>
      </c>
      <c r="B45" t="s">
        <v>76</v>
      </c>
      <c r="C45" t="s">
        <v>72</v>
      </c>
      <c r="D45" t="s">
        <v>71</v>
      </c>
      <c r="E45">
        <v>3600</v>
      </c>
    </row>
    <row r="46" spans="1:5" x14ac:dyDescent="0.35">
      <c r="A46" t="s">
        <v>83</v>
      </c>
      <c r="B46" t="s">
        <v>73</v>
      </c>
      <c r="C46" t="s">
        <v>78</v>
      </c>
      <c r="D46" t="s">
        <v>79</v>
      </c>
      <c r="E46">
        <v>5600</v>
      </c>
    </row>
    <row r="47" spans="1:5" x14ac:dyDescent="0.35">
      <c r="A47" t="s">
        <v>83</v>
      </c>
      <c r="B47" t="s">
        <v>194</v>
      </c>
      <c r="C47" t="s">
        <v>78</v>
      </c>
      <c r="D47" t="s">
        <v>77</v>
      </c>
      <c r="E47">
        <v>2080</v>
      </c>
    </row>
    <row r="48" spans="1:5" x14ac:dyDescent="0.35">
      <c r="A48" t="s">
        <v>83</v>
      </c>
      <c r="B48" t="s">
        <v>76</v>
      </c>
      <c r="C48" t="s">
        <v>78</v>
      </c>
      <c r="D48" t="s">
        <v>75</v>
      </c>
      <c r="E48">
        <v>5440</v>
      </c>
    </row>
    <row r="49" spans="1:5" x14ac:dyDescent="0.35">
      <c r="A49" t="s">
        <v>83</v>
      </c>
      <c r="B49" t="s">
        <v>73</v>
      </c>
      <c r="C49" t="s">
        <v>78</v>
      </c>
      <c r="D49" t="s">
        <v>71</v>
      </c>
      <c r="E49">
        <v>2320</v>
      </c>
    </row>
    <row r="50" spans="1:5" x14ac:dyDescent="0.35">
      <c r="A50" t="s">
        <v>82</v>
      </c>
      <c r="B50" t="s">
        <v>194</v>
      </c>
      <c r="C50" t="s">
        <v>72</v>
      </c>
      <c r="D50" t="s">
        <v>79</v>
      </c>
      <c r="E50">
        <v>5760</v>
      </c>
    </row>
    <row r="51" spans="1:5" x14ac:dyDescent="0.35">
      <c r="A51" t="s">
        <v>82</v>
      </c>
      <c r="B51" t="s">
        <v>76</v>
      </c>
      <c r="C51" t="s">
        <v>78</v>
      </c>
      <c r="D51" t="s">
        <v>77</v>
      </c>
      <c r="E51">
        <v>1720</v>
      </c>
    </row>
    <row r="52" spans="1:5" x14ac:dyDescent="0.35">
      <c r="A52" t="s">
        <v>82</v>
      </c>
      <c r="B52" t="s">
        <v>73</v>
      </c>
      <c r="C52" t="s">
        <v>78</v>
      </c>
      <c r="D52" t="s">
        <v>75</v>
      </c>
      <c r="E52">
        <v>4800</v>
      </c>
    </row>
    <row r="53" spans="1:5" x14ac:dyDescent="0.35">
      <c r="A53" t="s">
        <v>82</v>
      </c>
      <c r="B53" t="s">
        <v>194</v>
      </c>
      <c r="C53" t="s">
        <v>78</v>
      </c>
      <c r="D53" t="s">
        <v>71</v>
      </c>
      <c r="E53">
        <v>2520</v>
      </c>
    </row>
    <row r="54" spans="1:5" x14ac:dyDescent="0.35">
      <c r="A54" t="s">
        <v>82</v>
      </c>
      <c r="B54" t="s">
        <v>76</v>
      </c>
      <c r="C54" t="s">
        <v>72</v>
      </c>
      <c r="D54" t="s">
        <v>79</v>
      </c>
      <c r="E54">
        <v>4160</v>
      </c>
    </row>
    <row r="55" spans="1:5" x14ac:dyDescent="0.35">
      <c r="A55" t="s">
        <v>82</v>
      </c>
      <c r="B55" t="s">
        <v>73</v>
      </c>
      <c r="C55" t="s">
        <v>78</v>
      </c>
      <c r="D55" t="s">
        <v>77</v>
      </c>
      <c r="E55">
        <v>2280</v>
      </c>
    </row>
    <row r="56" spans="1:5" x14ac:dyDescent="0.35">
      <c r="A56" t="s">
        <v>81</v>
      </c>
      <c r="B56" t="s">
        <v>194</v>
      </c>
      <c r="C56" t="s">
        <v>72</v>
      </c>
      <c r="D56" t="s">
        <v>75</v>
      </c>
      <c r="E56">
        <v>4200</v>
      </c>
    </row>
    <row r="57" spans="1:5" x14ac:dyDescent="0.35">
      <c r="A57" t="s">
        <v>81</v>
      </c>
      <c r="B57" t="s">
        <v>76</v>
      </c>
      <c r="C57" t="s">
        <v>78</v>
      </c>
      <c r="D57" t="s">
        <v>71</v>
      </c>
      <c r="E57">
        <v>3120</v>
      </c>
    </row>
    <row r="58" spans="1:5" x14ac:dyDescent="0.35">
      <c r="A58" t="s">
        <v>81</v>
      </c>
      <c r="B58" t="s">
        <v>73</v>
      </c>
      <c r="C58" t="s">
        <v>78</v>
      </c>
      <c r="D58" t="s">
        <v>79</v>
      </c>
      <c r="E58">
        <v>4320</v>
      </c>
    </row>
    <row r="59" spans="1:5" x14ac:dyDescent="0.35">
      <c r="A59" t="s">
        <v>81</v>
      </c>
      <c r="B59" t="s">
        <v>194</v>
      </c>
      <c r="C59" t="s">
        <v>78</v>
      </c>
      <c r="D59" t="s">
        <v>77</v>
      </c>
      <c r="E59">
        <v>2880</v>
      </c>
    </row>
    <row r="60" spans="1:5" x14ac:dyDescent="0.35">
      <c r="A60" t="s">
        <v>81</v>
      </c>
      <c r="B60" t="s">
        <v>76</v>
      </c>
      <c r="C60" t="s">
        <v>72</v>
      </c>
      <c r="D60" t="s">
        <v>75</v>
      </c>
      <c r="E60">
        <v>5040</v>
      </c>
    </row>
    <row r="61" spans="1:5" x14ac:dyDescent="0.35">
      <c r="A61" t="s">
        <v>81</v>
      </c>
      <c r="B61" t="s">
        <v>73</v>
      </c>
      <c r="C61" t="s">
        <v>78</v>
      </c>
      <c r="D61" t="s">
        <v>71</v>
      </c>
      <c r="E61">
        <v>1840</v>
      </c>
    </row>
    <row r="62" spans="1:5" x14ac:dyDescent="0.35">
      <c r="A62" t="s">
        <v>80</v>
      </c>
      <c r="B62" t="s">
        <v>194</v>
      </c>
      <c r="C62" t="s">
        <v>78</v>
      </c>
      <c r="D62" t="s">
        <v>79</v>
      </c>
      <c r="E62">
        <v>5120</v>
      </c>
    </row>
    <row r="63" spans="1:5" x14ac:dyDescent="0.35">
      <c r="A63" t="s">
        <v>80</v>
      </c>
      <c r="B63" t="s">
        <v>76</v>
      </c>
      <c r="C63" t="s">
        <v>72</v>
      </c>
      <c r="D63" t="s">
        <v>77</v>
      </c>
      <c r="E63">
        <v>1520</v>
      </c>
    </row>
    <row r="64" spans="1:5" x14ac:dyDescent="0.35">
      <c r="A64" t="s">
        <v>80</v>
      </c>
      <c r="B64" t="s">
        <v>73</v>
      </c>
      <c r="C64" t="s">
        <v>78</v>
      </c>
      <c r="D64" t="s">
        <v>75</v>
      </c>
      <c r="E64">
        <v>5600</v>
      </c>
    </row>
    <row r="65" spans="1:5" x14ac:dyDescent="0.35">
      <c r="A65" t="s">
        <v>80</v>
      </c>
      <c r="B65" t="s">
        <v>194</v>
      </c>
      <c r="C65" t="s">
        <v>72</v>
      </c>
      <c r="D65" t="s">
        <v>71</v>
      </c>
      <c r="E65">
        <v>2320</v>
      </c>
    </row>
    <row r="66" spans="1:5" x14ac:dyDescent="0.35">
      <c r="A66" t="s">
        <v>80</v>
      </c>
      <c r="B66" t="s">
        <v>76</v>
      </c>
      <c r="C66" t="s">
        <v>78</v>
      </c>
      <c r="D66" t="s">
        <v>79</v>
      </c>
      <c r="E66">
        <v>4000</v>
      </c>
    </row>
    <row r="67" spans="1:5" x14ac:dyDescent="0.35">
      <c r="A67" t="s">
        <v>80</v>
      </c>
      <c r="B67" t="s">
        <v>73</v>
      </c>
      <c r="C67" t="s">
        <v>78</v>
      </c>
      <c r="D67" t="s">
        <v>77</v>
      </c>
      <c r="E67">
        <v>2440</v>
      </c>
    </row>
    <row r="68" spans="1:5" x14ac:dyDescent="0.35">
      <c r="A68" t="s">
        <v>74</v>
      </c>
      <c r="B68" t="s">
        <v>194</v>
      </c>
      <c r="C68" t="s">
        <v>72</v>
      </c>
      <c r="D68" t="s">
        <v>75</v>
      </c>
      <c r="E68">
        <v>4500</v>
      </c>
    </row>
    <row r="69" spans="1:5" x14ac:dyDescent="0.35">
      <c r="A69" t="s">
        <v>74</v>
      </c>
      <c r="B69" t="s">
        <v>76</v>
      </c>
      <c r="C69" t="s">
        <v>78</v>
      </c>
      <c r="D69" t="s">
        <v>71</v>
      </c>
      <c r="E69">
        <v>3200</v>
      </c>
    </row>
    <row r="70" spans="1:5" x14ac:dyDescent="0.35">
      <c r="A70" t="s">
        <v>74</v>
      </c>
      <c r="B70" t="s">
        <v>73</v>
      </c>
      <c r="C70" t="s">
        <v>78</v>
      </c>
      <c r="D70" t="s">
        <v>79</v>
      </c>
      <c r="E70">
        <v>4800</v>
      </c>
    </row>
    <row r="71" spans="1:5" x14ac:dyDescent="0.35">
      <c r="A71" t="s">
        <v>74</v>
      </c>
      <c r="B71" t="s">
        <v>194</v>
      </c>
      <c r="C71" t="s">
        <v>78</v>
      </c>
      <c r="D71" t="s">
        <v>77</v>
      </c>
      <c r="E71">
        <v>1760</v>
      </c>
    </row>
    <row r="72" spans="1:5" x14ac:dyDescent="0.35">
      <c r="A72" t="s">
        <v>74</v>
      </c>
      <c r="B72" t="s">
        <v>76</v>
      </c>
      <c r="C72" t="s">
        <v>72</v>
      </c>
      <c r="D72" t="s">
        <v>75</v>
      </c>
      <c r="E72">
        <v>4800</v>
      </c>
    </row>
    <row r="73" spans="1:5" x14ac:dyDescent="0.35">
      <c r="A73" t="s">
        <v>74</v>
      </c>
      <c r="B73" t="s">
        <v>73</v>
      </c>
      <c r="C73" t="s">
        <v>72</v>
      </c>
      <c r="D73" t="s">
        <v>71</v>
      </c>
      <c r="E73">
        <v>2600</v>
      </c>
    </row>
  </sheetData>
  <customSheetViews>
    <customSheetView guid="{87A1CBC9-9776-4993-B904-8709C619272F}">
      <selection activeCell="L10" sqref="L10"/>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DE82-F172-492F-9372-0B2940F86D42}">
  <dimension ref="A1:C47"/>
  <sheetViews>
    <sheetView workbookViewId="0">
      <selection activeCell="A34" sqref="A34:B47"/>
    </sheetView>
  </sheetViews>
  <sheetFormatPr defaultRowHeight="14.5" x14ac:dyDescent="0.35"/>
  <cols>
    <col min="1" max="1" width="10.7265625" bestFit="1" customWidth="1"/>
    <col min="2" max="2" width="18.7265625" bestFit="1" customWidth="1"/>
  </cols>
  <sheetData>
    <row r="1" spans="1:3" x14ac:dyDescent="0.35">
      <c r="A1" s="2" t="s">
        <v>5</v>
      </c>
    </row>
    <row r="2" spans="1:3" x14ac:dyDescent="0.35">
      <c r="A2" t="s">
        <v>18</v>
      </c>
    </row>
    <row r="3" spans="1:3" x14ac:dyDescent="0.35">
      <c r="A3" t="s">
        <v>35</v>
      </c>
    </row>
    <row r="4" spans="1:3" x14ac:dyDescent="0.35">
      <c r="A4" t="s">
        <v>29</v>
      </c>
    </row>
    <row r="5" spans="1:3" x14ac:dyDescent="0.35">
      <c r="A5" t="s">
        <v>21</v>
      </c>
    </row>
    <row r="6" spans="1:3" x14ac:dyDescent="0.35">
      <c r="A6" t="s">
        <v>13</v>
      </c>
    </row>
    <row r="7" spans="1:3" x14ac:dyDescent="0.35">
      <c r="A7" t="s">
        <v>57</v>
      </c>
    </row>
    <row r="12" spans="1:3" x14ac:dyDescent="0.35">
      <c r="A12" s="31"/>
      <c r="B12" s="32"/>
      <c r="C12" s="33"/>
    </row>
    <row r="13" spans="1:3" x14ac:dyDescent="0.35">
      <c r="A13" s="34"/>
      <c r="B13" s="35"/>
      <c r="C13" s="36"/>
    </row>
    <row r="14" spans="1:3" x14ac:dyDescent="0.35">
      <c r="A14" s="34"/>
      <c r="B14" s="35"/>
      <c r="C14" s="36"/>
    </row>
    <row r="15" spans="1:3" x14ac:dyDescent="0.35">
      <c r="A15" s="34"/>
      <c r="B15" s="35"/>
      <c r="C15" s="36"/>
    </row>
    <row r="16" spans="1:3" x14ac:dyDescent="0.35">
      <c r="A16" s="34"/>
      <c r="B16" s="35"/>
      <c r="C16" s="36"/>
    </row>
    <row r="17" spans="1:3" x14ac:dyDescent="0.35">
      <c r="A17" s="34"/>
      <c r="B17" s="35"/>
      <c r="C17" s="36"/>
    </row>
    <row r="18" spans="1:3" x14ac:dyDescent="0.35">
      <c r="A18" s="34"/>
      <c r="B18" s="35"/>
      <c r="C18" s="36"/>
    </row>
    <row r="19" spans="1:3" x14ac:dyDescent="0.35">
      <c r="A19" s="34"/>
      <c r="B19" s="35"/>
      <c r="C19" s="36"/>
    </row>
    <row r="20" spans="1:3" x14ac:dyDescent="0.35">
      <c r="A20" s="34"/>
      <c r="B20" s="35"/>
      <c r="C20" s="36"/>
    </row>
    <row r="21" spans="1:3" x14ac:dyDescent="0.35">
      <c r="A21" s="34"/>
      <c r="B21" s="35"/>
      <c r="C21" s="36"/>
    </row>
    <row r="22" spans="1:3" x14ac:dyDescent="0.35">
      <c r="A22" s="34"/>
      <c r="B22" s="35"/>
      <c r="C22" s="36"/>
    </row>
    <row r="23" spans="1:3" x14ac:dyDescent="0.35">
      <c r="A23" s="34"/>
      <c r="B23" s="35"/>
      <c r="C23" s="36"/>
    </row>
    <row r="24" spans="1:3" x14ac:dyDescent="0.35">
      <c r="A24" s="34"/>
      <c r="B24" s="35"/>
      <c r="C24" s="36"/>
    </row>
    <row r="25" spans="1:3" x14ac:dyDescent="0.35">
      <c r="A25" s="34"/>
      <c r="B25" s="35"/>
      <c r="C25" s="36"/>
    </row>
    <row r="26" spans="1:3" x14ac:dyDescent="0.35">
      <c r="A26" s="34"/>
      <c r="B26" s="35"/>
      <c r="C26" s="36"/>
    </row>
    <row r="27" spans="1:3" x14ac:dyDescent="0.35">
      <c r="A27" s="34"/>
      <c r="B27" s="35"/>
      <c r="C27" s="36"/>
    </row>
    <row r="28" spans="1:3" x14ac:dyDescent="0.35">
      <c r="A28" s="34"/>
      <c r="B28" s="35"/>
      <c r="C28" s="36"/>
    </row>
    <row r="29" spans="1:3" x14ac:dyDescent="0.35">
      <c r="A29" s="37"/>
      <c r="B29" s="38"/>
      <c r="C29" s="39"/>
    </row>
    <row r="34" spans="1:1" x14ac:dyDescent="0.35">
      <c r="A34" s="2" t="s">
        <v>58</v>
      </c>
    </row>
    <row r="35" spans="1:1" x14ac:dyDescent="0.35">
      <c r="A35" t="s">
        <v>59</v>
      </c>
    </row>
    <row r="36" spans="1:1" x14ac:dyDescent="0.35">
      <c r="A36" t="s">
        <v>60</v>
      </c>
    </row>
    <row r="37" spans="1:1" x14ac:dyDescent="0.35">
      <c r="A37" t="s">
        <v>61</v>
      </c>
    </row>
    <row r="38" spans="1:1" x14ac:dyDescent="0.35">
      <c r="A38" t="s">
        <v>62</v>
      </c>
    </row>
    <row r="39" spans="1:1" x14ac:dyDescent="0.35">
      <c r="A39" t="s">
        <v>63</v>
      </c>
    </row>
    <row r="40" spans="1:1" x14ac:dyDescent="0.35">
      <c r="A40" t="s">
        <v>64</v>
      </c>
    </row>
    <row r="41" spans="1:1" x14ac:dyDescent="0.35">
      <c r="A41" t="s">
        <v>65</v>
      </c>
    </row>
    <row r="42" spans="1:1" x14ac:dyDescent="0.35">
      <c r="A42" t="s">
        <v>66</v>
      </c>
    </row>
    <row r="43" spans="1:1" x14ac:dyDescent="0.35">
      <c r="A43" t="s">
        <v>67</v>
      </c>
    </row>
    <row r="44" spans="1:1" x14ac:dyDescent="0.35">
      <c r="A44" t="s">
        <v>68</v>
      </c>
    </row>
    <row r="45" spans="1:1" x14ac:dyDescent="0.35">
      <c r="A45" t="s">
        <v>69</v>
      </c>
    </row>
    <row r="46" spans="1:1" x14ac:dyDescent="0.35">
      <c r="A46" t="s">
        <v>70</v>
      </c>
    </row>
    <row r="47" spans="1:1" x14ac:dyDescent="0.35">
      <c r="A47" t="s">
        <v>57</v>
      </c>
    </row>
  </sheetData>
  <customSheetViews>
    <customSheetView guid="{87A1CBC9-9776-4993-B904-8709C619272F}">
      <selection activeCell="A34" sqref="A34:B47"/>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27C1-7286-4038-BEC1-C60BD6D0A1C6}">
  <dimension ref="A2:I34"/>
  <sheetViews>
    <sheetView workbookViewId="0">
      <selection activeCell="D24" sqref="D24:E37"/>
    </sheetView>
  </sheetViews>
  <sheetFormatPr defaultRowHeight="14.5" x14ac:dyDescent="0.35"/>
  <cols>
    <col min="1" max="1" width="11" bestFit="1" customWidth="1"/>
    <col min="2" max="2" width="14.54296875" bestFit="1" customWidth="1"/>
    <col min="4" max="4" width="19.36328125" bestFit="1" customWidth="1"/>
    <col min="5" max="6" width="14.54296875" bestFit="1" customWidth="1"/>
    <col min="8" max="8" width="10.7265625" bestFit="1" customWidth="1"/>
    <col min="9" max="9" width="14.54296875" bestFit="1" customWidth="1"/>
  </cols>
  <sheetData>
    <row r="2" spans="1:9" x14ac:dyDescent="0.35">
      <c r="A2" s="2" t="s">
        <v>98</v>
      </c>
      <c r="B2" t="s">
        <v>201</v>
      </c>
      <c r="E2" s="2" t="s">
        <v>4</v>
      </c>
      <c r="F2" t="s">
        <v>201</v>
      </c>
    </row>
    <row r="3" spans="1:9" x14ac:dyDescent="0.35">
      <c r="A3" t="s">
        <v>31</v>
      </c>
      <c r="B3">
        <v>16</v>
      </c>
      <c r="E3" t="s">
        <v>39</v>
      </c>
      <c r="F3">
        <v>166</v>
      </c>
    </row>
    <row r="4" spans="1:9" x14ac:dyDescent="0.35">
      <c r="A4" t="s">
        <v>37</v>
      </c>
      <c r="B4">
        <v>32</v>
      </c>
      <c r="E4" t="s">
        <v>43</v>
      </c>
      <c r="F4">
        <v>90</v>
      </c>
    </row>
    <row r="5" spans="1:9" x14ac:dyDescent="0.35">
      <c r="A5" t="s">
        <v>30</v>
      </c>
      <c r="B5">
        <v>10</v>
      </c>
      <c r="E5" t="s">
        <v>20</v>
      </c>
      <c r="F5">
        <v>109</v>
      </c>
    </row>
    <row r="6" spans="1:9" x14ac:dyDescent="0.35">
      <c r="A6" t="s">
        <v>97</v>
      </c>
      <c r="B6">
        <v>7</v>
      </c>
      <c r="E6" t="s">
        <v>32</v>
      </c>
      <c r="F6">
        <v>172</v>
      </c>
    </row>
    <row r="7" spans="1:9" x14ac:dyDescent="0.35">
      <c r="A7" t="s">
        <v>26</v>
      </c>
      <c r="B7">
        <v>8</v>
      </c>
      <c r="E7" t="s">
        <v>45</v>
      </c>
      <c r="F7">
        <v>95</v>
      </c>
    </row>
    <row r="8" spans="1:9" x14ac:dyDescent="0.35">
      <c r="A8" t="s">
        <v>36</v>
      </c>
      <c r="B8">
        <v>20</v>
      </c>
      <c r="E8" t="s">
        <v>34</v>
      </c>
      <c r="F8">
        <v>155</v>
      </c>
    </row>
    <row r="9" spans="1:9" x14ac:dyDescent="0.35">
      <c r="A9" t="s">
        <v>28</v>
      </c>
      <c r="B9">
        <v>12</v>
      </c>
      <c r="E9" t="s">
        <v>44</v>
      </c>
      <c r="F9">
        <v>66</v>
      </c>
    </row>
    <row r="10" spans="1:9" x14ac:dyDescent="0.35">
      <c r="A10" t="s">
        <v>14</v>
      </c>
      <c r="B10">
        <v>13</v>
      </c>
      <c r="E10" t="s">
        <v>22</v>
      </c>
      <c r="F10">
        <v>137</v>
      </c>
      <c r="H10" s="2" t="s">
        <v>5</v>
      </c>
      <c r="I10" t="s">
        <v>201</v>
      </c>
    </row>
    <row r="11" spans="1:9" x14ac:dyDescent="0.35">
      <c r="A11" t="s">
        <v>96</v>
      </c>
      <c r="B11">
        <v>25</v>
      </c>
      <c r="E11" t="s">
        <v>12</v>
      </c>
      <c r="F11">
        <v>153</v>
      </c>
      <c r="H11" t="s">
        <v>18</v>
      </c>
      <c r="I11">
        <v>47</v>
      </c>
    </row>
    <row r="12" spans="1:9" x14ac:dyDescent="0.35">
      <c r="A12" t="s">
        <v>195</v>
      </c>
      <c r="B12">
        <v>23</v>
      </c>
      <c r="E12" t="s">
        <v>17</v>
      </c>
      <c r="F12">
        <v>137</v>
      </c>
      <c r="H12" t="s">
        <v>35</v>
      </c>
      <c r="I12">
        <v>166</v>
      </c>
    </row>
    <row r="13" spans="1:9" x14ac:dyDescent="0.35">
      <c r="A13" t="s">
        <v>57</v>
      </c>
      <c r="B13">
        <v>166</v>
      </c>
      <c r="E13" t="s">
        <v>27</v>
      </c>
      <c r="F13">
        <v>191</v>
      </c>
      <c r="H13" t="s">
        <v>29</v>
      </c>
      <c r="I13">
        <v>223</v>
      </c>
    </row>
    <row r="14" spans="1:9" x14ac:dyDescent="0.35">
      <c r="E14" t="s">
        <v>25</v>
      </c>
      <c r="F14">
        <v>188</v>
      </c>
      <c r="H14" t="s">
        <v>21</v>
      </c>
      <c r="I14">
        <v>200</v>
      </c>
    </row>
    <row r="15" spans="1:9" x14ac:dyDescent="0.35">
      <c r="E15" t="s">
        <v>41</v>
      </c>
      <c r="F15">
        <v>56</v>
      </c>
      <c r="H15" t="s">
        <v>13</v>
      </c>
      <c r="I15">
        <v>218</v>
      </c>
    </row>
    <row r="16" spans="1:9" x14ac:dyDescent="0.35">
      <c r="E16" t="s">
        <v>42</v>
      </c>
      <c r="F16">
        <v>111</v>
      </c>
      <c r="H16" t="s">
        <v>57</v>
      </c>
      <c r="I16">
        <v>854</v>
      </c>
    </row>
    <row r="17" spans="4:6" x14ac:dyDescent="0.35">
      <c r="E17" t="s">
        <v>40</v>
      </c>
      <c r="F17">
        <v>131</v>
      </c>
    </row>
    <row r="18" spans="4:6" x14ac:dyDescent="0.35">
      <c r="E18" t="s">
        <v>57</v>
      </c>
      <c r="F18">
        <v>1957</v>
      </c>
    </row>
    <row r="24" spans="4:6" x14ac:dyDescent="0.35">
      <c r="D24" s="2" t="s">
        <v>58</v>
      </c>
      <c r="E24" t="s">
        <v>201</v>
      </c>
    </row>
    <row r="25" spans="4:6" x14ac:dyDescent="0.35">
      <c r="D25" t="s">
        <v>59</v>
      </c>
      <c r="E25">
        <v>13</v>
      </c>
    </row>
    <row r="26" spans="4:6" x14ac:dyDescent="0.35">
      <c r="D26" t="s">
        <v>60</v>
      </c>
      <c r="E26">
        <v>10</v>
      </c>
    </row>
    <row r="27" spans="4:6" x14ac:dyDescent="0.35">
      <c r="D27" t="s">
        <v>61</v>
      </c>
      <c r="E27">
        <v>3</v>
      </c>
    </row>
    <row r="28" spans="4:6" x14ac:dyDescent="0.35">
      <c r="D28" t="s">
        <v>63</v>
      </c>
      <c r="E28">
        <v>3</v>
      </c>
    </row>
    <row r="29" spans="4:6" x14ac:dyDescent="0.35">
      <c r="D29" t="s">
        <v>64</v>
      </c>
      <c r="E29">
        <v>39</v>
      </c>
    </row>
    <row r="30" spans="4:6" x14ac:dyDescent="0.35">
      <c r="D30" t="s">
        <v>66</v>
      </c>
      <c r="E30">
        <v>27</v>
      </c>
    </row>
    <row r="31" spans="4:6" x14ac:dyDescent="0.35">
      <c r="D31" t="s">
        <v>68</v>
      </c>
      <c r="E31">
        <v>32</v>
      </c>
    </row>
    <row r="32" spans="4:6" x14ac:dyDescent="0.35">
      <c r="D32" t="s">
        <v>69</v>
      </c>
      <c r="E32">
        <v>13</v>
      </c>
    </row>
    <row r="33" spans="4:5" x14ac:dyDescent="0.35">
      <c r="D33" t="s">
        <v>70</v>
      </c>
      <c r="E33">
        <v>26</v>
      </c>
    </row>
    <row r="34" spans="4:5" x14ac:dyDescent="0.35">
      <c r="D34" t="s">
        <v>57</v>
      </c>
      <c r="E34">
        <v>166</v>
      </c>
    </row>
  </sheetData>
  <customSheetViews>
    <customSheetView guid="{87A1CBC9-9776-4993-B904-8709C619272F}">
      <selection activeCell="D24" sqref="D24:E37"/>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0223-903C-42F7-83F2-E5BE1BC1D27B}">
  <dimension ref="A1"/>
  <sheetViews>
    <sheetView showGridLines="0" showRowColHeaders="0" topLeftCell="A4" zoomScale="70" zoomScaleNormal="70" workbookViewId="0">
      <selection activeCell="M46" sqref="M46"/>
    </sheetView>
  </sheetViews>
  <sheetFormatPr defaultRowHeight="14.5" x14ac:dyDescent="0.35"/>
  <cols>
    <col min="1" max="8" width="11" style="5" bestFit="1" customWidth="1"/>
    <col min="9" max="9" width="10.7265625" style="5" bestFit="1" customWidth="1"/>
    <col min="10" max="16384" width="8.7265625" style="5"/>
  </cols>
  <sheetData/>
  <customSheetViews>
    <customSheetView guid="{87A1CBC9-9776-4993-B904-8709C619272F}" scale="70" showGridLines="0" showRowCol="0">
      <selection activeCell="T15" sqref="T15"/>
      <pageMargins left="0.7" right="0.7" top="0.75" bottom="0.75" header="0.3" footer="0.3"/>
    </customSheetView>
  </customSheetView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06F69-6456-481E-8E4A-4038F37EDBF0}">
  <dimension ref="A3:B32"/>
  <sheetViews>
    <sheetView workbookViewId="0">
      <selection activeCell="B3" sqref="B3"/>
    </sheetView>
  </sheetViews>
  <sheetFormatPr defaultRowHeight="14.5" x14ac:dyDescent="0.35"/>
  <cols>
    <col min="1" max="1" width="9.7265625" bestFit="1" customWidth="1"/>
    <col min="2" max="2" width="18.7265625" bestFit="1" customWidth="1"/>
    <col min="3" max="6" width="10.81640625" bestFit="1" customWidth="1"/>
    <col min="7" max="9" width="9.81640625" bestFit="1" customWidth="1"/>
    <col min="10" max="10" width="10.81640625" bestFit="1" customWidth="1"/>
    <col min="11" max="12" width="9.81640625" bestFit="1" customWidth="1"/>
    <col min="13" max="16" width="11" bestFit="1" customWidth="1"/>
    <col min="17" max="17" width="10.81640625" bestFit="1" customWidth="1"/>
    <col min="18" max="31" width="18.7265625" bestFit="1" customWidth="1"/>
    <col min="32" max="32" width="23.54296875" bestFit="1" customWidth="1"/>
    <col min="33" max="34" width="19.36328125" bestFit="1" customWidth="1"/>
  </cols>
  <sheetData>
    <row r="3" spans="1:2" x14ac:dyDescent="0.35">
      <c r="A3" s="2" t="s">
        <v>5</v>
      </c>
      <c r="B3" t="s">
        <v>200</v>
      </c>
    </row>
    <row r="4" spans="1:2" x14ac:dyDescent="0.35">
      <c r="A4" t="s">
        <v>18</v>
      </c>
      <c r="B4">
        <v>5762279.0999999987</v>
      </c>
    </row>
    <row r="5" spans="1:2" x14ac:dyDescent="0.35">
      <c r="A5" t="s">
        <v>35</v>
      </c>
      <c r="B5">
        <v>4802369.7100000009</v>
      </c>
    </row>
    <row r="6" spans="1:2" x14ac:dyDescent="0.35">
      <c r="A6" t="s">
        <v>29</v>
      </c>
      <c r="B6">
        <v>5590916.410000002</v>
      </c>
    </row>
    <row r="7" spans="1:2" x14ac:dyDescent="0.35">
      <c r="A7" t="s">
        <v>21</v>
      </c>
      <c r="B7">
        <v>4964866.1499999994</v>
      </c>
    </row>
    <row r="8" spans="1:2" x14ac:dyDescent="0.35">
      <c r="A8" t="s">
        <v>13</v>
      </c>
      <c r="B8">
        <v>6167390.3300000001</v>
      </c>
    </row>
    <row r="17" spans="1:2" x14ac:dyDescent="0.35">
      <c r="A17" s="2" t="s">
        <v>4</v>
      </c>
      <c r="B17" t="s">
        <v>200</v>
      </c>
    </row>
    <row r="18" spans="1:2" x14ac:dyDescent="0.35">
      <c r="A18" t="s">
        <v>39</v>
      </c>
      <c r="B18">
        <v>2105102.6499999994</v>
      </c>
    </row>
    <row r="19" spans="1:2" x14ac:dyDescent="0.35">
      <c r="A19" t="s">
        <v>43</v>
      </c>
      <c r="B19">
        <v>2014542.2099999997</v>
      </c>
    </row>
    <row r="20" spans="1:2" x14ac:dyDescent="0.35">
      <c r="A20" t="s">
        <v>20</v>
      </c>
      <c r="B20">
        <v>1479630.39</v>
      </c>
    </row>
    <row r="21" spans="1:2" x14ac:dyDescent="0.35">
      <c r="A21" t="s">
        <v>32</v>
      </c>
      <c r="B21">
        <v>2039886.2800000005</v>
      </c>
    </row>
    <row r="22" spans="1:2" x14ac:dyDescent="0.35">
      <c r="A22" t="s">
        <v>45</v>
      </c>
      <c r="B22">
        <v>1233867.0399999998</v>
      </c>
    </row>
    <row r="23" spans="1:2" x14ac:dyDescent="0.35">
      <c r="A23" t="s">
        <v>34</v>
      </c>
      <c r="B23">
        <v>2170276.38</v>
      </c>
    </row>
    <row r="24" spans="1:2" x14ac:dyDescent="0.35">
      <c r="A24" t="s">
        <v>44</v>
      </c>
      <c r="B24">
        <v>1164799.72</v>
      </c>
    </row>
    <row r="25" spans="1:2" x14ac:dyDescent="0.35">
      <c r="A25" t="s">
        <v>22</v>
      </c>
      <c r="B25">
        <v>1892788.0499999998</v>
      </c>
    </row>
    <row r="26" spans="1:2" x14ac:dyDescent="0.35">
      <c r="A26" t="s">
        <v>12</v>
      </c>
      <c r="B26">
        <v>2350805.23</v>
      </c>
    </row>
    <row r="27" spans="1:2" x14ac:dyDescent="0.35">
      <c r="A27" t="s">
        <v>17</v>
      </c>
      <c r="B27">
        <v>1817297.62</v>
      </c>
    </row>
    <row r="28" spans="1:2" x14ac:dyDescent="0.35">
      <c r="A28" t="s">
        <v>27</v>
      </c>
      <c r="B28">
        <v>2152961.3500000006</v>
      </c>
    </row>
    <row r="29" spans="1:2" x14ac:dyDescent="0.35">
      <c r="A29" t="s">
        <v>25</v>
      </c>
      <c r="B29">
        <v>2295048.9699999997</v>
      </c>
    </row>
    <row r="30" spans="1:2" x14ac:dyDescent="0.35">
      <c r="A30" t="s">
        <v>41</v>
      </c>
      <c r="B30">
        <v>1645822.77</v>
      </c>
    </row>
    <row r="31" spans="1:2" x14ac:dyDescent="0.35">
      <c r="A31" t="s">
        <v>42</v>
      </c>
      <c r="B31">
        <v>1379882.43</v>
      </c>
    </row>
    <row r="32" spans="1:2" x14ac:dyDescent="0.35">
      <c r="A32" t="s">
        <v>40</v>
      </c>
      <c r="B32">
        <v>1545110.6099999999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B556-853E-4383-AAA7-C3789DD368EB}">
  <dimension ref="A13:G26"/>
  <sheetViews>
    <sheetView workbookViewId="0">
      <selection activeCell="C17" sqref="C17"/>
    </sheetView>
  </sheetViews>
  <sheetFormatPr defaultRowHeight="14.5" x14ac:dyDescent="0.35"/>
  <cols>
    <col min="1" max="1" width="18.7265625" bestFit="1" customWidth="1"/>
    <col min="2" max="2" width="15.26953125" bestFit="1" customWidth="1"/>
    <col min="3" max="7" width="10.81640625" bestFit="1" customWidth="1"/>
  </cols>
  <sheetData>
    <row r="13" spans="1:7" x14ac:dyDescent="0.35">
      <c r="A13" s="2" t="s">
        <v>200</v>
      </c>
      <c r="B13" s="2" t="s">
        <v>1249</v>
      </c>
    </row>
    <row r="14" spans="1:7" x14ac:dyDescent="0.35">
      <c r="A14" s="2" t="s">
        <v>1248</v>
      </c>
      <c r="B14" t="s">
        <v>18</v>
      </c>
      <c r="C14" t="s">
        <v>35</v>
      </c>
      <c r="D14" t="s">
        <v>29</v>
      </c>
      <c r="E14" t="s">
        <v>21</v>
      </c>
      <c r="F14" t="s">
        <v>13</v>
      </c>
      <c r="G14" t="s">
        <v>57</v>
      </c>
    </row>
    <row r="15" spans="1:7" x14ac:dyDescent="0.35">
      <c r="A15" s="40" t="s">
        <v>31</v>
      </c>
      <c r="B15">
        <v>436643.52999999997</v>
      </c>
      <c r="C15">
        <v>418083.89999999997</v>
      </c>
      <c r="D15">
        <v>529144.29</v>
      </c>
      <c r="E15">
        <v>481508.16</v>
      </c>
      <c r="F15">
        <v>514796.23</v>
      </c>
      <c r="G15">
        <v>2380176.11</v>
      </c>
    </row>
    <row r="16" spans="1:7" x14ac:dyDescent="0.35">
      <c r="A16" s="40" t="s">
        <v>37</v>
      </c>
      <c r="B16">
        <v>460077.88</v>
      </c>
      <c r="C16">
        <v>441958.18000000005</v>
      </c>
      <c r="D16">
        <v>410203.62</v>
      </c>
      <c r="E16">
        <v>323339.69</v>
      </c>
      <c r="F16">
        <v>378783.32000000007</v>
      </c>
      <c r="G16">
        <v>2014362.6900000002</v>
      </c>
    </row>
    <row r="17" spans="1:7" x14ac:dyDescent="0.35">
      <c r="A17" s="40" t="s">
        <v>30</v>
      </c>
      <c r="B17">
        <v>422559.3</v>
      </c>
      <c r="C17">
        <v>168730.48</v>
      </c>
      <c r="D17">
        <v>659957.87</v>
      </c>
      <c r="E17">
        <v>243751.76</v>
      </c>
      <c r="F17">
        <v>669493.75</v>
      </c>
      <c r="G17">
        <v>2164493.16</v>
      </c>
    </row>
    <row r="18" spans="1:7" x14ac:dyDescent="0.35">
      <c r="A18" s="40" t="s">
        <v>97</v>
      </c>
      <c r="B18">
        <v>704880.64000000001</v>
      </c>
      <c r="C18">
        <v>390824.01</v>
      </c>
      <c r="D18">
        <v>281818.32</v>
      </c>
      <c r="E18">
        <v>371051.8</v>
      </c>
      <c r="F18">
        <v>469263.60000000003</v>
      </c>
      <c r="G18">
        <v>2217838.37</v>
      </c>
    </row>
    <row r="19" spans="1:7" x14ac:dyDescent="0.35">
      <c r="A19" s="40" t="s">
        <v>26</v>
      </c>
      <c r="B19">
        <v>425718.06999999995</v>
      </c>
      <c r="C19">
        <v>336420.63</v>
      </c>
      <c r="D19">
        <v>424689.92999999993</v>
      </c>
      <c r="E19">
        <v>528316.65</v>
      </c>
      <c r="F19">
        <v>760552.94000000006</v>
      </c>
      <c r="G19">
        <v>2475698.2199999997</v>
      </c>
    </row>
    <row r="20" spans="1:7" x14ac:dyDescent="0.35">
      <c r="A20" s="40" t="s">
        <v>36</v>
      </c>
      <c r="B20">
        <v>540951.61999999988</v>
      </c>
      <c r="C20">
        <v>357077.73</v>
      </c>
      <c r="D20">
        <v>445919.67</v>
      </c>
      <c r="E20">
        <v>417527.89999999997</v>
      </c>
      <c r="F20">
        <v>371565.55</v>
      </c>
      <c r="G20">
        <v>2133042.4699999997</v>
      </c>
    </row>
    <row r="21" spans="1:7" x14ac:dyDescent="0.35">
      <c r="A21" s="40" t="s">
        <v>28</v>
      </c>
      <c r="B21">
        <v>584193.49</v>
      </c>
      <c r="C21">
        <v>338590.27</v>
      </c>
      <c r="D21">
        <v>466313.50999999995</v>
      </c>
      <c r="E21">
        <v>355079.99</v>
      </c>
      <c r="F21">
        <v>534235.66999999993</v>
      </c>
      <c r="G21">
        <v>2278412.9299999997</v>
      </c>
    </row>
    <row r="22" spans="1:7" x14ac:dyDescent="0.35">
      <c r="A22" s="40" t="s">
        <v>33</v>
      </c>
      <c r="B22">
        <v>331386.06</v>
      </c>
      <c r="C22">
        <v>320592.99</v>
      </c>
      <c r="D22">
        <v>451411.65</v>
      </c>
      <c r="E22">
        <v>282549.52</v>
      </c>
      <c r="F22">
        <v>546414.23</v>
      </c>
      <c r="G22">
        <v>1932354.4500000002</v>
      </c>
    </row>
    <row r="23" spans="1:7" x14ac:dyDescent="0.35">
      <c r="A23" s="40" t="s">
        <v>14</v>
      </c>
      <c r="B23">
        <v>736523.12000000011</v>
      </c>
      <c r="C23">
        <v>1025625.1599999999</v>
      </c>
      <c r="D23">
        <v>865042.89</v>
      </c>
      <c r="E23">
        <v>1003424.7399999999</v>
      </c>
      <c r="F23">
        <v>1056319.1900000002</v>
      </c>
      <c r="G23">
        <v>4686935.0999999996</v>
      </c>
    </row>
    <row r="24" spans="1:7" x14ac:dyDescent="0.35">
      <c r="A24" s="40" t="s">
        <v>195</v>
      </c>
      <c r="B24">
        <v>456669.49</v>
      </c>
      <c r="C24">
        <v>599653.75000000012</v>
      </c>
      <c r="D24">
        <v>551509.47</v>
      </c>
      <c r="E24">
        <v>530859.98</v>
      </c>
      <c r="F24">
        <v>386166.99000000005</v>
      </c>
      <c r="G24">
        <v>2524859.6800000006</v>
      </c>
    </row>
    <row r="25" spans="1:7" x14ac:dyDescent="0.35">
      <c r="A25" s="40" t="s">
        <v>96</v>
      </c>
      <c r="B25">
        <v>662675.89999999991</v>
      </c>
      <c r="C25">
        <v>404812.61</v>
      </c>
      <c r="D25">
        <v>504905.19</v>
      </c>
      <c r="E25">
        <v>427455.95999999996</v>
      </c>
      <c r="F25">
        <v>479798.86000000004</v>
      </c>
      <c r="G25">
        <v>2479648.5199999996</v>
      </c>
    </row>
    <row r="26" spans="1:7" x14ac:dyDescent="0.35">
      <c r="A26" s="40" t="s">
        <v>57</v>
      </c>
      <c r="B26">
        <v>5762279.1000000015</v>
      </c>
      <c r="C26">
        <v>4802369.7100000009</v>
      </c>
      <c r="D26">
        <v>5590916.4100000001</v>
      </c>
      <c r="E26">
        <v>4964866.1499999994</v>
      </c>
      <c r="F26">
        <v>6167390.330000001</v>
      </c>
      <c r="G26">
        <v>27287821.699999999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2EBCD-917B-43E0-ADBD-B90CAA40D19B}">
  <sheetPr>
    <tabColor rgb="FFFF0000"/>
  </sheetPr>
  <dimension ref="A1:U1059"/>
  <sheetViews>
    <sheetView topLeftCell="C1" zoomScale="160" zoomScaleNormal="160" workbookViewId="0">
      <selection activeCell="H4" sqref="H4"/>
    </sheetView>
  </sheetViews>
  <sheetFormatPr defaultRowHeight="14.5" x14ac:dyDescent="0.35"/>
  <cols>
    <col min="1" max="1" width="8.81640625" customWidth="1"/>
    <col min="2" max="2" width="12.81640625" style="1" bestFit="1" customWidth="1"/>
    <col min="3" max="3" width="9.7265625" bestFit="1" customWidth="1"/>
    <col min="4" max="4" width="11.6328125" bestFit="1" customWidth="1"/>
    <col min="5" max="5" width="11" bestFit="1" customWidth="1"/>
    <col min="6" max="6" width="11.1796875" bestFit="1" customWidth="1"/>
    <col min="7" max="7" width="12.1796875" bestFit="1" customWidth="1"/>
    <col min="8" max="8" width="12.1796875" customWidth="1"/>
    <col min="9" max="9" width="13.26953125" customWidth="1"/>
    <col min="10" max="10" width="16" customWidth="1"/>
    <col min="11" max="11" width="14.54296875" style="28" bestFit="1" customWidth="1"/>
    <col min="12" max="12" width="18.26953125" bestFit="1" customWidth="1"/>
    <col min="13" max="13" width="15.81640625" bestFit="1" customWidth="1"/>
    <col min="14" max="14" width="46.81640625" bestFit="1" customWidth="1"/>
    <col min="15" max="15" width="9.7265625" bestFit="1" customWidth="1"/>
    <col min="16" max="16" width="18.7265625" bestFit="1" customWidth="1"/>
    <col min="17" max="17" width="7.7265625" bestFit="1" customWidth="1"/>
    <col min="18" max="18" width="9.81640625" bestFit="1" customWidth="1"/>
    <col min="19" max="19" width="8.6328125" bestFit="1" customWidth="1"/>
    <col min="20" max="20" width="8.7265625" bestFit="1" customWidth="1"/>
    <col min="21" max="26" width="6.81640625" bestFit="1" customWidth="1"/>
    <col min="27" max="27" width="5.81640625" bestFit="1" customWidth="1"/>
    <col min="28" max="32" width="6.81640625" bestFit="1" customWidth="1"/>
    <col min="33" max="36" width="7.81640625" bestFit="1" customWidth="1"/>
    <col min="37" max="39" width="6.81640625" bestFit="1" customWidth="1"/>
    <col min="40" max="45" width="7.81640625" bestFit="1" customWidth="1"/>
    <col min="46" max="47" width="6.81640625" bestFit="1" customWidth="1"/>
    <col min="48" max="52" width="7.81640625" bestFit="1" customWidth="1"/>
    <col min="53" max="53" width="6.81640625" bestFit="1" customWidth="1"/>
    <col min="54" max="54" width="7.81640625" bestFit="1" customWidth="1"/>
    <col min="55" max="55" width="6.81640625" bestFit="1" customWidth="1"/>
    <col min="56" max="59" width="7.81640625" bestFit="1" customWidth="1"/>
    <col min="60" max="60" width="4.81640625" bestFit="1" customWidth="1"/>
    <col min="61" max="63" width="7.81640625" bestFit="1" customWidth="1"/>
    <col min="64" max="64" width="6.81640625" bestFit="1" customWidth="1"/>
    <col min="65" max="65" width="7.81640625" bestFit="1" customWidth="1"/>
    <col min="66" max="67" width="6.81640625" bestFit="1" customWidth="1"/>
    <col min="68" max="72" width="7.81640625" bestFit="1" customWidth="1"/>
    <col min="73" max="73" width="6.81640625" bestFit="1" customWidth="1"/>
    <col min="74" max="74" width="7.81640625" bestFit="1" customWidth="1"/>
    <col min="75" max="75" width="6.81640625" bestFit="1" customWidth="1"/>
    <col min="76" max="79" width="7.81640625" bestFit="1" customWidth="1"/>
    <col min="80" max="80" width="6.81640625" bestFit="1" customWidth="1"/>
    <col min="81" max="84" width="7.81640625" bestFit="1" customWidth="1"/>
    <col min="85" max="85" width="4.81640625" bestFit="1" customWidth="1"/>
    <col min="86" max="86" width="7.81640625" bestFit="1" customWidth="1"/>
    <col min="87" max="87" width="4.81640625" bestFit="1" customWidth="1"/>
    <col min="88" max="90" width="7.81640625" bestFit="1" customWidth="1"/>
    <col min="91" max="91" width="6.81640625" bestFit="1" customWidth="1"/>
    <col min="92" max="92" width="7.81640625" bestFit="1" customWidth="1"/>
    <col min="93" max="93" width="6.81640625" bestFit="1" customWidth="1"/>
    <col min="94" max="96" width="7.81640625" bestFit="1" customWidth="1"/>
    <col min="97" max="97" width="6.81640625" bestFit="1" customWidth="1"/>
    <col min="98" max="99" width="7.81640625" bestFit="1" customWidth="1"/>
    <col min="100" max="100" width="6.81640625" bestFit="1" customWidth="1"/>
    <col min="101" max="102" width="7.81640625" bestFit="1" customWidth="1"/>
    <col min="103" max="104" width="6.81640625" bestFit="1" customWidth="1"/>
    <col min="105" max="106" width="7.81640625" bestFit="1" customWidth="1"/>
    <col min="107" max="107" width="6.81640625" bestFit="1" customWidth="1"/>
    <col min="108" max="111" width="7.81640625" bestFit="1" customWidth="1"/>
    <col min="112" max="112" width="6.81640625" bestFit="1" customWidth="1"/>
    <col min="113" max="114" width="7.81640625" bestFit="1" customWidth="1"/>
    <col min="115" max="115" width="6.81640625" bestFit="1" customWidth="1"/>
    <col min="116" max="117" width="7.81640625" bestFit="1" customWidth="1"/>
    <col min="118" max="118" width="6.81640625" bestFit="1" customWidth="1"/>
    <col min="119" max="122" width="7.81640625" bestFit="1" customWidth="1"/>
    <col min="123" max="124" width="6.81640625" bestFit="1" customWidth="1"/>
    <col min="125" max="128" width="7.81640625" bestFit="1" customWidth="1"/>
    <col min="129" max="130" width="6.81640625" bestFit="1" customWidth="1"/>
    <col min="131" max="131" width="7.81640625" bestFit="1" customWidth="1"/>
    <col min="132" max="132" width="6.81640625" bestFit="1" customWidth="1"/>
    <col min="133" max="137" width="7.81640625" bestFit="1" customWidth="1"/>
    <col min="138" max="138" width="4.81640625" bestFit="1" customWidth="1"/>
    <col min="139" max="141" width="7.81640625" bestFit="1" customWidth="1"/>
    <col min="142" max="143" width="6.81640625" bestFit="1" customWidth="1"/>
    <col min="144" max="148" width="7.81640625" bestFit="1" customWidth="1"/>
    <col min="149" max="149" width="6.81640625" bestFit="1" customWidth="1"/>
    <col min="150" max="152" width="7.81640625" bestFit="1" customWidth="1"/>
    <col min="153" max="153" width="6.81640625" bestFit="1" customWidth="1"/>
    <col min="154" max="155" width="7.81640625" bestFit="1" customWidth="1"/>
    <col min="156" max="157" width="6.81640625" bestFit="1" customWidth="1"/>
    <col min="158" max="161" width="7.81640625" bestFit="1" customWidth="1"/>
    <col min="162" max="162" width="6.81640625" bestFit="1" customWidth="1"/>
    <col min="163" max="169" width="7.81640625" bestFit="1" customWidth="1"/>
    <col min="170" max="170" width="6.81640625" bestFit="1" customWidth="1"/>
    <col min="171" max="176" width="7.81640625" bestFit="1" customWidth="1"/>
    <col min="177" max="177" width="6.81640625" bestFit="1" customWidth="1"/>
    <col min="178" max="178" width="7.81640625" bestFit="1" customWidth="1"/>
    <col min="179" max="180" width="6.81640625" bestFit="1" customWidth="1"/>
    <col min="181" max="183" width="7.81640625" bestFit="1" customWidth="1"/>
    <col min="184" max="184" width="6.81640625" bestFit="1" customWidth="1"/>
    <col min="185" max="189" width="7.81640625" bestFit="1" customWidth="1"/>
    <col min="190" max="190" width="6.81640625" bestFit="1" customWidth="1"/>
    <col min="191" max="198" width="7.81640625" bestFit="1" customWidth="1"/>
    <col min="199" max="199" width="6.81640625" bestFit="1" customWidth="1"/>
    <col min="200" max="203" width="7.81640625" bestFit="1" customWidth="1"/>
    <col min="204" max="204" width="6.81640625" bestFit="1" customWidth="1"/>
    <col min="205" max="205" width="7.81640625" bestFit="1" customWidth="1"/>
    <col min="206" max="206" width="6.81640625" bestFit="1" customWidth="1"/>
    <col min="207" max="207" width="4.81640625" bestFit="1" customWidth="1"/>
    <col min="208" max="208" width="7.81640625" bestFit="1" customWidth="1"/>
    <col min="209" max="209" width="6.81640625" bestFit="1" customWidth="1"/>
    <col min="210" max="215" width="7.81640625" bestFit="1" customWidth="1"/>
    <col min="216" max="216" width="6.81640625" bestFit="1" customWidth="1"/>
    <col min="217" max="218" width="7.81640625" bestFit="1" customWidth="1"/>
    <col min="219" max="219" width="6.81640625" bestFit="1" customWidth="1"/>
    <col min="220" max="221" width="7.81640625" bestFit="1" customWidth="1"/>
    <col min="222" max="222" width="6.81640625" bestFit="1" customWidth="1"/>
    <col min="223" max="226" width="7.81640625" bestFit="1" customWidth="1"/>
    <col min="227" max="227" width="4.81640625" bestFit="1" customWidth="1"/>
    <col min="228" max="228" width="7.81640625" bestFit="1" customWidth="1"/>
    <col min="229" max="229" width="6.81640625" bestFit="1" customWidth="1"/>
    <col min="230" max="233" width="7.81640625" bestFit="1" customWidth="1"/>
    <col min="234" max="234" width="6.81640625" bestFit="1" customWidth="1"/>
    <col min="235" max="236" width="7.81640625" bestFit="1" customWidth="1"/>
    <col min="237" max="237" width="6.81640625" bestFit="1" customWidth="1"/>
    <col min="238" max="243" width="7.81640625" bestFit="1" customWidth="1"/>
    <col min="244" max="244" width="6.81640625" bestFit="1" customWidth="1"/>
    <col min="245" max="246" width="7.81640625" bestFit="1" customWidth="1"/>
    <col min="247" max="247" width="6.81640625" bestFit="1" customWidth="1"/>
    <col min="248" max="249" width="7.81640625" bestFit="1" customWidth="1"/>
    <col min="250" max="251" width="6.81640625" bestFit="1" customWidth="1"/>
    <col min="252" max="253" width="7.81640625" bestFit="1" customWidth="1"/>
    <col min="254" max="254" width="6.81640625" bestFit="1" customWidth="1"/>
    <col min="255" max="255" width="7.81640625" bestFit="1" customWidth="1"/>
    <col min="256" max="256" width="6.81640625" bestFit="1" customWidth="1"/>
    <col min="257" max="257" width="7.81640625" bestFit="1" customWidth="1"/>
    <col min="258" max="258" width="6.81640625" bestFit="1" customWidth="1"/>
    <col min="259" max="259" width="7.81640625" bestFit="1" customWidth="1"/>
    <col min="260" max="260" width="4.81640625" bestFit="1" customWidth="1"/>
    <col min="261" max="262" width="7.81640625" bestFit="1" customWidth="1"/>
    <col min="263" max="265" width="6.81640625" bestFit="1" customWidth="1"/>
    <col min="266" max="267" width="7.81640625" bestFit="1" customWidth="1"/>
    <col min="268" max="268" width="6.81640625" bestFit="1" customWidth="1"/>
    <col min="269" max="271" width="7.81640625" bestFit="1" customWidth="1"/>
    <col min="272" max="273" width="6.81640625" bestFit="1" customWidth="1"/>
    <col min="274" max="274" width="7.81640625" bestFit="1" customWidth="1"/>
    <col min="275" max="275" width="6.81640625" bestFit="1" customWidth="1"/>
    <col min="276" max="277" width="7.81640625" bestFit="1" customWidth="1"/>
    <col min="278" max="279" width="6.81640625" bestFit="1" customWidth="1"/>
    <col min="280" max="283" width="7.81640625" bestFit="1" customWidth="1"/>
    <col min="284" max="284" width="6.81640625" bestFit="1" customWidth="1"/>
    <col min="285" max="285" width="4.81640625" bestFit="1" customWidth="1"/>
    <col min="286" max="286" width="7.81640625" bestFit="1" customWidth="1"/>
    <col min="287" max="287" width="6.81640625" bestFit="1" customWidth="1"/>
    <col min="288" max="290" width="7.81640625" bestFit="1" customWidth="1"/>
    <col min="291" max="291" width="4.81640625" bestFit="1" customWidth="1"/>
    <col min="292" max="292" width="7.81640625" bestFit="1" customWidth="1"/>
    <col min="293" max="293" width="6.81640625" bestFit="1" customWidth="1"/>
    <col min="294" max="297" width="7.81640625" bestFit="1" customWidth="1"/>
    <col min="298" max="298" width="6.81640625" bestFit="1" customWidth="1"/>
    <col min="299" max="301" width="7.81640625" bestFit="1" customWidth="1"/>
    <col min="302" max="302" width="6.81640625" bestFit="1" customWidth="1"/>
    <col min="303" max="303" width="7.81640625" bestFit="1" customWidth="1"/>
    <col min="304" max="304" width="6.81640625" bestFit="1" customWidth="1"/>
    <col min="305" max="307" width="7.81640625" bestFit="1" customWidth="1"/>
    <col min="308" max="308" width="6.81640625" bestFit="1" customWidth="1"/>
    <col min="309" max="310" width="7.81640625" bestFit="1" customWidth="1"/>
    <col min="311" max="311" width="6.81640625" bestFit="1" customWidth="1"/>
    <col min="312" max="312" width="7.81640625" bestFit="1" customWidth="1"/>
    <col min="313" max="313" width="4.81640625" bestFit="1" customWidth="1"/>
    <col min="314" max="314" width="6.81640625" bestFit="1" customWidth="1"/>
    <col min="315" max="315" width="7.81640625" bestFit="1" customWidth="1"/>
    <col min="316" max="317" width="6.81640625" bestFit="1" customWidth="1"/>
    <col min="318" max="318" width="7.81640625" bestFit="1" customWidth="1"/>
    <col min="319" max="323" width="8.81640625" bestFit="1" customWidth="1"/>
    <col min="324" max="324" width="5.81640625" bestFit="1" customWidth="1"/>
    <col min="325" max="326" width="8.81640625" bestFit="1" customWidth="1"/>
    <col min="327" max="327" width="7.81640625" bestFit="1" customWidth="1"/>
    <col min="328" max="333" width="8.81640625" bestFit="1" customWidth="1"/>
    <col min="334" max="334" width="7.81640625" bestFit="1" customWidth="1"/>
    <col min="335" max="336" width="8.81640625" bestFit="1" customWidth="1"/>
    <col min="337" max="337" width="7.81640625" bestFit="1" customWidth="1"/>
    <col min="338" max="339" width="8.81640625" bestFit="1" customWidth="1"/>
    <col min="340" max="340" width="7.81640625" bestFit="1" customWidth="1"/>
    <col min="341" max="343" width="8.81640625" bestFit="1" customWidth="1"/>
    <col min="344" max="344" width="7.81640625" bestFit="1" customWidth="1"/>
    <col min="345" max="347" width="8.81640625" bestFit="1" customWidth="1"/>
    <col min="348" max="348" width="8.7265625" bestFit="1" customWidth="1"/>
    <col min="349" max="349" width="11" bestFit="1" customWidth="1"/>
    <col min="350" max="350" width="9.7265625" bestFit="1" customWidth="1"/>
    <col min="351" max="351" width="17.6328125" bestFit="1" customWidth="1"/>
    <col min="352" max="352" width="8.81640625" bestFit="1" customWidth="1"/>
    <col min="353" max="353" width="7.81640625" bestFit="1" customWidth="1"/>
    <col min="354" max="363" width="8.81640625" bestFit="1" customWidth="1"/>
    <col min="364" max="364" width="5.81640625" bestFit="1" customWidth="1"/>
    <col min="365" max="372" width="8.81640625" bestFit="1" customWidth="1"/>
    <col min="373" max="374" width="7.81640625" bestFit="1" customWidth="1"/>
    <col min="375" max="376" width="8.81640625" bestFit="1" customWidth="1"/>
    <col min="377" max="377" width="7.81640625" bestFit="1" customWidth="1"/>
    <col min="378" max="383" width="8.81640625" bestFit="1" customWidth="1"/>
    <col min="384" max="384" width="7.81640625" bestFit="1" customWidth="1"/>
    <col min="385" max="393" width="8.81640625" bestFit="1" customWidth="1"/>
    <col min="394" max="394" width="7.81640625" bestFit="1" customWidth="1"/>
    <col min="395" max="400" width="8.81640625" bestFit="1" customWidth="1"/>
    <col min="401" max="401" width="7.81640625" bestFit="1" customWidth="1"/>
    <col min="402" max="405" width="8.81640625" bestFit="1" customWidth="1"/>
    <col min="406" max="407" width="7.81640625" bestFit="1" customWidth="1"/>
    <col min="408" max="410" width="8.81640625" bestFit="1" customWidth="1"/>
    <col min="411" max="411" width="7.81640625" bestFit="1" customWidth="1"/>
    <col min="412" max="413" width="8.81640625" bestFit="1" customWidth="1"/>
    <col min="414" max="415" width="7.81640625" bestFit="1" customWidth="1"/>
    <col min="416" max="416" width="8.81640625" bestFit="1" customWidth="1"/>
    <col min="417" max="417" width="7.81640625" bestFit="1" customWidth="1"/>
    <col min="418" max="424" width="8.81640625" bestFit="1" customWidth="1"/>
    <col min="425" max="425" width="7.81640625" bestFit="1" customWidth="1"/>
    <col min="426" max="427" width="8.81640625" bestFit="1" customWidth="1"/>
    <col min="428" max="428" width="7.81640625" bestFit="1" customWidth="1"/>
    <col min="429" max="429" width="8.81640625" bestFit="1" customWidth="1"/>
    <col min="430" max="430" width="7.81640625" bestFit="1" customWidth="1"/>
    <col min="431" max="435" width="8.81640625" bestFit="1" customWidth="1"/>
    <col min="436" max="436" width="5.81640625" bestFit="1" customWidth="1"/>
    <col min="437" max="443" width="8.81640625" bestFit="1" customWidth="1"/>
    <col min="444" max="445" width="7.81640625" bestFit="1" customWidth="1"/>
    <col min="446" max="446" width="8.81640625" bestFit="1" customWidth="1"/>
    <col min="447" max="447" width="7.81640625" bestFit="1" customWidth="1"/>
    <col min="448" max="451" width="8.81640625" bestFit="1" customWidth="1"/>
    <col min="452" max="452" width="7.81640625" bestFit="1" customWidth="1"/>
    <col min="453" max="453" width="8.81640625" bestFit="1" customWidth="1"/>
    <col min="454" max="454" width="7.81640625" bestFit="1" customWidth="1"/>
    <col min="455" max="457" width="8.81640625" bestFit="1" customWidth="1"/>
    <col min="458" max="458" width="7.81640625" bestFit="1" customWidth="1"/>
    <col min="459" max="459" width="8.81640625" bestFit="1" customWidth="1"/>
    <col min="460" max="461" width="7.81640625" bestFit="1" customWidth="1"/>
    <col min="462" max="465" width="8.81640625" bestFit="1" customWidth="1"/>
    <col min="466" max="466" width="7.81640625" bestFit="1" customWidth="1"/>
    <col min="467" max="467" width="8.81640625" bestFit="1" customWidth="1"/>
    <col min="468" max="468" width="7.81640625" bestFit="1" customWidth="1"/>
    <col min="469" max="469" width="8.81640625" bestFit="1" customWidth="1"/>
    <col min="470" max="470" width="7.81640625" bestFit="1" customWidth="1"/>
    <col min="471" max="474" width="8.81640625" bestFit="1" customWidth="1"/>
    <col min="475" max="476" width="7.81640625" bestFit="1" customWidth="1"/>
    <col min="477" max="480" width="8.81640625" bestFit="1" customWidth="1"/>
    <col min="481" max="481" width="7.81640625" bestFit="1" customWidth="1"/>
    <col min="482" max="486" width="8.81640625" bestFit="1" customWidth="1"/>
    <col min="487" max="488" width="7.81640625" bestFit="1" customWidth="1"/>
    <col min="489" max="490" width="8.81640625" bestFit="1" customWidth="1"/>
    <col min="491" max="492" width="7.81640625" bestFit="1" customWidth="1"/>
    <col min="493" max="493" width="8.81640625" bestFit="1" customWidth="1"/>
    <col min="494" max="494" width="7.81640625" bestFit="1" customWidth="1"/>
    <col min="495" max="500" width="8.81640625" bestFit="1" customWidth="1"/>
    <col min="501" max="503" width="7.81640625" bestFit="1" customWidth="1"/>
    <col min="504" max="510" width="8.81640625" bestFit="1" customWidth="1"/>
    <col min="511" max="511" width="5.81640625" bestFit="1" customWidth="1"/>
    <col min="512" max="513" width="7.81640625" bestFit="1" customWidth="1"/>
    <col min="514" max="514" width="8.81640625" bestFit="1" customWidth="1"/>
    <col min="515" max="517" width="7.81640625" bestFit="1" customWidth="1"/>
    <col min="518" max="518" width="8.81640625" bestFit="1" customWidth="1"/>
    <col min="519" max="519" width="7.81640625" bestFit="1" customWidth="1"/>
    <col min="520" max="524" width="8.81640625" bestFit="1" customWidth="1"/>
    <col min="525" max="525" width="7.81640625" bestFit="1" customWidth="1"/>
    <col min="526" max="530" width="8.81640625" bestFit="1" customWidth="1"/>
    <col min="531" max="531" width="7.81640625" bestFit="1" customWidth="1"/>
    <col min="532" max="535" width="8.81640625" bestFit="1" customWidth="1"/>
    <col min="536" max="536" width="7.81640625" bestFit="1" customWidth="1"/>
    <col min="537" max="542" width="8.81640625" bestFit="1" customWidth="1"/>
    <col min="543" max="544" width="7.81640625" bestFit="1" customWidth="1"/>
    <col min="545" max="547" width="8.81640625" bestFit="1" customWidth="1"/>
    <col min="548" max="548" width="7.81640625" bestFit="1" customWidth="1"/>
    <col min="549" max="554" width="8.81640625" bestFit="1" customWidth="1"/>
    <col min="555" max="555" width="7.81640625" bestFit="1" customWidth="1"/>
    <col min="556" max="556" width="8.81640625" bestFit="1" customWidth="1"/>
    <col min="557" max="557" width="5.81640625" bestFit="1" customWidth="1"/>
    <col min="558" max="558" width="8.81640625" bestFit="1" customWidth="1"/>
    <col min="559" max="559" width="7.81640625" bestFit="1" customWidth="1"/>
    <col min="560" max="563" width="8.81640625" bestFit="1" customWidth="1"/>
    <col min="564" max="564" width="7.81640625" bestFit="1" customWidth="1"/>
    <col min="565" max="572" width="8.81640625" bestFit="1" customWidth="1"/>
    <col min="573" max="573" width="7.81640625" bestFit="1" customWidth="1"/>
    <col min="574" max="576" width="8.81640625" bestFit="1" customWidth="1"/>
    <col min="577" max="577" width="7.81640625" bestFit="1" customWidth="1"/>
    <col min="578" max="578" width="8.81640625" bestFit="1" customWidth="1"/>
    <col min="579" max="579" width="7.81640625" bestFit="1" customWidth="1"/>
    <col min="580" max="580" width="8.81640625" bestFit="1" customWidth="1"/>
    <col min="581" max="581" width="7.81640625" bestFit="1" customWidth="1"/>
    <col min="582" max="585" width="8.81640625" bestFit="1" customWidth="1"/>
    <col min="586" max="586" width="5.81640625" bestFit="1" customWidth="1"/>
    <col min="587" max="587" width="7.81640625" bestFit="1" customWidth="1"/>
    <col min="588" max="589" width="8.81640625" bestFit="1" customWidth="1"/>
    <col min="590" max="590" width="7.81640625" bestFit="1" customWidth="1"/>
    <col min="591" max="596" width="8.81640625" bestFit="1" customWidth="1"/>
    <col min="597" max="599" width="7.81640625" bestFit="1" customWidth="1"/>
    <col min="600" max="601" width="8.81640625" bestFit="1" customWidth="1"/>
    <col min="602" max="602" width="5.81640625" bestFit="1" customWidth="1"/>
    <col min="603" max="604" width="8.81640625" bestFit="1" customWidth="1"/>
    <col min="605" max="605" width="7.81640625" bestFit="1" customWidth="1"/>
    <col min="606" max="609" width="8.81640625" bestFit="1" customWidth="1"/>
    <col min="610" max="610" width="7.81640625" bestFit="1" customWidth="1"/>
    <col min="611" max="611" width="8.81640625" bestFit="1" customWidth="1"/>
    <col min="612" max="612" width="7.81640625" bestFit="1" customWidth="1"/>
    <col min="613" max="618" width="8.81640625" bestFit="1" customWidth="1"/>
    <col min="619" max="619" width="7.81640625" bestFit="1" customWidth="1"/>
    <col min="620" max="620" width="8.81640625" bestFit="1" customWidth="1"/>
    <col min="621" max="621" width="7.81640625" bestFit="1" customWidth="1"/>
    <col min="622" max="622" width="8.81640625" bestFit="1" customWidth="1"/>
    <col min="623" max="623" width="7.81640625" bestFit="1" customWidth="1"/>
    <col min="624" max="630" width="8.81640625" bestFit="1" customWidth="1"/>
    <col min="631" max="631" width="7.81640625" bestFit="1" customWidth="1"/>
    <col min="632" max="635" width="8.81640625" bestFit="1" customWidth="1"/>
    <col min="636" max="640" width="7.81640625" bestFit="1" customWidth="1"/>
    <col min="641" max="654" width="8.81640625" bestFit="1" customWidth="1"/>
    <col min="655" max="655" width="7.81640625" bestFit="1" customWidth="1"/>
    <col min="656" max="657" width="8.81640625" bestFit="1" customWidth="1"/>
    <col min="658" max="659" width="7.81640625" bestFit="1" customWidth="1"/>
    <col min="660" max="661" width="8.81640625" bestFit="1" customWidth="1"/>
    <col min="662" max="662" width="5.81640625" bestFit="1" customWidth="1"/>
    <col min="663" max="664" width="8.81640625" bestFit="1" customWidth="1"/>
    <col min="665" max="665" width="7.81640625" bestFit="1" customWidth="1"/>
    <col min="666" max="668" width="8.81640625" bestFit="1" customWidth="1"/>
    <col min="669" max="669" width="7.81640625" bestFit="1" customWidth="1"/>
    <col min="670" max="671" width="8.81640625" bestFit="1" customWidth="1"/>
    <col min="672" max="672" width="5.81640625" bestFit="1" customWidth="1"/>
    <col min="673" max="674" width="8.81640625" bestFit="1" customWidth="1"/>
    <col min="675" max="675" width="7.81640625" bestFit="1" customWidth="1"/>
    <col min="676" max="680" width="8.81640625" bestFit="1" customWidth="1"/>
    <col min="681" max="681" width="7.81640625" bestFit="1" customWidth="1"/>
    <col min="682" max="682" width="8.81640625" bestFit="1" customWidth="1"/>
    <col min="683" max="683" width="7.81640625" bestFit="1" customWidth="1"/>
    <col min="684" max="695" width="8.81640625" bestFit="1" customWidth="1"/>
    <col min="696" max="697" width="7.81640625" bestFit="1" customWidth="1"/>
    <col min="698" max="702" width="8.81640625" bestFit="1" customWidth="1"/>
    <col min="703" max="703" width="7.81640625" bestFit="1" customWidth="1"/>
    <col min="704" max="704" width="8.81640625" bestFit="1" customWidth="1"/>
    <col min="705" max="705" width="7.81640625" bestFit="1" customWidth="1"/>
    <col min="706" max="706" width="8.81640625" bestFit="1" customWidth="1"/>
    <col min="707" max="708" width="7.81640625" bestFit="1" customWidth="1"/>
    <col min="709" max="714" width="8.81640625" bestFit="1" customWidth="1"/>
    <col min="715" max="715" width="7.81640625" bestFit="1" customWidth="1"/>
    <col min="716" max="716" width="8.81640625" bestFit="1" customWidth="1"/>
    <col min="717" max="717" width="5.81640625" bestFit="1" customWidth="1"/>
    <col min="718" max="718" width="8.81640625" bestFit="1" customWidth="1"/>
    <col min="719" max="719" width="5.81640625" bestFit="1" customWidth="1"/>
    <col min="720" max="729" width="8.81640625" bestFit="1" customWidth="1"/>
    <col min="730" max="730" width="7.81640625" bestFit="1" customWidth="1"/>
    <col min="731" max="731" width="8.81640625" bestFit="1" customWidth="1"/>
    <col min="732" max="732" width="5.81640625" bestFit="1" customWidth="1"/>
    <col min="733" max="733" width="8.81640625" bestFit="1" customWidth="1"/>
    <col min="734" max="734" width="7.81640625" bestFit="1" customWidth="1"/>
    <col min="735" max="740" width="8.81640625" bestFit="1" customWidth="1"/>
    <col min="741" max="741" width="7.81640625" bestFit="1" customWidth="1"/>
    <col min="742" max="742" width="5.81640625" bestFit="1" customWidth="1"/>
    <col min="743" max="743" width="7.81640625" bestFit="1" customWidth="1"/>
    <col min="744" max="745" width="8.81640625" bestFit="1" customWidth="1"/>
    <col min="746" max="746" width="5.81640625" bestFit="1" customWidth="1"/>
    <col min="747" max="747" width="7.81640625" bestFit="1" customWidth="1"/>
    <col min="748" max="750" width="8.81640625" bestFit="1" customWidth="1"/>
    <col min="751" max="753" width="7.81640625" bestFit="1" customWidth="1"/>
    <col min="754" max="757" width="8.81640625" bestFit="1" customWidth="1"/>
    <col min="758" max="758" width="7.81640625" bestFit="1" customWidth="1"/>
    <col min="759" max="759" width="5.81640625" bestFit="1" customWidth="1"/>
    <col min="760" max="760" width="7.81640625" bestFit="1" customWidth="1"/>
    <col min="761" max="766" width="8.81640625" bestFit="1" customWidth="1"/>
    <col min="767" max="767" width="7.81640625" bestFit="1" customWidth="1"/>
    <col min="768" max="770" width="8.81640625" bestFit="1" customWidth="1"/>
    <col min="771" max="771" width="7.81640625" bestFit="1" customWidth="1"/>
    <col min="772" max="774" width="8.81640625" bestFit="1" customWidth="1"/>
    <col min="775" max="775" width="7.81640625" bestFit="1" customWidth="1"/>
    <col min="776" max="778" width="8.81640625" bestFit="1" customWidth="1"/>
    <col min="779" max="779" width="7.81640625" bestFit="1" customWidth="1"/>
    <col min="780" max="780" width="8.81640625" bestFit="1" customWidth="1"/>
    <col min="781" max="781" width="5.81640625" bestFit="1" customWidth="1"/>
    <col min="782" max="782" width="8.81640625" bestFit="1" customWidth="1"/>
    <col min="783" max="783" width="7.81640625" bestFit="1" customWidth="1"/>
    <col min="784" max="784" width="8.81640625" bestFit="1" customWidth="1"/>
    <col min="785" max="786" width="7.81640625" bestFit="1" customWidth="1"/>
    <col min="787" max="787" width="8.81640625" bestFit="1" customWidth="1"/>
    <col min="788" max="788" width="7.81640625" bestFit="1" customWidth="1"/>
    <col min="789" max="792" width="8.81640625" bestFit="1" customWidth="1"/>
    <col min="793" max="794" width="7.81640625" bestFit="1" customWidth="1"/>
    <col min="795" max="795" width="8.81640625" bestFit="1" customWidth="1"/>
    <col min="796" max="796" width="5.81640625" bestFit="1" customWidth="1"/>
    <col min="797" max="800" width="8.81640625" bestFit="1" customWidth="1"/>
    <col min="801" max="801" width="7.81640625" bestFit="1" customWidth="1"/>
    <col min="802" max="802" width="8.81640625" bestFit="1" customWidth="1"/>
    <col min="803" max="805" width="7.81640625" bestFit="1" customWidth="1"/>
    <col min="806" max="806" width="8.81640625" bestFit="1" customWidth="1"/>
    <col min="807" max="807" width="7.81640625" bestFit="1" customWidth="1"/>
    <col min="808" max="811" width="8.81640625" bestFit="1" customWidth="1"/>
    <col min="812" max="812" width="7.81640625" bestFit="1" customWidth="1"/>
    <col min="813" max="813" width="8.81640625" bestFit="1" customWidth="1"/>
    <col min="814" max="814" width="7.81640625" bestFit="1" customWidth="1"/>
    <col min="815" max="818" width="8.81640625" bestFit="1" customWidth="1"/>
    <col min="819" max="820" width="7.81640625" bestFit="1" customWidth="1"/>
    <col min="821" max="823" width="8.81640625" bestFit="1" customWidth="1"/>
    <col min="824" max="824" width="7.81640625" bestFit="1" customWidth="1"/>
    <col min="825" max="829" width="8.81640625" bestFit="1" customWidth="1"/>
    <col min="830" max="830" width="7.81640625" bestFit="1" customWidth="1"/>
    <col min="831" max="831" width="8.81640625" bestFit="1" customWidth="1"/>
    <col min="832" max="832" width="7.81640625" bestFit="1" customWidth="1"/>
    <col min="833" max="833" width="8.81640625" bestFit="1" customWidth="1"/>
    <col min="834" max="834" width="7.81640625" bestFit="1" customWidth="1"/>
    <col min="835" max="835" width="8.81640625" bestFit="1" customWidth="1"/>
    <col min="836" max="836" width="5.81640625" bestFit="1" customWidth="1"/>
    <col min="837" max="837" width="7.81640625" bestFit="1" customWidth="1"/>
    <col min="838" max="838" width="8.81640625" bestFit="1" customWidth="1"/>
    <col min="839" max="839" width="7.81640625" bestFit="1" customWidth="1"/>
    <col min="840" max="841" width="8.81640625" bestFit="1" customWidth="1"/>
    <col min="842" max="842" width="5.81640625" bestFit="1" customWidth="1"/>
    <col min="843" max="843" width="8.81640625" bestFit="1" customWidth="1"/>
    <col min="844" max="845" width="7.81640625" bestFit="1" customWidth="1"/>
    <col min="846" max="848" width="8.81640625" bestFit="1" customWidth="1"/>
    <col min="849" max="849" width="7.81640625" bestFit="1" customWidth="1"/>
    <col min="850" max="855" width="8.81640625" bestFit="1" customWidth="1"/>
    <col min="856" max="857" width="7.81640625" bestFit="1" customWidth="1"/>
    <col min="858" max="859" width="8.81640625" bestFit="1" customWidth="1"/>
    <col min="860" max="860" width="7.81640625" bestFit="1" customWidth="1"/>
    <col min="861" max="862" width="8.81640625" bestFit="1" customWidth="1"/>
    <col min="863" max="863" width="5.81640625" bestFit="1" customWidth="1"/>
    <col min="864" max="868" width="8.81640625" bestFit="1" customWidth="1"/>
    <col min="869" max="869" width="7.81640625" bestFit="1" customWidth="1"/>
    <col min="870" max="879" width="8.81640625" bestFit="1" customWidth="1"/>
    <col min="880" max="881" width="7.81640625" bestFit="1" customWidth="1"/>
    <col min="882" max="888" width="8.81640625" bestFit="1" customWidth="1"/>
    <col min="889" max="889" width="7.81640625" bestFit="1" customWidth="1"/>
    <col min="890" max="893" width="8.81640625" bestFit="1" customWidth="1"/>
    <col min="894" max="894" width="7.81640625" bestFit="1" customWidth="1"/>
    <col min="895" max="900" width="8.81640625" bestFit="1" customWidth="1"/>
    <col min="901" max="902" width="7.81640625" bestFit="1" customWidth="1"/>
    <col min="903" max="903" width="5.81640625" bestFit="1" customWidth="1"/>
    <col min="904" max="907" width="8.81640625" bestFit="1" customWidth="1"/>
    <col min="908" max="908" width="7.81640625" bestFit="1" customWidth="1"/>
    <col min="909" max="916" width="8.81640625" bestFit="1" customWidth="1"/>
    <col min="917" max="917" width="7.81640625" bestFit="1" customWidth="1"/>
    <col min="918" max="922" width="8.81640625" bestFit="1" customWidth="1"/>
    <col min="923" max="924" width="7.81640625" bestFit="1" customWidth="1"/>
    <col min="925" max="925" width="8.81640625" bestFit="1" customWidth="1"/>
    <col min="926" max="926" width="7.81640625" bestFit="1" customWidth="1"/>
    <col min="927" max="928" width="8.81640625" bestFit="1" customWidth="1"/>
    <col min="929" max="930" width="7.81640625" bestFit="1" customWidth="1"/>
    <col min="931" max="931" width="8.81640625" bestFit="1" customWidth="1"/>
    <col min="932" max="932" width="7.81640625" bestFit="1" customWidth="1"/>
    <col min="933" max="933" width="8.81640625" bestFit="1" customWidth="1"/>
    <col min="934" max="934" width="7.81640625" bestFit="1" customWidth="1"/>
    <col min="935" max="937" width="8.81640625" bestFit="1" customWidth="1"/>
    <col min="938" max="938" width="5.81640625" bestFit="1" customWidth="1"/>
    <col min="939" max="941" width="8.81640625" bestFit="1" customWidth="1"/>
    <col min="942" max="942" width="7.81640625" bestFit="1" customWidth="1"/>
    <col min="943" max="943" width="5.81640625" bestFit="1" customWidth="1"/>
    <col min="944" max="946" width="8.81640625" bestFit="1" customWidth="1"/>
    <col min="947" max="948" width="7.81640625" bestFit="1" customWidth="1"/>
    <col min="949" max="949" width="5.81640625" bestFit="1" customWidth="1"/>
    <col min="950" max="950" width="8.81640625" bestFit="1" customWidth="1"/>
    <col min="951" max="951" width="7.81640625" bestFit="1" customWidth="1"/>
    <col min="952" max="960" width="8.81640625" bestFit="1" customWidth="1"/>
    <col min="961" max="961" width="7.81640625" bestFit="1" customWidth="1"/>
    <col min="962" max="963" width="8.81640625" bestFit="1" customWidth="1"/>
    <col min="964" max="964" width="7.81640625" bestFit="1" customWidth="1"/>
    <col min="965" max="967" width="8.81640625" bestFit="1" customWidth="1"/>
    <col min="968" max="968" width="7.81640625" bestFit="1" customWidth="1"/>
    <col min="969" max="969" width="8.81640625" bestFit="1" customWidth="1"/>
    <col min="970" max="970" width="7.81640625" bestFit="1" customWidth="1"/>
    <col min="971" max="971" width="8.81640625" bestFit="1" customWidth="1"/>
    <col min="972" max="972" width="5.81640625" bestFit="1" customWidth="1"/>
    <col min="973" max="980" width="8.81640625" bestFit="1" customWidth="1"/>
    <col min="981" max="981" width="7.81640625" bestFit="1" customWidth="1"/>
    <col min="982" max="983" width="8.81640625" bestFit="1" customWidth="1"/>
    <col min="984" max="984" width="7.81640625" bestFit="1" customWidth="1"/>
    <col min="985" max="986" width="8.81640625" bestFit="1" customWidth="1"/>
    <col min="987" max="987" width="7.81640625" bestFit="1" customWidth="1"/>
    <col min="988" max="989" width="8.81640625" bestFit="1" customWidth="1"/>
    <col min="990" max="991" width="7.81640625" bestFit="1" customWidth="1"/>
    <col min="992" max="993" width="8.81640625" bestFit="1" customWidth="1"/>
    <col min="994" max="994" width="7.81640625" bestFit="1" customWidth="1"/>
    <col min="995" max="997" width="8.81640625" bestFit="1" customWidth="1"/>
    <col min="998" max="998" width="7.81640625" bestFit="1" customWidth="1"/>
    <col min="999" max="1000" width="8.81640625" bestFit="1" customWidth="1"/>
    <col min="1001" max="1001" width="7.81640625" bestFit="1" customWidth="1"/>
    <col min="1002" max="1003" width="8.81640625" bestFit="1" customWidth="1"/>
    <col min="1004" max="1004" width="7.81640625" bestFit="1" customWidth="1"/>
    <col min="1005" max="1006" width="8.81640625" bestFit="1" customWidth="1"/>
    <col min="1007" max="1007" width="7.81640625" bestFit="1" customWidth="1"/>
    <col min="1008" max="1008" width="5.81640625" bestFit="1" customWidth="1"/>
    <col min="1009" max="1010" width="8.81640625" bestFit="1" customWidth="1"/>
    <col min="1011" max="1012" width="5.81640625" bestFit="1" customWidth="1"/>
    <col min="1013" max="1013" width="10.7265625" bestFit="1" customWidth="1"/>
  </cols>
  <sheetData>
    <row r="1" spans="1:21" x14ac:dyDescent="0.35">
      <c r="A1" s="69" t="s">
        <v>202</v>
      </c>
      <c r="B1" s="69" t="s">
        <v>1</v>
      </c>
      <c r="C1" s="70" t="s">
        <v>2</v>
      </c>
      <c r="D1" s="70" t="s">
        <v>3</v>
      </c>
      <c r="E1" s="70" t="s">
        <v>4</v>
      </c>
      <c r="F1" s="70" t="s">
        <v>5</v>
      </c>
      <c r="G1" s="70" t="s">
        <v>6</v>
      </c>
      <c r="H1" s="70" t="s">
        <v>98</v>
      </c>
      <c r="I1" s="70" t="s">
        <v>7</v>
      </c>
      <c r="J1" s="70" t="s">
        <v>8</v>
      </c>
      <c r="K1" s="71" t="s">
        <v>9</v>
      </c>
    </row>
    <row r="2" spans="1:21" x14ac:dyDescent="0.35">
      <c r="A2" t="s">
        <v>203</v>
      </c>
      <c r="B2" s="1">
        <v>45609</v>
      </c>
      <c r="C2" t="s">
        <v>15</v>
      </c>
      <c r="D2" t="s">
        <v>19</v>
      </c>
      <c r="E2" t="s">
        <v>20</v>
      </c>
      <c r="F2" t="s">
        <v>21</v>
      </c>
      <c r="G2">
        <v>10</v>
      </c>
      <c r="H2" t="s">
        <v>195</v>
      </c>
      <c r="I2">
        <v>21</v>
      </c>
      <c r="J2">
        <v>267.32</v>
      </c>
      <c r="K2">
        <f t="shared" ref="K2:K65" si="0">G2*J2</f>
        <v>2673.2</v>
      </c>
      <c r="P2" s="66" t="s">
        <v>4</v>
      </c>
      <c r="Q2" s="66" t="s">
        <v>18</v>
      </c>
      <c r="R2" s="66" t="s">
        <v>35</v>
      </c>
      <c r="S2" s="66" t="s">
        <v>29</v>
      </c>
      <c r="T2" s="66" t="s">
        <v>21</v>
      </c>
      <c r="U2" s="66" t="s">
        <v>13</v>
      </c>
    </row>
    <row r="3" spans="1:21" x14ac:dyDescent="0.35">
      <c r="A3" t="s">
        <v>204</v>
      </c>
      <c r="B3" s="1">
        <v>45609</v>
      </c>
      <c r="C3" t="s">
        <v>15</v>
      </c>
      <c r="D3" t="s">
        <v>19</v>
      </c>
      <c r="E3" t="s">
        <v>20</v>
      </c>
      <c r="F3" t="s">
        <v>21</v>
      </c>
      <c r="G3">
        <v>1</v>
      </c>
      <c r="H3" t="s">
        <v>195</v>
      </c>
      <c r="I3">
        <v>21</v>
      </c>
      <c r="J3">
        <v>267.32</v>
      </c>
      <c r="K3">
        <f t="shared" si="0"/>
        <v>267.32</v>
      </c>
      <c r="O3" s="29"/>
      <c r="P3" t="s">
        <v>39</v>
      </c>
      <c r="Q3">
        <f>COUNTIFS($E:$E,$P3,$F:$F,Q$2)</f>
        <v>5</v>
      </c>
      <c r="R3">
        <f t="shared" ref="R3:U17" si="1">COUNTIFS($E:$E,$P3,$F:$F,R$2)</f>
        <v>16</v>
      </c>
      <c r="S3">
        <f t="shared" si="1"/>
        <v>17</v>
      </c>
      <c r="T3">
        <f t="shared" si="1"/>
        <v>19</v>
      </c>
      <c r="U3">
        <f t="shared" si="1"/>
        <v>17</v>
      </c>
    </row>
    <row r="4" spans="1:21" x14ac:dyDescent="0.35">
      <c r="A4" t="s">
        <v>205</v>
      </c>
      <c r="B4" s="1">
        <v>44949</v>
      </c>
      <c r="C4" t="s">
        <v>15</v>
      </c>
      <c r="D4" t="s">
        <v>19</v>
      </c>
      <c r="E4" t="s">
        <v>20</v>
      </c>
      <c r="F4" t="s">
        <v>21</v>
      </c>
      <c r="G4">
        <v>1</v>
      </c>
      <c r="H4" t="s">
        <v>96</v>
      </c>
      <c r="I4">
        <v>21</v>
      </c>
      <c r="J4">
        <v>267.32</v>
      </c>
      <c r="K4">
        <f t="shared" si="0"/>
        <v>267.32</v>
      </c>
      <c r="M4" s="68" t="s">
        <v>1251</v>
      </c>
      <c r="N4" s="68" t="s">
        <v>1252</v>
      </c>
      <c r="P4" t="s">
        <v>43</v>
      </c>
      <c r="Q4">
        <f t="shared" ref="Q4:Q17" si="2">COUNTIFS($E:$E,$P4,$F:$F,Q$2)</f>
        <v>20</v>
      </c>
      <c r="R4">
        <f t="shared" si="1"/>
        <v>11</v>
      </c>
      <c r="S4">
        <f t="shared" si="1"/>
        <v>13</v>
      </c>
      <c r="T4">
        <f t="shared" si="1"/>
        <v>22</v>
      </c>
      <c r="U4">
        <f t="shared" si="1"/>
        <v>13</v>
      </c>
    </row>
    <row r="5" spans="1:21" x14ac:dyDescent="0.35">
      <c r="A5" t="s">
        <v>206</v>
      </c>
      <c r="B5" s="1">
        <v>44976</v>
      </c>
      <c r="C5" t="s">
        <v>10</v>
      </c>
      <c r="D5" t="s">
        <v>38</v>
      </c>
      <c r="E5" t="s">
        <v>39</v>
      </c>
      <c r="F5" t="s">
        <v>21</v>
      </c>
      <c r="G5">
        <v>1</v>
      </c>
      <c r="H5" t="s">
        <v>37</v>
      </c>
      <c r="I5">
        <v>23</v>
      </c>
      <c r="J5">
        <v>302.02</v>
      </c>
      <c r="K5">
        <f t="shared" si="0"/>
        <v>302.02</v>
      </c>
      <c r="M5" t="s">
        <v>1250</v>
      </c>
      <c r="N5" t="s">
        <v>1253</v>
      </c>
      <c r="P5" t="s">
        <v>20</v>
      </c>
      <c r="Q5">
        <f t="shared" si="2"/>
        <v>13</v>
      </c>
      <c r="R5">
        <f t="shared" si="1"/>
        <v>9</v>
      </c>
      <c r="S5">
        <f t="shared" si="1"/>
        <v>8</v>
      </c>
      <c r="T5">
        <f t="shared" si="1"/>
        <v>14</v>
      </c>
      <c r="U5">
        <f t="shared" si="1"/>
        <v>13</v>
      </c>
    </row>
    <row r="6" spans="1:21" x14ac:dyDescent="0.35">
      <c r="A6" t="s">
        <v>207</v>
      </c>
      <c r="B6" s="1">
        <v>44976</v>
      </c>
      <c r="C6" t="s">
        <v>10</v>
      </c>
      <c r="D6" t="s">
        <v>38</v>
      </c>
      <c r="E6" t="s">
        <v>39</v>
      </c>
      <c r="F6" t="s">
        <v>21</v>
      </c>
      <c r="G6">
        <v>1</v>
      </c>
      <c r="H6" t="s">
        <v>96</v>
      </c>
      <c r="I6">
        <v>23</v>
      </c>
      <c r="J6">
        <v>302.02</v>
      </c>
      <c r="K6">
        <f t="shared" si="0"/>
        <v>302.02</v>
      </c>
      <c r="M6" t="s">
        <v>1254</v>
      </c>
      <c r="N6" t="s">
        <v>1255</v>
      </c>
      <c r="P6" t="s">
        <v>32</v>
      </c>
      <c r="Q6">
        <f t="shared" si="2"/>
        <v>16</v>
      </c>
      <c r="R6">
        <f t="shared" si="1"/>
        <v>15</v>
      </c>
      <c r="S6">
        <f t="shared" si="1"/>
        <v>20</v>
      </c>
      <c r="T6">
        <f t="shared" si="1"/>
        <v>14</v>
      </c>
      <c r="U6">
        <f t="shared" si="1"/>
        <v>15</v>
      </c>
    </row>
    <row r="7" spans="1:21" x14ac:dyDescent="0.35">
      <c r="A7" t="s">
        <v>208</v>
      </c>
      <c r="B7" s="1">
        <v>44955</v>
      </c>
      <c r="C7" t="s">
        <v>15</v>
      </c>
      <c r="D7" t="s">
        <v>16</v>
      </c>
      <c r="E7" t="s">
        <v>34</v>
      </c>
      <c r="F7" t="s">
        <v>35</v>
      </c>
      <c r="G7">
        <v>2</v>
      </c>
      <c r="H7" t="s">
        <v>36</v>
      </c>
      <c r="I7">
        <v>34</v>
      </c>
      <c r="J7">
        <v>161.19</v>
      </c>
      <c r="K7">
        <f t="shared" si="0"/>
        <v>322.38</v>
      </c>
      <c r="M7" t="s">
        <v>1256</v>
      </c>
      <c r="N7" t="s">
        <v>1257</v>
      </c>
      <c r="P7" t="s">
        <v>45</v>
      </c>
      <c r="Q7">
        <f t="shared" si="2"/>
        <v>12</v>
      </c>
      <c r="R7">
        <f t="shared" si="1"/>
        <v>10</v>
      </c>
      <c r="S7">
        <f t="shared" si="1"/>
        <v>11</v>
      </c>
      <c r="T7">
        <f t="shared" si="1"/>
        <v>13</v>
      </c>
      <c r="U7">
        <f t="shared" si="1"/>
        <v>6</v>
      </c>
    </row>
    <row r="8" spans="1:21" x14ac:dyDescent="0.35">
      <c r="A8" t="s">
        <v>209</v>
      </c>
      <c r="B8" s="1">
        <v>45180</v>
      </c>
      <c r="C8" t="s">
        <v>10</v>
      </c>
      <c r="D8" t="s">
        <v>11</v>
      </c>
      <c r="E8" t="s">
        <v>27</v>
      </c>
      <c r="F8" t="s">
        <v>18</v>
      </c>
      <c r="G8">
        <v>3</v>
      </c>
      <c r="H8" t="s">
        <v>28</v>
      </c>
      <c r="I8">
        <v>51</v>
      </c>
      <c r="J8">
        <v>116.58</v>
      </c>
      <c r="K8">
        <f t="shared" si="0"/>
        <v>349.74</v>
      </c>
      <c r="P8" t="s">
        <v>34</v>
      </c>
      <c r="Q8">
        <f t="shared" si="2"/>
        <v>15</v>
      </c>
      <c r="R8">
        <f t="shared" si="1"/>
        <v>13</v>
      </c>
      <c r="S8">
        <f t="shared" si="1"/>
        <v>16</v>
      </c>
      <c r="T8">
        <f t="shared" si="1"/>
        <v>17</v>
      </c>
      <c r="U8">
        <f t="shared" si="1"/>
        <v>14</v>
      </c>
    </row>
    <row r="9" spans="1:21" x14ac:dyDescent="0.35">
      <c r="A9" t="s">
        <v>210</v>
      </c>
      <c r="B9" s="1">
        <v>45159</v>
      </c>
      <c r="C9" t="s">
        <v>15</v>
      </c>
      <c r="D9" t="s">
        <v>19</v>
      </c>
      <c r="E9" t="s">
        <v>20</v>
      </c>
      <c r="F9" t="s">
        <v>18</v>
      </c>
      <c r="G9">
        <v>1</v>
      </c>
      <c r="H9" t="s">
        <v>31</v>
      </c>
      <c r="I9">
        <v>41</v>
      </c>
      <c r="J9">
        <v>421.27</v>
      </c>
      <c r="K9">
        <f t="shared" si="0"/>
        <v>421.27</v>
      </c>
      <c r="M9">
        <f>COUNTIFS(E:E,"Chennai",F:F,"Clothing")</f>
        <v>13</v>
      </c>
      <c r="P9" t="s">
        <v>44</v>
      </c>
      <c r="Q9">
        <f t="shared" si="2"/>
        <v>14</v>
      </c>
      <c r="R9">
        <f t="shared" si="1"/>
        <v>8</v>
      </c>
      <c r="S9">
        <f t="shared" si="1"/>
        <v>11</v>
      </c>
      <c r="T9">
        <f t="shared" si="1"/>
        <v>9</v>
      </c>
      <c r="U9">
        <f t="shared" si="1"/>
        <v>13</v>
      </c>
    </row>
    <row r="10" spans="1:21" x14ac:dyDescent="0.35">
      <c r="A10" t="s">
        <v>211</v>
      </c>
      <c r="B10" s="1">
        <v>45629</v>
      </c>
      <c r="C10" t="s">
        <v>23</v>
      </c>
      <c r="D10" t="s">
        <v>24</v>
      </c>
      <c r="E10" t="s">
        <v>25</v>
      </c>
      <c r="F10" t="s">
        <v>18</v>
      </c>
      <c r="G10">
        <v>3</v>
      </c>
      <c r="H10" t="s">
        <v>31</v>
      </c>
      <c r="I10">
        <v>36</v>
      </c>
      <c r="J10">
        <v>144.38999999999999</v>
      </c>
      <c r="K10">
        <f t="shared" si="0"/>
        <v>433.16999999999996</v>
      </c>
      <c r="P10" t="s">
        <v>22</v>
      </c>
      <c r="Q10">
        <f t="shared" si="2"/>
        <v>19</v>
      </c>
      <c r="R10">
        <f t="shared" si="1"/>
        <v>13</v>
      </c>
      <c r="S10">
        <f t="shared" si="1"/>
        <v>14</v>
      </c>
      <c r="T10">
        <f t="shared" si="1"/>
        <v>12</v>
      </c>
      <c r="U10">
        <f t="shared" si="1"/>
        <v>14</v>
      </c>
    </row>
    <row r="11" spans="1:21" x14ac:dyDescent="0.35">
      <c r="A11" t="s">
        <v>212</v>
      </c>
      <c r="B11" s="1">
        <v>45267</v>
      </c>
      <c r="C11" t="s">
        <v>23</v>
      </c>
      <c r="D11" t="s">
        <v>24</v>
      </c>
      <c r="E11" t="s">
        <v>25</v>
      </c>
      <c r="F11" t="s">
        <v>18</v>
      </c>
      <c r="G11">
        <v>3</v>
      </c>
      <c r="H11" t="s">
        <v>36</v>
      </c>
      <c r="I11">
        <v>36</v>
      </c>
      <c r="J11">
        <v>144.38999999999999</v>
      </c>
      <c r="K11">
        <f t="shared" si="0"/>
        <v>433.16999999999996</v>
      </c>
      <c r="P11" t="s">
        <v>12</v>
      </c>
      <c r="Q11">
        <f t="shared" si="2"/>
        <v>17</v>
      </c>
      <c r="R11">
        <f t="shared" si="1"/>
        <v>16</v>
      </c>
      <c r="S11">
        <f t="shared" si="1"/>
        <v>18</v>
      </c>
      <c r="T11">
        <f t="shared" si="1"/>
        <v>6</v>
      </c>
      <c r="U11">
        <f t="shared" si="1"/>
        <v>21</v>
      </c>
    </row>
    <row r="12" spans="1:21" x14ac:dyDescent="0.35">
      <c r="A12" t="s">
        <v>213</v>
      </c>
      <c r="B12" s="1">
        <v>45008</v>
      </c>
      <c r="C12" t="s">
        <v>23</v>
      </c>
      <c r="D12" t="s">
        <v>24</v>
      </c>
      <c r="E12" t="s">
        <v>25</v>
      </c>
      <c r="F12" t="s">
        <v>18</v>
      </c>
      <c r="G12">
        <v>2</v>
      </c>
      <c r="H12" t="s">
        <v>37</v>
      </c>
      <c r="I12">
        <v>20</v>
      </c>
      <c r="J12">
        <v>233.75</v>
      </c>
      <c r="K12">
        <f t="shared" si="0"/>
        <v>467.5</v>
      </c>
      <c r="P12" t="s">
        <v>17</v>
      </c>
      <c r="Q12">
        <f t="shared" si="2"/>
        <v>14</v>
      </c>
      <c r="R12">
        <f t="shared" si="1"/>
        <v>13</v>
      </c>
      <c r="S12">
        <f t="shared" si="1"/>
        <v>9</v>
      </c>
      <c r="T12">
        <f t="shared" si="1"/>
        <v>15</v>
      </c>
      <c r="U12">
        <f t="shared" si="1"/>
        <v>18</v>
      </c>
    </row>
    <row r="13" spans="1:21" x14ac:dyDescent="0.35">
      <c r="A13" t="s">
        <v>214</v>
      </c>
      <c r="B13" s="1">
        <v>45008</v>
      </c>
      <c r="C13" t="s">
        <v>23</v>
      </c>
      <c r="D13" t="s">
        <v>24</v>
      </c>
      <c r="E13" t="s">
        <v>25</v>
      </c>
      <c r="F13" t="s">
        <v>18</v>
      </c>
      <c r="G13">
        <v>2</v>
      </c>
      <c r="H13" t="s">
        <v>96</v>
      </c>
      <c r="I13">
        <v>20</v>
      </c>
      <c r="J13">
        <v>233.75</v>
      </c>
      <c r="K13">
        <f t="shared" si="0"/>
        <v>467.5</v>
      </c>
      <c r="P13" t="s">
        <v>27</v>
      </c>
      <c r="Q13">
        <f t="shared" si="2"/>
        <v>22</v>
      </c>
      <c r="R13">
        <f t="shared" si="1"/>
        <v>14</v>
      </c>
      <c r="S13">
        <f t="shared" si="1"/>
        <v>13</v>
      </c>
      <c r="T13">
        <f t="shared" si="1"/>
        <v>11</v>
      </c>
      <c r="U13">
        <f t="shared" si="1"/>
        <v>19</v>
      </c>
    </row>
    <row r="14" spans="1:21" x14ac:dyDescent="0.35">
      <c r="A14" t="s">
        <v>215</v>
      </c>
      <c r="B14" s="1">
        <v>45001</v>
      </c>
      <c r="C14" t="s">
        <v>10</v>
      </c>
      <c r="D14" t="s">
        <v>11</v>
      </c>
      <c r="E14" t="s">
        <v>12</v>
      </c>
      <c r="F14" t="s">
        <v>35</v>
      </c>
      <c r="G14">
        <v>1</v>
      </c>
      <c r="H14" t="s">
        <v>33</v>
      </c>
      <c r="I14">
        <v>26</v>
      </c>
      <c r="J14">
        <v>568.54999999999995</v>
      </c>
      <c r="K14">
        <f t="shared" si="0"/>
        <v>568.54999999999995</v>
      </c>
      <c r="P14" t="s">
        <v>25</v>
      </c>
      <c r="Q14">
        <f t="shared" si="2"/>
        <v>18</v>
      </c>
      <c r="R14">
        <f t="shared" si="1"/>
        <v>21</v>
      </c>
      <c r="S14">
        <f t="shared" si="1"/>
        <v>20</v>
      </c>
      <c r="T14">
        <f t="shared" si="1"/>
        <v>13</v>
      </c>
      <c r="U14">
        <f t="shared" si="1"/>
        <v>16</v>
      </c>
    </row>
    <row r="15" spans="1:21" x14ac:dyDescent="0.35">
      <c r="A15" t="s">
        <v>216</v>
      </c>
      <c r="B15" s="1">
        <v>45236</v>
      </c>
      <c r="C15" t="s">
        <v>15</v>
      </c>
      <c r="D15" t="s">
        <v>19</v>
      </c>
      <c r="E15" t="s">
        <v>22</v>
      </c>
      <c r="F15" t="s">
        <v>35</v>
      </c>
      <c r="G15">
        <v>1</v>
      </c>
      <c r="H15" t="s">
        <v>195</v>
      </c>
      <c r="I15">
        <v>48</v>
      </c>
      <c r="J15">
        <v>585.58000000000004</v>
      </c>
      <c r="K15">
        <f t="shared" si="0"/>
        <v>585.58000000000004</v>
      </c>
      <c r="P15" t="s">
        <v>41</v>
      </c>
      <c r="Q15">
        <f t="shared" si="2"/>
        <v>12</v>
      </c>
      <c r="R15">
        <f t="shared" si="1"/>
        <v>4</v>
      </c>
      <c r="S15">
        <f t="shared" si="1"/>
        <v>9</v>
      </c>
      <c r="T15">
        <f t="shared" si="1"/>
        <v>13</v>
      </c>
      <c r="U15">
        <f t="shared" si="1"/>
        <v>23</v>
      </c>
    </row>
    <row r="16" spans="1:21" x14ac:dyDescent="0.35">
      <c r="A16" t="s">
        <v>217</v>
      </c>
      <c r="B16" s="1">
        <v>44979</v>
      </c>
      <c r="C16" t="s">
        <v>15</v>
      </c>
      <c r="D16" t="s">
        <v>16</v>
      </c>
      <c r="E16" t="s">
        <v>43</v>
      </c>
      <c r="F16" t="s">
        <v>13</v>
      </c>
      <c r="G16">
        <v>2</v>
      </c>
      <c r="H16" t="s">
        <v>195</v>
      </c>
      <c r="I16">
        <v>18</v>
      </c>
      <c r="J16">
        <v>296.52999999999997</v>
      </c>
      <c r="K16">
        <f t="shared" si="0"/>
        <v>593.05999999999995</v>
      </c>
      <c r="P16" t="s">
        <v>42</v>
      </c>
      <c r="Q16">
        <f t="shared" si="2"/>
        <v>11</v>
      </c>
      <c r="R16">
        <f t="shared" si="1"/>
        <v>12</v>
      </c>
      <c r="S16">
        <f t="shared" si="1"/>
        <v>13</v>
      </c>
      <c r="T16">
        <f t="shared" si="1"/>
        <v>9</v>
      </c>
      <c r="U16">
        <f t="shared" si="1"/>
        <v>13</v>
      </c>
    </row>
    <row r="17" spans="1:21" x14ac:dyDescent="0.35">
      <c r="A17" t="s">
        <v>218</v>
      </c>
      <c r="B17" s="1">
        <v>45029</v>
      </c>
      <c r="C17" t="s">
        <v>15</v>
      </c>
      <c r="D17" t="s">
        <v>19</v>
      </c>
      <c r="E17" t="s">
        <v>32</v>
      </c>
      <c r="F17" t="s">
        <v>29</v>
      </c>
      <c r="G17">
        <v>1</v>
      </c>
      <c r="H17" t="s">
        <v>97</v>
      </c>
      <c r="I17">
        <v>31</v>
      </c>
      <c r="J17">
        <v>632.39</v>
      </c>
      <c r="K17">
        <f t="shared" si="0"/>
        <v>632.39</v>
      </c>
      <c r="P17" t="s">
        <v>40</v>
      </c>
      <c r="Q17">
        <f t="shared" si="2"/>
        <v>19</v>
      </c>
      <c r="R17">
        <f t="shared" si="1"/>
        <v>14</v>
      </c>
      <c r="S17">
        <f t="shared" si="1"/>
        <v>11</v>
      </c>
      <c r="T17">
        <f t="shared" si="1"/>
        <v>15</v>
      </c>
      <c r="U17">
        <f t="shared" si="1"/>
        <v>9</v>
      </c>
    </row>
    <row r="18" spans="1:21" x14ac:dyDescent="0.35">
      <c r="A18" t="s">
        <v>219</v>
      </c>
      <c r="B18" s="1">
        <v>45029</v>
      </c>
      <c r="C18" t="s">
        <v>15</v>
      </c>
      <c r="D18" t="s">
        <v>19</v>
      </c>
      <c r="E18" t="s">
        <v>32</v>
      </c>
      <c r="F18" t="s">
        <v>29</v>
      </c>
      <c r="G18">
        <v>1</v>
      </c>
      <c r="H18" t="s">
        <v>96</v>
      </c>
      <c r="I18">
        <v>31</v>
      </c>
      <c r="J18">
        <v>632.39</v>
      </c>
      <c r="K18">
        <f t="shared" si="0"/>
        <v>632.39</v>
      </c>
    </row>
    <row r="19" spans="1:21" x14ac:dyDescent="0.35">
      <c r="A19" t="s">
        <v>220</v>
      </c>
      <c r="B19" s="1">
        <v>45213</v>
      </c>
      <c r="C19" t="s">
        <v>15</v>
      </c>
      <c r="D19" t="s">
        <v>19</v>
      </c>
      <c r="E19" t="s">
        <v>22</v>
      </c>
      <c r="F19" t="s">
        <v>13</v>
      </c>
      <c r="G19">
        <v>1</v>
      </c>
      <c r="H19" t="s">
        <v>30</v>
      </c>
      <c r="I19">
        <v>49</v>
      </c>
      <c r="J19">
        <v>648.88</v>
      </c>
      <c r="K19">
        <f t="shared" si="0"/>
        <v>648.88</v>
      </c>
    </row>
    <row r="20" spans="1:21" x14ac:dyDescent="0.35">
      <c r="A20" t="s">
        <v>221</v>
      </c>
      <c r="B20" s="1">
        <v>45080</v>
      </c>
      <c r="C20" t="s">
        <v>15</v>
      </c>
      <c r="D20" t="s">
        <v>19</v>
      </c>
      <c r="E20" t="s">
        <v>20</v>
      </c>
      <c r="F20" t="s">
        <v>18</v>
      </c>
      <c r="G20">
        <v>1</v>
      </c>
      <c r="H20" t="s">
        <v>28</v>
      </c>
      <c r="I20">
        <v>39</v>
      </c>
      <c r="J20">
        <v>696.38</v>
      </c>
      <c r="K20">
        <f t="shared" si="0"/>
        <v>696.38</v>
      </c>
    </row>
    <row r="21" spans="1:21" x14ac:dyDescent="0.35">
      <c r="A21" t="s">
        <v>222</v>
      </c>
      <c r="B21" s="1">
        <v>45028</v>
      </c>
      <c r="C21" t="s">
        <v>23</v>
      </c>
      <c r="D21" t="s">
        <v>24</v>
      </c>
      <c r="E21" t="s">
        <v>25</v>
      </c>
      <c r="F21" t="s">
        <v>21</v>
      </c>
      <c r="G21">
        <v>5</v>
      </c>
      <c r="H21" t="s">
        <v>36</v>
      </c>
      <c r="I21">
        <v>31</v>
      </c>
      <c r="J21">
        <v>143.78</v>
      </c>
      <c r="K21">
        <f t="shared" si="0"/>
        <v>718.9</v>
      </c>
    </row>
    <row r="22" spans="1:21" x14ac:dyDescent="0.35">
      <c r="A22" t="s">
        <v>223</v>
      </c>
      <c r="B22" s="1">
        <v>45096</v>
      </c>
      <c r="C22" t="s">
        <v>10</v>
      </c>
      <c r="D22" t="s">
        <v>11</v>
      </c>
      <c r="E22" t="s">
        <v>27</v>
      </c>
      <c r="F22" t="s">
        <v>13</v>
      </c>
      <c r="G22">
        <v>3</v>
      </c>
      <c r="H22" t="s">
        <v>37</v>
      </c>
      <c r="I22">
        <v>40</v>
      </c>
      <c r="J22">
        <v>264.98</v>
      </c>
      <c r="K22">
        <f t="shared" si="0"/>
        <v>794.94</v>
      </c>
    </row>
    <row r="23" spans="1:21" x14ac:dyDescent="0.35">
      <c r="A23" t="s">
        <v>224</v>
      </c>
      <c r="B23" s="1">
        <v>45097</v>
      </c>
      <c r="C23" t="s">
        <v>23</v>
      </c>
      <c r="D23" t="s">
        <v>24</v>
      </c>
      <c r="E23" t="s">
        <v>25</v>
      </c>
      <c r="F23" t="s">
        <v>21</v>
      </c>
      <c r="G23">
        <v>1</v>
      </c>
      <c r="H23" t="s">
        <v>33</v>
      </c>
      <c r="I23">
        <v>26</v>
      </c>
      <c r="J23">
        <v>840.65</v>
      </c>
      <c r="K23">
        <f t="shared" si="0"/>
        <v>840.65</v>
      </c>
    </row>
    <row r="24" spans="1:21" x14ac:dyDescent="0.35">
      <c r="A24" t="s">
        <v>225</v>
      </c>
      <c r="B24" s="1">
        <v>45240</v>
      </c>
      <c r="C24" t="s">
        <v>10</v>
      </c>
      <c r="D24" t="s">
        <v>38</v>
      </c>
      <c r="E24" t="s">
        <v>39</v>
      </c>
      <c r="F24" t="s">
        <v>29</v>
      </c>
      <c r="G24">
        <v>5</v>
      </c>
      <c r="H24" t="s">
        <v>37</v>
      </c>
      <c r="I24">
        <v>28</v>
      </c>
      <c r="J24">
        <v>172.99</v>
      </c>
      <c r="K24">
        <f t="shared" si="0"/>
        <v>864.95</v>
      </c>
    </row>
    <row r="25" spans="1:21" x14ac:dyDescent="0.35">
      <c r="A25" t="s">
        <v>226</v>
      </c>
      <c r="B25" s="1">
        <v>45288</v>
      </c>
      <c r="C25" t="s">
        <v>15</v>
      </c>
      <c r="D25" t="s">
        <v>16</v>
      </c>
      <c r="E25" t="s">
        <v>34</v>
      </c>
      <c r="F25" t="s">
        <v>35</v>
      </c>
      <c r="G25">
        <v>1</v>
      </c>
      <c r="H25" t="s">
        <v>33</v>
      </c>
      <c r="I25">
        <v>25</v>
      </c>
      <c r="J25">
        <v>979.17</v>
      </c>
      <c r="K25">
        <f t="shared" si="0"/>
        <v>979.17</v>
      </c>
    </row>
    <row r="26" spans="1:21" x14ac:dyDescent="0.35">
      <c r="A26" t="s">
        <v>227</v>
      </c>
      <c r="B26" s="1">
        <v>45257</v>
      </c>
      <c r="C26" t="s">
        <v>10</v>
      </c>
      <c r="D26" t="s">
        <v>38</v>
      </c>
      <c r="E26" t="s">
        <v>40</v>
      </c>
      <c r="F26" t="s">
        <v>35</v>
      </c>
      <c r="G26">
        <v>1</v>
      </c>
      <c r="H26" t="s">
        <v>31</v>
      </c>
      <c r="I26">
        <v>51</v>
      </c>
      <c r="J26">
        <v>983.24</v>
      </c>
      <c r="K26">
        <f t="shared" si="0"/>
        <v>983.24</v>
      </c>
    </row>
    <row r="27" spans="1:21" x14ac:dyDescent="0.35">
      <c r="A27" t="s">
        <v>228</v>
      </c>
      <c r="B27" s="1">
        <v>45032</v>
      </c>
      <c r="C27" t="s">
        <v>23</v>
      </c>
      <c r="D27" t="s">
        <v>24</v>
      </c>
      <c r="E27" t="s">
        <v>45</v>
      </c>
      <c r="F27" t="s">
        <v>18</v>
      </c>
      <c r="G27">
        <v>2</v>
      </c>
      <c r="H27" t="s">
        <v>97</v>
      </c>
      <c r="I27">
        <v>31</v>
      </c>
      <c r="J27">
        <v>528.62</v>
      </c>
      <c r="K27">
        <f t="shared" si="0"/>
        <v>1057.24</v>
      </c>
    </row>
    <row r="28" spans="1:21" x14ac:dyDescent="0.35">
      <c r="A28" t="s">
        <v>229</v>
      </c>
      <c r="B28" s="1">
        <v>45257</v>
      </c>
      <c r="C28" t="s">
        <v>10</v>
      </c>
      <c r="D28" t="s">
        <v>11</v>
      </c>
      <c r="E28" t="s">
        <v>41</v>
      </c>
      <c r="F28" t="s">
        <v>13</v>
      </c>
      <c r="G28">
        <v>6</v>
      </c>
      <c r="H28" t="s">
        <v>37</v>
      </c>
      <c r="I28">
        <v>53</v>
      </c>
      <c r="J28">
        <v>177.34</v>
      </c>
      <c r="K28">
        <f t="shared" si="0"/>
        <v>1064.04</v>
      </c>
    </row>
    <row r="29" spans="1:21" x14ac:dyDescent="0.35">
      <c r="A29" t="s">
        <v>230</v>
      </c>
      <c r="B29" s="1">
        <v>45219</v>
      </c>
      <c r="C29" t="s">
        <v>23</v>
      </c>
      <c r="D29" t="s">
        <v>24</v>
      </c>
      <c r="E29" t="s">
        <v>45</v>
      </c>
      <c r="F29" t="s">
        <v>13</v>
      </c>
      <c r="G29">
        <v>5</v>
      </c>
      <c r="H29" t="s">
        <v>195</v>
      </c>
      <c r="I29">
        <v>42</v>
      </c>
      <c r="J29">
        <v>214.25</v>
      </c>
      <c r="K29">
        <f t="shared" si="0"/>
        <v>1071.25</v>
      </c>
    </row>
    <row r="30" spans="1:21" x14ac:dyDescent="0.35">
      <c r="A30" t="s">
        <v>231</v>
      </c>
      <c r="B30" s="1">
        <v>45156</v>
      </c>
      <c r="C30" t="s">
        <v>15</v>
      </c>
      <c r="D30" t="s">
        <v>19</v>
      </c>
      <c r="E30" t="s">
        <v>20</v>
      </c>
      <c r="F30" t="s">
        <v>21</v>
      </c>
      <c r="G30">
        <v>1</v>
      </c>
      <c r="H30" t="s">
        <v>31</v>
      </c>
      <c r="I30">
        <v>53</v>
      </c>
      <c r="J30">
        <v>1094.8800000000001</v>
      </c>
      <c r="K30">
        <f t="shared" si="0"/>
        <v>1094.8800000000001</v>
      </c>
    </row>
    <row r="31" spans="1:21" x14ac:dyDescent="0.35">
      <c r="A31" t="s">
        <v>232</v>
      </c>
      <c r="B31" s="1">
        <v>45126</v>
      </c>
      <c r="C31" t="s">
        <v>15</v>
      </c>
      <c r="D31" t="s">
        <v>16</v>
      </c>
      <c r="E31" t="s">
        <v>34</v>
      </c>
      <c r="F31" t="s">
        <v>18</v>
      </c>
      <c r="G31">
        <v>4</v>
      </c>
      <c r="H31" t="s">
        <v>30</v>
      </c>
      <c r="I31">
        <v>55</v>
      </c>
      <c r="J31">
        <v>277.45</v>
      </c>
      <c r="K31">
        <f t="shared" si="0"/>
        <v>1109.8</v>
      </c>
    </row>
    <row r="32" spans="1:21" x14ac:dyDescent="0.35">
      <c r="A32" t="s">
        <v>233</v>
      </c>
      <c r="B32" s="1">
        <v>45162</v>
      </c>
      <c r="C32" t="s">
        <v>10</v>
      </c>
      <c r="D32" t="s">
        <v>38</v>
      </c>
      <c r="E32" t="s">
        <v>40</v>
      </c>
      <c r="F32" t="s">
        <v>35</v>
      </c>
      <c r="G32">
        <v>3</v>
      </c>
      <c r="H32" t="s">
        <v>36</v>
      </c>
      <c r="I32">
        <v>53</v>
      </c>
      <c r="J32">
        <v>403.5</v>
      </c>
      <c r="K32">
        <f t="shared" si="0"/>
        <v>1210.5</v>
      </c>
    </row>
    <row r="33" spans="1:11" x14ac:dyDescent="0.35">
      <c r="A33" t="s">
        <v>234</v>
      </c>
      <c r="B33" s="1">
        <v>45052</v>
      </c>
      <c r="C33" t="s">
        <v>15</v>
      </c>
      <c r="D33" t="s">
        <v>16</v>
      </c>
      <c r="E33" t="s">
        <v>43</v>
      </c>
      <c r="F33" t="s">
        <v>18</v>
      </c>
      <c r="G33">
        <v>1</v>
      </c>
      <c r="H33" t="s">
        <v>14</v>
      </c>
      <c r="I33">
        <v>39</v>
      </c>
      <c r="J33">
        <v>1219.0999999999999</v>
      </c>
      <c r="K33">
        <f t="shared" si="0"/>
        <v>1219.0999999999999</v>
      </c>
    </row>
    <row r="34" spans="1:11" x14ac:dyDescent="0.35">
      <c r="A34" t="s">
        <v>235</v>
      </c>
      <c r="B34" s="1">
        <v>45228</v>
      </c>
      <c r="C34" t="s">
        <v>15</v>
      </c>
      <c r="D34" t="s">
        <v>19</v>
      </c>
      <c r="E34" t="s">
        <v>22</v>
      </c>
      <c r="F34" t="s">
        <v>21</v>
      </c>
      <c r="G34">
        <v>1</v>
      </c>
      <c r="H34" t="s">
        <v>96</v>
      </c>
      <c r="I34">
        <v>50</v>
      </c>
      <c r="J34">
        <v>1239.25</v>
      </c>
      <c r="K34">
        <f t="shared" si="0"/>
        <v>1239.25</v>
      </c>
    </row>
    <row r="35" spans="1:11" x14ac:dyDescent="0.35">
      <c r="A35" t="s">
        <v>236</v>
      </c>
      <c r="B35" s="1">
        <v>45206</v>
      </c>
      <c r="C35" t="s">
        <v>10</v>
      </c>
      <c r="D35" t="s">
        <v>38</v>
      </c>
      <c r="E35" t="s">
        <v>39</v>
      </c>
      <c r="F35" t="s">
        <v>21</v>
      </c>
      <c r="G35">
        <v>1</v>
      </c>
      <c r="H35" t="s">
        <v>30</v>
      </c>
      <c r="I35">
        <v>27</v>
      </c>
      <c r="J35">
        <v>1286.1099999999999</v>
      </c>
      <c r="K35">
        <f t="shared" si="0"/>
        <v>1286.1099999999999</v>
      </c>
    </row>
    <row r="36" spans="1:11" x14ac:dyDescent="0.35">
      <c r="A36" t="s">
        <v>237</v>
      </c>
      <c r="B36" s="1">
        <v>44940</v>
      </c>
      <c r="C36" t="s">
        <v>15</v>
      </c>
      <c r="D36" t="s">
        <v>16</v>
      </c>
      <c r="E36" t="s">
        <v>17</v>
      </c>
      <c r="F36" t="s">
        <v>35</v>
      </c>
      <c r="G36">
        <v>2</v>
      </c>
      <c r="H36" t="s">
        <v>36</v>
      </c>
      <c r="I36">
        <v>54</v>
      </c>
      <c r="J36">
        <v>659.83</v>
      </c>
      <c r="K36">
        <f t="shared" si="0"/>
        <v>1319.66</v>
      </c>
    </row>
    <row r="37" spans="1:11" x14ac:dyDescent="0.35">
      <c r="A37" t="s">
        <v>238</v>
      </c>
      <c r="B37" s="1">
        <v>45114</v>
      </c>
      <c r="C37" t="s">
        <v>15</v>
      </c>
      <c r="D37" t="s">
        <v>19</v>
      </c>
      <c r="E37" t="s">
        <v>32</v>
      </c>
      <c r="F37" t="s">
        <v>35</v>
      </c>
      <c r="G37">
        <v>1</v>
      </c>
      <c r="H37" t="s">
        <v>195</v>
      </c>
      <c r="I37">
        <v>34</v>
      </c>
      <c r="J37">
        <v>1355.14</v>
      </c>
      <c r="K37">
        <f t="shared" si="0"/>
        <v>1355.14</v>
      </c>
    </row>
    <row r="38" spans="1:11" x14ac:dyDescent="0.35">
      <c r="A38" t="s">
        <v>239</v>
      </c>
      <c r="B38" s="1">
        <v>45201</v>
      </c>
      <c r="C38" t="s">
        <v>23</v>
      </c>
      <c r="D38" t="s">
        <v>24</v>
      </c>
      <c r="E38" t="s">
        <v>45</v>
      </c>
      <c r="F38" t="s">
        <v>13</v>
      </c>
      <c r="G38">
        <v>11</v>
      </c>
      <c r="H38" t="s">
        <v>26</v>
      </c>
      <c r="I38">
        <v>32</v>
      </c>
      <c r="J38">
        <v>124.03</v>
      </c>
      <c r="K38">
        <f t="shared" si="0"/>
        <v>1364.33</v>
      </c>
    </row>
    <row r="39" spans="1:11" x14ac:dyDescent="0.35">
      <c r="A39" t="s">
        <v>240</v>
      </c>
      <c r="B39" s="1">
        <v>45274</v>
      </c>
      <c r="C39" t="s">
        <v>15</v>
      </c>
      <c r="D39" t="s">
        <v>19</v>
      </c>
      <c r="E39" t="s">
        <v>20</v>
      </c>
      <c r="F39" t="s">
        <v>29</v>
      </c>
      <c r="G39">
        <v>5</v>
      </c>
      <c r="H39" t="s">
        <v>96</v>
      </c>
      <c r="I39">
        <v>45</v>
      </c>
      <c r="J39">
        <v>278.31</v>
      </c>
      <c r="K39">
        <f t="shared" si="0"/>
        <v>1391.55</v>
      </c>
    </row>
    <row r="40" spans="1:11" x14ac:dyDescent="0.35">
      <c r="A40" t="s">
        <v>241</v>
      </c>
      <c r="B40" s="1">
        <v>45223</v>
      </c>
      <c r="C40" t="s">
        <v>15</v>
      </c>
      <c r="D40" t="s">
        <v>16</v>
      </c>
      <c r="E40" t="s">
        <v>43</v>
      </c>
      <c r="F40" t="s">
        <v>18</v>
      </c>
      <c r="G40">
        <v>3</v>
      </c>
      <c r="H40" t="s">
        <v>28</v>
      </c>
      <c r="I40">
        <v>24</v>
      </c>
      <c r="J40">
        <v>468.7</v>
      </c>
      <c r="K40">
        <f t="shared" si="0"/>
        <v>1406.1</v>
      </c>
    </row>
    <row r="41" spans="1:11" x14ac:dyDescent="0.35">
      <c r="A41" t="s">
        <v>242</v>
      </c>
      <c r="B41" s="1">
        <v>45028</v>
      </c>
      <c r="C41" t="s">
        <v>23</v>
      </c>
      <c r="D41" t="s">
        <v>24</v>
      </c>
      <c r="E41" t="s">
        <v>25</v>
      </c>
      <c r="F41" t="s">
        <v>29</v>
      </c>
      <c r="G41">
        <v>1</v>
      </c>
      <c r="H41" t="s">
        <v>96</v>
      </c>
      <c r="I41">
        <v>34</v>
      </c>
      <c r="J41">
        <v>1410.8</v>
      </c>
      <c r="K41">
        <f t="shared" si="0"/>
        <v>1410.8</v>
      </c>
    </row>
    <row r="42" spans="1:11" x14ac:dyDescent="0.35">
      <c r="A42" t="s">
        <v>243</v>
      </c>
      <c r="B42" s="1">
        <v>45004</v>
      </c>
      <c r="C42" t="s">
        <v>15</v>
      </c>
      <c r="D42" t="s">
        <v>19</v>
      </c>
      <c r="E42" t="s">
        <v>20</v>
      </c>
      <c r="F42" t="s">
        <v>29</v>
      </c>
      <c r="G42">
        <v>4</v>
      </c>
      <c r="H42" t="s">
        <v>30</v>
      </c>
      <c r="I42">
        <v>25</v>
      </c>
      <c r="J42">
        <v>366.33</v>
      </c>
      <c r="K42">
        <f t="shared" si="0"/>
        <v>1465.32</v>
      </c>
    </row>
    <row r="43" spans="1:11" x14ac:dyDescent="0.35">
      <c r="A43" t="s">
        <v>244</v>
      </c>
      <c r="B43" s="1">
        <v>45130</v>
      </c>
      <c r="C43" t="s">
        <v>10</v>
      </c>
      <c r="D43" t="s">
        <v>11</v>
      </c>
      <c r="E43" t="s">
        <v>27</v>
      </c>
      <c r="F43" t="s">
        <v>13</v>
      </c>
      <c r="G43">
        <v>2</v>
      </c>
      <c r="H43" t="s">
        <v>14</v>
      </c>
      <c r="I43">
        <v>46</v>
      </c>
      <c r="J43">
        <v>741.33</v>
      </c>
      <c r="K43">
        <f t="shared" si="0"/>
        <v>1482.66</v>
      </c>
    </row>
    <row r="44" spans="1:11" x14ac:dyDescent="0.35">
      <c r="A44" t="s">
        <v>245</v>
      </c>
      <c r="B44" s="1">
        <v>45288</v>
      </c>
      <c r="C44" t="s">
        <v>10</v>
      </c>
      <c r="D44" t="s">
        <v>11</v>
      </c>
      <c r="E44" t="s">
        <v>41</v>
      </c>
      <c r="F44" t="s">
        <v>13</v>
      </c>
      <c r="G44">
        <v>1</v>
      </c>
      <c r="H44" t="s">
        <v>36</v>
      </c>
      <c r="I44">
        <v>30</v>
      </c>
      <c r="J44">
        <v>1520.22</v>
      </c>
      <c r="K44">
        <f t="shared" si="0"/>
        <v>1520.22</v>
      </c>
    </row>
    <row r="45" spans="1:11" x14ac:dyDescent="0.35">
      <c r="A45" t="s">
        <v>246</v>
      </c>
      <c r="B45" s="1">
        <v>45231</v>
      </c>
      <c r="C45" t="s">
        <v>15</v>
      </c>
      <c r="D45" t="s">
        <v>19</v>
      </c>
      <c r="E45" t="s">
        <v>20</v>
      </c>
      <c r="F45" t="s">
        <v>18</v>
      </c>
      <c r="G45">
        <v>1</v>
      </c>
      <c r="H45" t="s">
        <v>36</v>
      </c>
      <c r="I45">
        <v>19</v>
      </c>
      <c r="J45">
        <v>1520.97</v>
      </c>
      <c r="K45">
        <f t="shared" si="0"/>
        <v>1520.97</v>
      </c>
    </row>
    <row r="46" spans="1:11" x14ac:dyDescent="0.35">
      <c r="A46" t="s">
        <v>247</v>
      </c>
      <c r="B46" s="1">
        <v>45127</v>
      </c>
      <c r="C46" t="s">
        <v>15</v>
      </c>
      <c r="D46" t="s">
        <v>19</v>
      </c>
      <c r="E46" t="s">
        <v>32</v>
      </c>
      <c r="F46" t="s">
        <v>35</v>
      </c>
      <c r="G46">
        <v>7</v>
      </c>
      <c r="H46" t="s">
        <v>36</v>
      </c>
      <c r="I46">
        <v>45</v>
      </c>
      <c r="J46">
        <v>222.61</v>
      </c>
      <c r="K46">
        <f t="shared" si="0"/>
        <v>1558.27</v>
      </c>
    </row>
    <row r="47" spans="1:11" x14ac:dyDescent="0.35">
      <c r="A47" t="s">
        <v>248</v>
      </c>
      <c r="B47" s="1">
        <v>44932</v>
      </c>
      <c r="C47" t="s">
        <v>15</v>
      </c>
      <c r="D47" t="s">
        <v>19</v>
      </c>
      <c r="E47" t="s">
        <v>20</v>
      </c>
      <c r="F47" t="s">
        <v>21</v>
      </c>
      <c r="G47">
        <v>2</v>
      </c>
      <c r="H47" t="s">
        <v>26</v>
      </c>
      <c r="I47">
        <v>48</v>
      </c>
      <c r="J47">
        <v>779.35</v>
      </c>
      <c r="K47">
        <f t="shared" si="0"/>
        <v>1558.7</v>
      </c>
    </row>
    <row r="48" spans="1:11" x14ac:dyDescent="0.35">
      <c r="A48" t="s">
        <v>249</v>
      </c>
      <c r="B48" s="1">
        <v>45082</v>
      </c>
      <c r="C48" t="s">
        <v>23</v>
      </c>
      <c r="D48" t="s">
        <v>24</v>
      </c>
      <c r="E48" t="s">
        <v>44</v>
      </c>
      <c r="F48" t="s">
        <v>35</v>
      </c>
      <c r="G48">
        <v>1</v>
      </c>
      <c r="H48" t="s">
        <v>195</v>
      </c>
      <c r="I48">
        <v>43</v>
      </c>
      <c r="J48">
        <v>1591.88</v>
      </c>
      <c r="K48">
        <f t="shared" si="0"/>
        <v>1591.88</v>
      </c>
    </row>
    <row r="49" spans="1:11" x14ac:dyDescent="0.35">
      <c r="A49" t="s">
        <v>250</v>
      </c>
      <c r="B49" s="1">
        <v>45132</v>
      </c>
      <c r="C49" t="s">
        <v>15</v>
      </c>
      <c r="D49" t="s">
        <v>16</v>
      </c>
      <c r="E49" t="s">
        <v>34</v>
      </c>
      <c r="F49" t="s">
        <v>18</v>
      </c>
      <c r="G49">
        <v>10</v>
      </c>
      <c r="H49" t="s">
        <v>97</v>
      </c>
      <c r="I49">
        <v>31</v>
      </c>
      <c r="J49">
        <v>159.27000000000001</v>
      </c>
      <c r="K49">
        <f t="shared" si="0"/>
        <v>1592.7</v>
      </c>
    </row>
    <row r="50" spans="1:11" x14ac:dyDescent="0.35">
      <c r="A50" t="s">
        <v>251</v>
      </c>
      <c r="B50" s="1">
        <v>45197</v>
      </c>
      <c r="C50" t="s">
        <v>15</v>
      </c>
      <c r="D50" t="s">
        <v>19</v>
      </c>
      <c r="E50" t="s">
        <v>22</v>
      </c>
      <c r="F50" t="s">
        <v>18</v>
      </c>
      <c r="G50">
        <v>11</v>
      </c>
      <c r="H50" t="s">
        <v>26</v>
      </c>
      <c r="I50">
        <v>24</v>
      </c>
      <c r="J50">
        <v>146.47</v>
      </c>
      <c r="K50">
        <f t="shared" si="0"/>
        <v>1611.17</v>
      </c>
    </row>
    <row r="51" spans="1:11" x14ac:dyDescent="0.35">
      <c r="A51" t="s">
        <v>252</v>
      </c>
      <c r="B51" s="1">
        <v>45167</v>
      </c>
      <c r="C51" t="s">
        <v>10</v>
      </c>
      <c r="D51" t="s">
        <v>11</v>
      </c>
      <c r="E51" t="s">
        <v>12</v>
      </c>
      <c r="F51" t="s">
        <v>13</v>
      </c>
      <c r="G51">
        <v>2</v>
      </c>
      <c r="H51" t="s">
        <v>36</v>
      </c>
      <c r="I51">
        <v>22</v>
      </c>
      <c r="J51">
        <v>816.12</v>
      </c>
      <c r="K51">
        <f t="shared" si="0"/>
        <v>1632.24</v>
      </c>
    </row>
    <row r="52" spans="1:11" x14ac:dyDescent="0.35">
      <c r="A52" t="s">
        <v>253</v>
      </c>
      <c r="B52" s="1">
        <v>45168</v>
      </c>
      <c r="C52" t="s">
        <v>23</v>
      </c>
      <c r="D52" t="s">
        <v>24</v>
      </c>
      <c r="E52" t="s">
        <v>25</v>
      </c>
      <c r="F52" t="s">
        <v>21</v>
      </c>
      <c r="G52">
        <v>5</v>
      </c>
      <c r="H52" t="s">
        <v>28</v>
      </c>
      <c r="I52">
        <v>30</v>
      </c>
      <c r="J52">
        <v>334.29</v>
      </c>
      <c r="K52">
        <f t="shared" si="0"/>
        <v>1671.45</v>
      </c>
    </row>
    <row r="53" spans="1:11" x14ac:dyDescent="0.35">
      <c r="A53" t="s">
        <v>254</v>
      </c>
      <c r="B53" s="1">
        <v>45071</v>
      </c>
      <c r="C53" t="s">
        <v>15</v>
      </c>
      <c r="D53" t="s">
        <v>19</v>
      </c>
      <c r="E53" t="s">
        <v>22</v>
      </c>
      <c r="F53" t="s">
        <v>21</v>
      </c>
      <c r="G53">
        <v>4</v>
      </c>
      <c r="H53" t="s">
        <v>37</v>
      </c>
      <c r="I53">
        <v>46</v>
      </c>
      <c r="J53">
        <v>430.91</v>
      </c>
      <c r="K53">
        <f t="shared" si="0"/>
        <v>1723.64</v>
      </c>
    </row>
    <row r="54" spans="1:11" x14ac:dyDescent="0.35">
      <c r="A54" t="s">
        <v>255</v>
      </c>
      <c r="B54" s="1">
        <v>45010</v>
      </c>
      <c r="C54" t="s">
        <v>23</v>
      </c>
      <c r="D54" t="s">
        <v>24</v>
      </c>
      <c r="E54" t="s">
        <v>25</v>
      </c>
      <c r="F54" t="s">
        <v>21</v>
      </c>
      <c r="G54">
        <v>4</v>
      </c>
      <c r="H54" t="s">
        <v>30</v>
      </c>
      <c r="I54">
        <v>31</v>
      </c>
      <c r="J54">
        <v>431.75</v>
      </c>
      <c r="K54">
        <f t="shared" si="0"/>
        <v>1727</v>
      </c>
    </row>
    <row r="55" spans="1:11" x14ac:dyDescent="0.35">
      <c r="A55" t="s">
        <v>256</v>
      </c>
      <c r="B55" s="1">
        <v>45186</v>
      </c>
      <c r="C55" t="s">
        <v>23</v>
      </c>
      <c r="D55" t="s">
        <v>24</v>
      </c>
      <c r="E55" t="s">
        <v>25</v>
      </c>
      <c r="F55" t="s">
        <v>18</v>
      </c>
      <c r="G55">
        <v>7</v>
      </c>
      <c r="H55" t="s">
        <v>14</v>
      </c>
      <c r="I55">
        <v>48</v>
      </c>
      <c r="J55">
        <v>252.75</v>
      </c>
      <c r="K55">
        <f t="shared" si="0"/>
        <v>1769.25</v>
      </c>
    </row>
    <row r="56" spans="1:11" x14ac:dyDescent="0.35">
      <c r="A56" t="s">
        <v>257</v>
      </c>
      <c r="B56" s="1">
        <v>45106</v>
      </c>
      <c r="C56" t="s">
        <v>23</v>
      </c>
      <c r="D56" t="s">
        <v>24</v>
      </c>
      <c r="E56" t="s">
        <v>45</v>
      </c>
      <c r="F56" t="s">
        <v>18</v>
      </c>
      <c r="G56">
        <v>1</v>
      </c>
      <c r="H56" t="s">
        <v>14</v>
      </c>
      <c r="I56">
        <v>18</v>
      </c>
      <c r="J56">
        <v>1793.18</v>
      </c>
      <c r="K56">
        <f t="shared" si="0"/>
        <v>1793.18</v>
      </c>
    </row>
    <row r="57" spans="1:11" x14ac:dyDescent="0.35">
      <c r="A57" t="s">
        <v>258</v>
      </c>
      <c r="B57" s="1">
        <v>45080</v>
      </c>
      <c r="C57" t="s">
        <v>15</v>
      </c>
      <c r="D57" t="s">
        <v>16</v>
      </c>
      <c r="E57" t="s">
        <v>43</v>
      </c>
      <c r="F57" t="s">
        <v>18</v>
      </c>
      <c r="G57">
        <v>9</v>
      </c>
      <c r="H57" t="s">
        <v>14</v>
      </c>
      <c r="I57">
        <v>31</v>
      </c>
      <c r="J57">
        <v>203.38</v>
      </c>
      <c r="K57">
        <f t="shared" si="0"/>
        <v>1830.42</v>
      </c>
    </row>
    <row r="58" spans="1:11" x14ac:dyDescent="0.35">
      <c r="A58" t="s">
        <v>259</v>
      </c>
      <c r="B58" s="1">
        <v>45016</v>
      </c>
      <c r="C58" t="s">
        <v>10</v>
      </c>
      <c r="D58" t="s">
        <v>11</v>
      </c>
      <c r="E58" t="s">
        <v>41</v>
      </c>
      <c r="F58" t="s">
        <v>21</v>
      </c>
      <c r="G58">
        <v>1</v>
      </c>
      <c r="H58" t="s">
        <v>14</v>
      </c>
      <c r="I58">
        <v>41</v>
      </c>
      <c r="J58">
        <v>1889.5</v>
      </c>
      <c r="K58">
        <f t="shared" si="0"/>
        <v>1889.5</v>
      </c>
    </row>
    <row r="59" spans="1:11" x14ac:dyDescent="0.35">
      <c r="A59" t="s">
        <v>260</v>
      </c>
      <c r="B59" s="1">
        <v>44969</v>
      </c>
      <c r="C59" t="s">
        <v>10</v>
      </c>
      <c r="D59" t="s">
        <v>38</v>
      </c>
      <c r="E59" t="s">
        <v>39</v>
      </c>
      <c r="F59" t="s">
        <v>29</v>
      </c>
      <c r="G59">
        <v>1</v>
      </c>
      <c r="H59" t="s">
        <v>28</v>
      </c>
      <c r="I59">
        <v>46</v>
      </c>
      <c r="J59">
        <v>1898.15</v>
      </c>
      <c r="K59">
        <f t="shared" si="0"/>
        <v>1898.15</v>
      </c>
    </row>
    <row r="60" spans="1:11" x14ac:dyDescent="0.35">
      <c r="A60" t="s">
        <v>261</v>
      </c>
      <c r="B60" s="1">
        <v>45155</v>
      </c>
      <c r="C60" t="s">
        <v>15</v>
      </c>
      <c r="D60" t="s">
        <v>16</v>
      </c>
      <c r="E60" t="s">
        <v>43</v>
      </c>
      <c r="F60" t="s">
        <v>18</v>
      </c>
      <c r="G60">
        <v>8</v>
      </c>
      <c r="H60" t="s">
        <v>14</v>
      </c>
      <c r="I60">
        <v>16</v>
      </c>
      <c r="J60">
        <v>244.6</v>
      </c>
      <c r="K60">
        <f t="shared" si="0"/>
        <v>1956.8</v>
      </c>
    </row>
    <row r="61" spans="1:11" x14ac:dyDescent="0.35">
      <c r="A61" t="s">
        <v>262</v>
      </c>
      <c r="B61" s="1">
        <v>45013</v>
      </c>
      <c r="C61" t="s">
        <v>23</v>
      </c>
      <c r="D61" t="s">
        <v>24</v>
      </c>
      <c r="E61" t="s">
        <v>25</v>
      </c>
      <c r="F61" t="s">
        <v>35</v>
      </c>
      <c r="G61">
        <v>1</v>
      </c>
      <c r="H61" t="s">
        <v>36</v>
      </c>
      <c r="I61">
        <v>23</v>
      </c>
      <c r="J61">
        <v>1967.8</v>
      </c>
      <c r="K61">
        <f t="shared" si="0"/>
        <v>1967.8</v>
      </c>
    </row>
    <row r="62" spans="1:11" x14ac:dyDescent="0.35">
      <c r="A62" t="s">
        <v>263</v>
      </c>
      <c r="B62" s="1">
        <v>45192</v>
      </c>
      <c r="C62" t="s">
        <v>10</v>
      </c>
      <c r="D62" t="s">
        <v>38</v>
      </c>
      <c r="E62" t="s">
        <v>40</v>
      </c>
      <c r="F62" t="s">
        <v>29</v>
      </c>
      <c r="G62">
        <v>7</v>
      </c>
      <c r="H62" t="s">
        <v>195</v>
      </c>
      <c r="I62">
        <v>34</v>
      </c>
      <c r="J62">
        <v>281.29000000000002</v>
      </c>
      <c r="K62">
        <f t="shared" si="0"/>
        <v>1969.0300000000002</v>
      </c>
    </row>
    <row r="63" spans="1:11" x14ac:dyDescent="0.35">
      <c r="A63" t="s">
        <v>264</v>
      </c>
      <c r="B63" s="1">
        <v>45184</v>
      </c>
      <c r="C63" t="s">
        <v>23</v>
      </c>
      <c r="D63" t="s">
        <v>24</v>
      </c>
      <c r="E63" t="s">
        <v>44</v>
      </c>
      <c r="F63" t="s">
        <v>21</v>
      </c>
      <c r="G63">
        <v>1</v>
      </c>
      <c r="H63" t="s">
        <v>96</v>
      </c>
      <c r="I63">
        <v>52</v>
      </c>
      <c r="J63">
        <v>1981.82</v>
      </c>
      <c r="K63">
        <f t="shared" si="0"/>
        <v>1981.82</v>
      </c>
    </row>
    <row r="64" spans="1:11" x14ac:dyDescent="0.35">
      <c r="A64" t="s">
        <v>265</v>
      </c>
      <c r="B64" s="1">
        <v>45226</v>
      </c>
      <c r="C64" t="s">
        <v>10</v>
      </c>
      <c r="D64" t="s">
        <v>11</v>
      </c>
      <c r="E64" t="s">
        <v>41</v>
      </c>
      <c r="F64" t="s">
        <v>21</v>
      </c>
      <c r="G64">
        <v>1</v>
      </c>
      <c r="H64" t="s">
        <v>97</v>
      </c>
      <c r="I64">
        <v>45</v>
      </c>
      <c r="J64">
        <v>1999.98</v>
      </c>
      <c r="K64">
        <f t="shared" si="0"/>
        <v>1999.98</v>
      </c>
    </row>
    <row r="65" spans="1:11" x14ac:dyDescent="0.35">
      <c r="A65" t="s">
        <v>266</v>
      </c>
      <c r="B65" s="1">
        <v>45232</v>
      </c>
      <c r="C65" t="s">
        <v>15</v>
      </c>
      <c r="D65" t="s">
        <v>16</v>
      </c>
      <c r="E65" t="s">
        <v>17</v>
      </c>
      <c r="F65" t="s">
        <v>18</v>
      </c>
      <c r="G65">
        <v>9</v>
      </c>
      <c r="H65" t="s">
        <v>30</v>
      </c>
      <c r="I65">
        <v>52</v>
      </c>
      <c r="J65">
        <v>228.49</v>
      </c>
      <c r="K65">
        <f t="shared" si="0"/>
        <v>2056.41</v>
      </c>
    </row>
    <row r="66" spans="1:11" x14ac:dyDescent="0.35">
      <c r="A66" t="s">
        <v>267</v>
      </c>
      <c r="B66" s="1">
        <v>45037</v>
      </c>
      <c r="C66" t="s">
        <v>15</v>
      </c>
      <c r="D66" t="s">
        <v>19</v>
      </c>
      <c r="E66" t="s">
        <v>32</v>
      </c>
      <c r="F66" t="s">
        <v>13</v>
      </c>
      <c r="G66">
        <v>7</v>
      </c>
      <c r="H66" t="s">
        <v>28</v>
      </c>
      <c r="I66">
        <v>34</v>
      </c>
      <c r="J66">
        <v>299.68</v>
      </c>
      <c r="K66">
        <f t="shared" ref="K66:K129" si="3">G66*J66</f>
        <v>2097.7600000000002</v>
      </c>
    </row>
    <row r="67" spans="1:11" x14ac:dyDescent="0.35">
      <c r="A67" t="s">
        <v>268</v>
      </c>
      <c r="B67" s="1">
        <v>45063</v>
      </c>
      <c r="C67" t="s">
        <v>15</v>
      </c>
      <c r="D67" t="s">
        <v>16</v>
      </c>
      <c r="E67" t="s">
        <v>43</v>
      </c>
      <c r="F67" t="s">
        <v>13</v>
      </c>
      <c r="G67">
        <v>2</v>
      </c>
      <c r="H67" t="s">
        <v>28</v>
      </c>
      <c r="I67">
        <v>34</v>
      </c>
      <c r="J67">
        <v>1063.3499999999999</v>
      </c>
      <c r="K67">
        <f t="shared" si="3"/>
        <v>2126.6999999999998</v>
      </c>
    </row>
    <row r="68" spans="1:11" x14ac:dyDescent="0.35">
      <c r="A68" t="s">
        <v>269</v>
      </c>
      <c r="B68" s="1">
        <v>45044</v>
      </c>
      <c r="C68" t="s">
        <v>23</v>
      </c>
      <c r="D68" t="s">
        <v>24</v>
      </c>
      <c r="E68" t="s">
        <v>45</v>
      </c>
      <c r="F68" t="s">
        <v>21</v>
      </c>
      <c r="G68">
        <v>5</v>
      </c>
      <c r="H68" t="s">
        <v>97</v>
      </c>
      <c r="I68">
        <v>24</v>
      </c>
      <c r="J68">
        <v>438.69</v>
      </c>
      <c r="K68">
        <f t="shared" si="3"/>
        <v>2193.4499999999998</v>
      </c>
    </row>
    <row r="69" spans="1:11" x14ac:dyDescent="0.35">
      <c r="A69" t="s">
        <v>270</v>
      </c>
      <c r="B69" s="1">
        <v>45274</v>
      </c>
      <c r="C69" t="s">
        <v>15</v>
      </c>
      <c r="D69" t="s">
        <v>16</v>
      </c>
      <c r="E69" t="s">
        <v>43</v>
      </c>
      <c r="F69" t="s">
        <v>29</v>
      </c>
      <c r="G69">
        <v>10</v>
      </c>
      <c r="H69" t="s">
        <v>37</v>
      </c>
      <c r="I69">
        <v>20</v>
      </c>
      <c r="J69">
        <v>222.55</v>
      </c>
      <c r="K69">
        <f t="shared" si="3"/>
        <v>2225.5</v>
      </c>
    </row>
    <row r="70" spans="1:11" x14ac:dyDescent="0.35">
      <c r="A70" t="s">
        <v>271</v>
      </c>
      <c r="B70" s="1">
        <v>45249</v>
      </c>
      <c r="C70" t="s">
        <v>10</v>
      </c>
      <c r="D70" t="s">
        <v>38</v>
      </c>
      <c r="E70" t="s">
        <v>40</v>
      </c>
      <c r="F70" t="s">
        <v>13</v>
      </c>
      <c r="G70">
        <v>12</v>
      </c>
      <c r="H70" t="s">
        <v>28</v>
      </c>
      <c r="I70">
        <v>44</v>
      </c>
      <c r="J70">
        <v>186.62</v>
      </c>
      <c r="K70">
        <f t="shared" si="3"/>
        <v>2239.44</v>
      </c>
    </row>
    <row r="71" spans="1:11" x14ac:dyDescent="0.35">
      <c r="A71" t="s">
        <v>272</v>
      </c>
      <c r="B71" s="1">
        <v>45189</v>
      </c>
      <c r="C71" t="s">
        <v>10</v>
      </c>
      <c r="D71" t="s">
        <v>38</v>
      </c>
      <c r="E71" t="s">
        <v>42</v>
      </c>
      <c r="F71" t="s">
        <v>29</v>
      </c>
      <c r="G71">
        <v>8</v>
      </c>
      <c r="H71" t="s">
        <v>30</v>
      </c>
      <c r="I71">
        <v>17</v>
      </c>
      <c r="J71">
        <v>285.94</v>
      </c>
      <c r="K71">
        <f t="shared" si="3"/>
        <v>2287.52</v>
      </c>
    </row>
    <row r="72" spans="1:11" x14ac:dyDescent="0.35">
      <c r="A72" t="s">
        <v>273</v>
      </c>
      <c r="B72" s="1">
        <v>45649</v>
      </c>
      <c r="C72" t="s">
        <v>10</v>
      </c>
      <c r="D72" t="s">
        <v>38</v>
      </c>
      <c r="E72" t="s">
        <v>42</v>
      </c>
      <c r="F72" t="s">
        <v>29</v>
      </c>
      <c r="G72">
        <v>8</v>
      </c>
      <c r="H72" t="s">
        <v>14</v>
      </c>
      <c r="I72">
        <v>17</v>
      </c>
      <c r="J72">
        <v>285.94</v>
      </c>
      <c r="K72">
        <f t="shared" si="3"/>
        <v>2287.52</v>
      </c>
    </row>
    <row r="73" spans="1:11" x14ac:dyDescent="0.35">
      <c r="A73" t="s">
        <v>274</v>
      </c>
      <c r="B73" s="1">
        <v>45104</v>
      </c>
      <c r="C73" t="s">
        <v>15</v>
      </c>
      <c r="D73" t="s">
        <v>16</v>
      </c>
      <c r="E73" t="s">
        <v>43</v>
      </c>
      <c r="F73" t="s">
        <v>35</v>
      </c>
      <c r="G73">
        <v>3</v>
      </c>
      <c r="H73" t="s">
        <v>14</v>
      </c>
      <c r="I73">
        <v>53</v>
      </c>
      <c r="J73">
        <v>772.21</v>
      </c>
      <c r="K73">
        <f t="shared" si="3"/>
        <v>2316.63</v>
      </c>
    </row>
    <row r="74" spans="1:11" x14ac:dyDescent="0.35">
      <c r="A74" t="s">
        <v>275</v>
      </c>
      <c r="B74" s="1">
        <v>45238</v>
      </c>
      <c r="C74" t="s">
        <v>10</v>
      </c>
      <c r="D74" t="s">
        <v>11</v>
      </c>
      <c r="E74" t="s">
        <v>41</v>
      </c>
      <c r="F74" t="s">
        <v>29</v>
      </c>
      <c r="G74">
        <v>11</v>
      </c>
      <c r="H74" t="s">
        <v>31</v>
      </c>
      <c r="I74">
        <v>23</v>
      </c>
      <c r="J74">
        <v>212.86</v>
      </c>
      <c r="K74">
        <f t="shared" si="3"/>
        <v>2341.46</v>
      </c>
    </row>
    <row r="75" spans="1:11" x14ac:dyDescent="0.35">
      <c r="A75" t="s">
        <v>276</v>
      </c>
      <c r="B75" s="1">
        <v>45018</v>
      </c>
      <c r="C75" t="s">
        <v>15</v>
      </c>
      <c r="D75" t="s">
        <v>16</v>
      </c>
      <c r="E75" t="s">
        <v>17</v>
      </c>
      <c r="F75" t="s">
        <v>13</v>
      </c>
      <c r="G75">
        <v>5</v>
      </c>
      <c r="H75" t="s">
        <v>97</v>
      </c>
      <c r="I75">
        <v>54</v>
      </c>
      <c r="J75">
        <v>491.78</v>
      </c>
      <c r="K75">
        <f t="shared" si="3"/>
        <v>2458.8999999999996</v>
      </c>
    </row>
    <row r="76" spans="1:11" x14ac:dyDescent="0.35">
      <c r="A76" t="s">
        <v>277</v>
      </c>
      <c r="B76" s="1">
        <v>44972</v>
      </c>
      <c r="C76" t="s">
        <v>23</v>
      </c>
      <c r="D76" t="s">
        <v>24</v>
      </c>
      <c r="E76" t="s">
        <v>44</v>
      </c>
      <c r="F76" t="s">
        <v>18</v>
      </c>
      <c r="G76">
        <v>1</v>
      </c>
      <c r="H76" t="s">
        <v>37</v>
      </c>
      <c r="I76">
        <v>49</v>
      </c>
      <c r="J76">
        <v>2466.0100000000002</v>
      </c>
      <c r="K76">
        <f t="shared" si="3"/>
        <v>2466.0100000000002</v>
      </c>
    </row>
    <row r="77" spans="1:11" x14ac:dyDescent="0.35">
      <c r="A77" t="s">
        <v>278</v>
      </c>
      <c r="B77" s="1">
        <v>45095</v>
      </c>
      <c r="C77" t="s">
        <v>15</v>
      </c>
      <c r="D77" t="s">
        <v>19</v>
      </c>
      <c r="E77" t="s">
        <v>22</v>
      </c>
      <c r="F77" t="s">
        <v>35</v>
      </c>
      <c r="G77">
        <v>8</v>
      </c>
      <c r="H77" t="s">
        <v>14</v>
      </c>
      <c r="I77">
        <v>25</v>
      </c>
      <c r="J77">
        <v>308.68</v>
      </c>
      <c r="K77">
        <f t="shared" si="3"/>
        <v>2469.44</v>
      </c>
    </row>
    <row r="78" spans="1:11" x14ac:dyDescent="0.35">
      <c r="A78" t="s">
        <v>279</v>
      </c>
      <c r="B78" s="1">
        <v>44969</v>
      </c>
      <c r="C78" t="s">
        <v>23</v>
      </c>
      <c r="D78" t="s">
        <v>24</v>
      </c>
      <c r="E78" t="s">
        <v>45</v>
      </c>
      <c r="F78" t="s">
        <v>29</v>
      </c>
      <c r="G78">
        <v>1</v>
      </c>
      <c r="H78" t="s">
        <v>33</v>
      </c>
      <c r="I78">
        <v>25</v>
      </c>
      <c r="J78">
        <v>2489.17</v>
      </c>
      <c r="K78">
        <f t="shared" si="3"/>
        <v>2489.17</v>
      </c>
    </row>
    <row r="79" spans="1:11" x14ac:dyDescent="0.35">
      <c r="A79" t="s">
        <v>280</v>
      </c>
      <c r="B79" s="1">
        <v>45030</v>
      </c>
      <c r="C79" t="s">
        <v>10</v>
      </c>
      <c r="D79" t="s">
        <v>11</v>
      </c>
      <c r="E79" t="s">
        <v>41</v>
      </c>
      <c r="F79" t="s">
        <v>18</v>
      </c>
      <c r="G79">
        <v>1</v>
      </c>
      <c r="H79" t="s">
        <v>97</v>
      </c>
      <c r="I79">
        <v>27</v>
      </c>
      <c r="J79">
        <v>2517.3200000000002</v>
      </c>
      <c r="K79">
        <f t="shared" si="3"/>
        <v>2517.3200000000002</v>
      </c>
    </row>
    <row r="80" spans="1:11" x14ac:dyDescent="0.35">
      <c r="A80" t="s">
        <v>281</v>
      </c>
      <c r="B80" s="1">
        <v>45019</v>
      </c>
      <c r="C80" t="s">
        <v>23</v>
      </c>
      <c r="D80" t="s">
        <v>24</v>
      </c>
      <c r="E80" t="s">
        <v>45</v>
      </c>
      <c r="F80" t="s">
        <v>21</v>
      </c>
      <c r="G80">
        <v>8</v>
      </c>
      <c r="H80" t="s">
        <v>33</v>
      </c>
      <c r="I80">
        <v>50</v>
      </c>
      <c r="J80">
        <v>315</v>
      </c>
      <c r="K80">
        <f t="shared" si="3"/>
        <v>2520</v>
      </c>
    </row>
    <row r="81" spans="1:11" x14ac:dyDescent="0.35">
      <c r="A81" t="s">
        <v>282</v>
      </c>
      <c r="B81" s="1">
        <v>45200</v>
      </c>
      <c r="C81" t="s">
        <v>15</v>
      </c>
      <c r="D81" t="s">
        <v>19</v>
      </c>
      <c r="E81" t="s">
        <v>20</v>
      </c>
      <c r="F81" t="s">
        <v>13</v>
      </c>
      <c r="G81">
        <v>4</v>
      </c>
      <c r="H81" t="s">
        <v>36</v>
      </c>
      <c r="I81">
        <v>54</v>
      </c>
      <c r="J81">
        <v>637.89</v>
      </c>
      <c r="K81">
        <f t="shared" si="3"/>
        <v>2551.56</v>
      </c>
    </row>
    <row r="82" spans="1:11" x14ac:dyDescent="0.35">
      <c r="A82" t="s">
        <v>283</v>
      </c>
      <c r="B82" s="1">
        <v>45284</v>
      </c>
      <c r="C82" t="s">
        <v>15</v>
      </c>
      <c r="D82" t="s">
        <v>19</v>
      </c>
      <c r="E82" t="s">
        <v>20</v>
      </c>
      <c r="F82" t="s">
        <v>35</v>
      </c>
      <c r="G82">
        <v>15</v>
      </c>
      <c r="H82" t="s">
        <v>28</v>
      </c>
      <c r="I82">
        <v>42</v>
      </c>
      <c r="J82">
        <v>170.6</v>
      </c>
      <c r="K82">
        <f t="shared" si="3"/>
        <v>2559</v>
      </c>
    </row>
    <row r="83" spans="1:11" x14ac:dyDescent="0.35">
      <c r="A83" t="s">
        <v>284</v>
      </c>
      <c r="B83" s="1">
        <v>45199</v>
      </c>
      <c r="C83" t="s">
        <v>10</v>
      </c>
      <c r="D83" t="s">
        <v>38</v>
      </c>
      <c r="E83" t="s">
        <v>40</v>
      </c>
      <c r="F83" t="s">
        <v>35</v>
      </c>
      <c r="G83">
        <v>1</v>
      </c>
      <c r="H83" t="s">
        <v>28</v>
      </c>
      <c r="I83">
        <v>18</v>
      </c>
      <c r="J83">
        <v>2571.59</v>
      </c>
      <c r="K83">
        <f t="shared" si="3"/>
        <v>2571.59</v>
      </c>
    </row>
    <row r="84" spans="1:11" x14ac:dyDescent="0.35">
      <c r="A84" t="s">
        <v>285</v>
      </c>
      <c r="B84" s="1">
        <v>45127</v>
      </c>
      <c r="C84" t="s">
        <v>10</v>
      </c>
      <c r="D84" t="s">
        <v>38</v>
      </c>
      <c r="E84" t="s">
        <v>40</v>
      </c>
      <c r="F84" t="s">
        <v>29</v>
      </c>
      <c r="G84">
        <v>2</v>
      </c>
      <c r="H84" t="s">
        <v>28</v>
      </c>
      <c r="I84">
        <v>54</v>
      </c>
      <c r="J84">
        <v>1316.79</v>
      </c>
      <c r="K84">
        <f t="shared" si="3"/>
        <v>2633.58</v>
      </c>
    </row>
    <row r="85" spans="1:11" x14ac:dyDescent="0.35">
      <c r="A85" t="s">
        <v>286</v>
      </c>
      <c r="B85" s="1">
        <v>45211</v>
      </c>
      <c r="C85" t="s">
        <v>23</v>
      </c>
      <c r="D85" t="s">
        <v>24</v>
      </c>
      <c r="E85" t="s">
        <v>45</v>
      </c>
      <c r="F85" t="s">
        <v>29</v>
      </c>
      <c r="G85">
        <v>14</v>
      </c>
      <c r="H85" t="s">
        <v>28</v>
      </c>
      <c r="I85">
        <v>43</v>
      </c>
      <c r="J85">
        <v>188.94</v>
      </c>
      <c r="K85">
        <f t="shared" si="3"/>
        <v>2645.16</v>
      </c>
    </row>
    <row r="86" spans="1:11" x14ac:dyDescent="0.35">
      <c r="A86" t="s">
        <v>287</v>
      </c>
      <c r="B86" s="1">
        <v>45233</v>
      </c>
      <c r="C86" t="s">
        <v>10</v>
      </c>
      <c r="D86" t="s">
        <v>38</v>
      </c>
      <c r="E86" t="s">
        <v>39</v>
      </c>
      <c r="F86" t="s">
        <v>35</v>
      </c>
      <c r="G86">
        <v>3</v>
      </c>
      <c r="H86" t="s">
        <v>97</v>
      </c>
      <c r="I86">
        <v>41</v>
      </c>
      <c r="J86">
        <v>884.5</v>
      </c>
      <c r="K86">
        <f t="shared" si="3"/>
        <v>2653.5</v>
      </c>
    </row>
    <row r="87" spans="1:11" x14ac:dyDescent="0.35">
      <c r="A87" t="s">
        <v>288</v>
      </c>
      <c r="B87" s="1">
        <v>45076</v>
      </c>
      <c r="C87" t="s">
        <v>15</v>
      </c>
      <c r="D87" t="s">
        <v>19</v>
      </c>
      <c r="E87" t="s">
        <v>32</v>
      </c>
      <c r="F87" t="s">
        <v>13</v>
      </c>
      <c r="G87">
        <v>1</v>
      </c>
      <c r="H87" t="s">
        <v>26</v>
      </c>
      <c r="I87">
        <v>37</v>
      </c>
      <c r="J87">
        <v>2664.84</v>
      </c>
      <c r="K87">
        <f t="shared" si="3"/>
        <v>2664.84</v>
      </c>
    </row>
    <row r="88" spans="1:11" x14ac:dyDescent="0.35">
      <c r="A88" t="s">
        <v>289</v>
      </c>
      <c r="B88" s="1">
        <v>45162</v>
      </c>
      <c r="C88" t="s">
        <v>15</v>
      </c>
      <c r="D88" t="s">
        <v>16</v>
      </c>
      <c r="E88" t="s">
        <v>17</v>
      </c>
      <c r="F88" t="s">
        <v>35</v>
      </c>
      <c r="G88">
        <v>1</v>
      </c>
      <c r="H88" t="s">
        <v>33</v>
      </c>
      <c r="I88">
        <v>36</v>
      </c>
      <c r="J88">
        <v>2710.27</v>
      </c>
      <c r="K88">
        <f t="shared" si="3"/>
        <v>2710.27</v>
      </c>
    </row>
    <row r="89" spans="1:11" x14ac:dyDescent="0.35">
      <c r="A89" t="s">
        <v>290</v>
      </c>
      <c r="B89" s="1">
        <v>45227</v>
      </c>
      <c r="C89" t="s">
        <v>23</v>
      </c>
      <c r="D89" t="s">
        <v>24</v>
      </c>
      <c r="E89" t="s">
        <v>44</v>
      </c>
      <c r="F89" t="s">
        <v>18</v>
      </c>
      <c r="G89">
        <v>12</v>
      </c>
      <c r="H89" t="s">
        <v>33</v>
      </c>
      <c r="I89">
        <v>41</v>
      </c>
      <c r="J89">
        <v>225.88</v>
      </c>
      <c r="K89">
        <f t="shared" si="3"/>
        <v>2710.56</v>
      </c>
    </row>
    <row r="90" spans="1:11" x14ac:dyDescent="0.35">
      <c r="A90" t="s">
        <v>291</v>
      </c>
      <c r="B90" s="1">
        <v>45119</v>
      </c>
      <c r="C90" t="s">
        <v>10</v>
      </c>
      <c r="D90" t="s">
        <v>38</v>
      </c>
      <c r="E90" t="s">
        <v>42</v>
      </c>
      <c r="F90" t="s">
        <v>18</v>
      </c>
      <c r="G90">
        <v>1</v>
      </c>
      <c r="H90" t="s">
        <v>33</v>
      </c>
      <c r="I90">
        <v>23</v>
      </c>
      <c r="J90">
        <v>2716.98</v>
      </c>
      <c r="K90">
        <f t="shared" si="3"/>
        <v>2716.98</v>
      </c>
    </row>
    <row r="91" spans="1:11" x14ac:dyDescent="0.35">
      <c r="A91" t="s">
        <v>292</v>
      </c>
      <c r="B91" s="1">
        <v>45194</v>
      </c>
      <c r="C91" t="s">
        <v>10</v>
      </c>
      <c r="D91" t="s">
        <v>11</v>
      </c>
      <c r="E91" t="s">
        <v>27</v>
      </c>
      <c r="F91" t="s">
        <v>18</v>
      </c>
      <c r="G91">
        <v>7</v>
      </c>
      <c r="H91" t="s">
        <v>36</v>
      </c>
      <c r="I91">
        <v>27</v>
      </c>
      <c r="J91">
        <v>392.9</v>
      </c>
      <c r="K91">
        <f t="shared" si="3"/>
        <v>2750.2999999999997</v>
      </c>
    </row>
    <row r="92" spans="1:11" x14ac:dyDescent="0.35">
      <c r="A92" t="s">
        <v>293</v>
      </c>
      <c r="B92" s="1">
        <v>45278</v>
      </c>
      <c r="C92" t="s">
        <v>10</v>
      </c>
      <c r="D92" t="s">
        <v>11</v>
      </c>
      <c r="E92" t="s">
        <v>12</v>
      </c>
      <c r="F92" t="s">
        <v>29</v>
      </c>
      <c r="G92">
        <v>2</v>
      </c>
      <c r="H92" t="s">
        <v>33</v>
      </c>
      <c r="I92">
        <v>45</v>
      </c>
      <c r="J92">
        <v>1377.64</v>
      </c>
      <c r="K92">
        <f t="shared" si="3"/>
        <v>2755.28</v>
      </c>
    </row>
    <row r="93" spans="1:11" x14ac:dyDescent="0.35">
      <c r="A93" t="s">
        <v>294</v>
      </c>
      <c r="B93" s="1">
        <v>45224</v>
      </c>
      <c r="C93" t="s">
        <v>23</v>
      </c>
      <c r="D93" t="s">
        <v>24</v>
      </c>
      <c r="E93" t="s">
        <v>45</v>
      </c>
      <c r="F93" t="s">
        <v>29</v>
      </c>
      <c r="G93">
        <v>4</v>
      </c>
      <c r="H93" t="s">
        <v>26</v>
      </c>
      <c r="I93">
        <v>45</v>
      </c>
      <c r="J93">
        <v>700.07</v>
      </c>
      <c r="K93">
        <f t="shared" si="3"/>
        <v>2800.28</v>
      </c>
    </row>
    <row r="94" spans="1:11" x14ac:dyDescent="0.35">
      <c r="A94" t="s">
        <v>295</v>
      </c>
      <c r="B94" s="1">
        <v>45623</v>
      </c>
      <c r="C94" t="s">
        <v>10</v>
      </c>
      <c r="D94" t="s">
        <v>38</v>
      </c>
      <c r="E94" t="s">
        <v>39</v>
      </c>
      <c r="F94" t="s">
        <v>21</v>
      </c>
      <c r="G94">
        <v>11</v>
      </c>
      <c r="H94" t="s">
        <v>31</v>
      </c>
      <c r="I94">
        <v>50</v>
      </c>
      <c r="J94">
        <v>255.3</v>
      </c>
      <c r="K94">
        <f t="shared" si="3"/>
        <v>2808.3</v>
      </c>
    </row>
    <row r="95" spans="1:11" x14ac:dyDescent="0.35">
      <c r="A95" t="s">
        <v>296</v>
      </c>
      <c r="B95" s="1">
        <v>45226</v>
      </c>
      <c r="C95" t="s">
        <v>10</v>
      </c>
      <c r="D95" t="s">
        <v>38</v>
      </c>
      <c r="E95" t="s">
        <v>39</v>
      </c>
      <c r="F95" t="s">
        <v>13</v>
      </c>
      <c r="G95">
        <v>11</v>
      </c>
      <c r="H95" t="s">
        <v>26</v>
      </c>
      <c r="I95">
        <v>50</v>
      </c>
      <c r="J95">
        <v>255.3</v>
      </c>
      <c r="K95">
        <f t="shared" si="3"/>
        <v>2808.3</v>
      </c>
    </row>
    <row r="96" spans="1:11" x14ac:dyDescent="0.35">
      <c r="A96" t="s">
        <v>297</v>
      </c>
      <c r="B96" s="1">
        <v>45039</v>
      </c>
      <c r="C96" t="s">
        <v>15</v>
      </c>
      <c r="D96" t="s">
        <v>19</v>
      </c>
      <c r="E96" t="s">
        <v>22</v>
      </c>
      <c r="F96" t="s">
        <v>35</v>
      </c>
      <c r="G96">
        <v>3</v>
      </c>
      <c r="H96" t="s">
        <v>26</v>
      </c>
      <c r="I96">
        <v>52</v>
      </c>
      <c r="J96">
        <v>938.33</v>
      </c>
      <c r="K96">
        <f t="shared" si="3"/>
        <v>2814.9900000000002</v>
      </c>
    </row>
    <row r="97" spans="1:11" x14ac:dyDescent="0.35">
      <c r="A97" t="s">
        <v>298</v>
      </c>
      <c r="B97" s="1">
        <v>44933</v>
      </c>
      <c r="C97" t="s">
        <v>15</v>
      </c>
      <c r="D97" t="s">
        <v>16</v>
      </c>
      <c r="E97" t="s">
        <v>17</v>
      </c>
      <c r="F97" t="s">
        <v>13</v>
      </c>
      <c r="G97">
        <v>7</v>
      </c>
      <c r="H97" t="s">
        <v>96</v>
      </c>
      <c r="I97">
        <v>24</v>
      </c>
      <c r="J97">
        <v>410.28</v>
      </c>
      <c r="K97">
        <f t="shared" si="3"/>
        <v>2871.96</v>
      </c>
    </row>
    <row r="98" spans="1:11" x14ac:dyDescent="0.35">
      <c r="A98" t="s">
        <v>299</v>
      </c>
      <c r="B98" s="1">
        <v>45281</v>
      </c>
      <c r="C98" t="s">
        <v>15</v>
      </c>
      <c r="D98" t="s">
        <v>16</v>
      </c>
      <c r="E98" t="s">
        <v>43</v>
      </c>
      <c r="F98" t="s">
        <v>29</v>
      </c>
      <c r="G98">
        <v>4</v>
      </c>
      <c r="H98" t="s">
        <v>28</v>
      </c>
      <c r="I98">
        <v>45</v>
      </c>
      <c r="J98">
        <v>722.05</v>
      </c>
      <c r="K98">
        <f t="shared" si="3"/>
        <v>2888.2</v>
      </c>
    </row>
    <row r="99" spans="1:11" x14ac:dyDescent="0.35">
      <c r="A99" t="s">
        <v>300</v>
      </c>
      <c r="B99" s="1">
        <v>45004</v>
      </c>
      <c r="C99" t="s">
        <v>15</v>
      </c>
      <c r="D99" t="s">
        <v>19</v>
      </c>
      <c r="E99" t="s">
        <v>32</v>
      </c>
      <c r="F99" t="s">
        <v>21</v>
      </c>
      <c r="G99">
        <v>6</v>
      </c>
      <c r="H99" t="s">
        <v>97</v>
      </c>
      <c r="I99">
        <v>55</v>
      </c>
      <c r="J99">
        <v>484.95</v>
      </c>
      <c r="K99">
        <f t="shared" si="3"/>
        <v>2909.7</v>
      </c>
    </row>
    <row r="100" spans="1:11" x14ac:dyDescent="0.35">
      <c r="A100" t="s">
        <v>301</v>
      </c>
      <c r="B100" s="1">
        <v>45181</v>
      </c>
      <c r="C100" t="s">
        <v>15</v>
      </c>
      <c r="D100" t="s">
        <v>16</v>
      </c>
      <c r="E100" t="s">
        <v>34</v>
      </c>
      <c r="F100" t="s">
        <v>13</v>
      </c>
      <c r="G100">
        <v>11</v>
      </c>
      <c r="H100" t="s">
        <v>30</v>
      </c>
      <c r="I100">
        <v>37</v>
      </c>
      <c r="J100">
        <v>268.13</v>
      </c>
      <c r="K100">
        <f t="shared" si="3"/>
        <v>2949.43</v>
      </c>
    </row>
    <row r="101" spans="1:11" x14ac:dyDescent="0.35">
      <c r="A101" t="s">
        <v>302</v>
      </c>
      <c r="B101" s="1">
        <v>44985</v>
      </c>
      <c r="C101" t="s">
        <v>15</v>
      </c>
      <c r="D101" t="s">
        <v>16</v>
      </c>
      <c r="E101" t="s">
        <v>43</v>
      </c>
      <c r="F101" t="s">
        <v>35</v>
      </c>
      <c r="G101">
        <v>8</v>
      </c>
      <c r="H101" t="s">
        <v>14</v>
      </c>
      <c r="I101">
        <v>16</v>
      </c>
      <c r="J101">
        <v>372.22</v>
      </c>
      <c r="K101">
        <f t="shared" si="3"/>
        <v>2977.76</v>
      </c>
    </row>
    <row r="102" spans="1:11" x14ac:dyDescent="0.35">
      <c r="A102" t="s">
        <v>303</v>
      </c>
      <c r="B102" s="1">
        <v>45033</v>
      </c>
      <c r="C102" t="s">
        <v>15</v>
      </c>
      <c r="D102" t="s">
        <v>16</v>
      </c>
      <c r="E102" t="s">
        <v>34</v>
      </c>
      <c r="F102" t="s">
        <v>18</v>
      </c>
      <c r="G102">
        <v>1</v>
      </c>
      <c r="H102" t="s">
        <v>195</v>
      </c>
      <c r="I102">
        <v>33</v>
      </c>
      <c r="J102">
        <v>3042.8</v>
      </c>
      <c r="K102">
        <f t="shared" si="3"/>
        <v>3042.8</v>
      </c>
    </row>
    <row r="103" spans="1:11" x14ac:dyDescent="0.35">
      <c r="A103" t="s">
        <v>304</v>
      </c>
      <c r="B103" s="1">
        <v>44990</v>
      </c>
      <c r="C103" t="s">
        <v>10</v>
      </c>
      <c r="D103" t="s">
        <v>11</v>
      </c>
      <c r="E103" t="s">
        <v>12</v>
      </c>
      <c r="F103" t="s">
        <v>29</v>
      </c>
      <c r="G103">
        <v>1</v>
      </c>
      <c r="H103" t="s">
        <v>33</v>
      </c>
      <c r="I103">
        <v>35</v>
      </c>
      <c r="J103">
        <v>3059.01</v>
      </c>
      <c r="K103">
        <f t="shared" si="3"/>
        <v>3059.01</v>
      </c>
    </row>
    <row r="104" spans="1:11" x14ac:dyDescent="0.35">
      <c r="A104" t="s">
        <v>305</v>
      </c>
      <c r="B104" s="1">
        <v>45100</v>
      </c>
      <c r="C104" t="s">
        <v>10</v>
      </c>
      <c r="D104" t="s">
        <v>38</v>
      </c>
      <c r="E104" t="s">
        <v>39</v>
      </c>
      <c r="F104" t="s">
        <v>35</v>
      </c>
      <c r="G104">
        <v>12</v>
      </c>
      <c r="H104" t="s">
        <v>28</v>
      </c>
      <c r="I104">
        <v>22</v>
      </c>
      <c r="J104">
        <v>255.59</v>
      </c>
      <c r="K104">
        <f t="shared" si="3"/>
        <v>3067.08</v>
      </c>
    </row>
    <row r="105" spans="1:11" x14ac:dyDescent="0.35">
      <c r="A105" t="s">
        <v>306</v>
      </c>
      <c r="B105" s="1">
        <v>45275</v>
      </c>
      <c r="C105" t="s">
        <v>15</v>
      </c>
      <c r="D105" t="s">
        <v>16</v>
      </c>
      <c r="E105" t="s">
        <v>17</v>
      </c>
      <c r="F105" t="s">
        <v>21</v>
      </c>
      <c r="G105">
        <v>3</v>
      </c>
      <c r="H105" t="s">
        <v>14</v>
      </c>
      <c r="I105">
        <v>48</v>
      </c>
      <c r="J105">
        <v>1043.3900000000001</v>
      </c>
      <c r="K105">
        <f t="shared" si="3"/>
        <v>3130.17</v>
      </c>
    </row>
    <row r="106" spans="1:11" x14ac:dyDescent="0.35">
      <c r="A106" t="s">
        <v>307</v>
      </c>
      <c r="B106" s="1">
        <v>45214</v>
      </c>
      <c r="C106" t="s">
        <v>15</v>
      </c>
      <c r="D106" t="s">
        <v>19</v>
      </c>
      <c r="E106" t="s">
        <v>32</v>
      </c>
      <c r="F106" t="s">
        <v>29</v>
      </c>
      <c r="G106">
        <v>3</v>
      </c>
      <c r="H106" t="s">
        <v>97</v>
      </c>
      <c r="I106">
        <v>20</v>
      </c>
      <c r="J106">
        <v>1046.06</v>
      </c>
      <c r="K106">
        <f t="shared" si="3"/>
        <v>3138.18</v>
      </c>
    </row>
    <row r="107" spans="1:11" x14ac:dyDescent="0.35">
      <c r="A107" t="s">
        <v>308</v>
      </c>
      <c r="B107" s="1">
        <v>44932</v>
      </c>
      <c r="C107" t="s">
        <v>15</v>
      </c>
      <c r="D107" t="s">
        <v>19</v>
      </c>
      <c r="E107" t="s">
        <v>20</v>
      </c>
      <c r="F107" t="s">
        <v>13</v>
      </c>
      <c r="G107">
        <v>2</v>
      </c>
      <c r="H107" t="s">
        <v>97</v>
      </c>
      <c r="I107">
        <v>42</v>
      </c>
      <c r="J107">
        <v>1582.65</v>
      </c>
      <c r="K107">
        <f t="shared" si="3"/>
        <v>3165.3</v>
      </c>
    </row>
    <row r="108" spans="1:11" x14ac:dyDescent="0.35">
      <c r="A108" t="s">
        <v>309</v>
      </c>
      <c r="B108" s="1">
        <v>45058</v>
      </c>
      <c r="C108" t="s">
        <v>23</v>
      </c>
      <c r="D108" t="s">
        <v>24</v>
      </c>
      <c r="E108" t="s">
        <v>44</v>
      </c>
      <c r="F108" t="s">
        <v>18</v>
      </c>
      <c r="G108">
        <v>16</v>
      </c>
      <c r="H108" t="s">
        <v>14</v>
      </c>
      <c r="I108">
        <v>35</v>
      </c>
      <c r="J108">
        <v>199.87</v>
      </c>
      <c r="K108">
        <f t="shared" si="3"/>
        <v>3197.92</v>
      </c>
    </row>
    <row r="109" spans="1:11" x14ac:dyDescent="0.35">
      <c r="A109" t="s">
        <v>310</v>
      </c>
      <c r="B109" s="1">
        <v>45161</v>
      </c>
      <c r="C109" t="s">
        <v>15</v>
      </c>
      <c r="D109" t="s">
        <v>19</v>
      </c>
      <c r="E109" t="s">
        <v>22</v>
      </c>
      <c r="F109" t="s">
        <v>21</v>
      </c>
      <c r="G109">
        <v>3</v>
      </c>
      <c r="H109" t="s">
        <v>195</v>
      </c>
      <c r="I109">
        <v>35</v>
      </c>
      <c r="J109">
        <v>1076.57</v>
      </c>
      <c r="K109">
        <f t="shared" si="3"/>
        <v>3229.71</v>
      </c>
    </row>
    <row r="110" spans="1:11" x14ac:dyDescent="0.35">
      <c r="A110" t="s">
        <v>311</v>
      </c>
      <c r="B110" s="1">
        <v>45215</v>
      </c>
      <c r="C110" t="s">
        <v>10</v>
      </c>
      <c r="D110" t="s">
        <v>38</v>
      </c>
      <c r="E110" t="s">
        <v>40</v>
      </c>
      <c r="F110" t="s">
        <v>18</v>
      </c>
      <c r="G110">
        <v>2</v>
      </c>
      <c r="H110" t="s">
        <v>33</v>
      </c>
      <c r="I110">
        <v>28</v>
      </c>
      <c r="J110">
        <v>1673.1</v>
      </c>
      <c r="K110">
        <f t="shared" si="3"/>
        <v>3346.2</v>
      </c>
    </row>
    <row r="111" spans="1:11" x14ac:dyDescent="0.35">
      <c r="A111" t="s">
        <v>312</v>
      </c>
      <c r="B111" s="1">
        <v>45148</v>
      </c>
      <c r="C111" t="s">
        <v>15</v>
      </c>
      <c r="D111" t="s">
        <v>16</v>
      </c>
      <c r="E111" t="s">
        <v>17</v>
      </c>
      <c r="F111" t="s">
        <v>29</v>
      </c>
      <c r="G111">
        <v>1</v>
      </c>
      <c r="H111" t="s">
        <v>31</v>
      </c>
      <c r="I111">
        <v>51</v>
      </c>
      <c r="J111">
        <v>3374.31</v>
      </c>
      <c r="K111">
        <f t="shared" si="3"/>
        <v>3374.31</v>
      </c>
    </row>
    <row r="112" spans="1:11" x14ac:dyDescent="0.35">
      <c r="A112" t="s">
        <v>313</v>
      </c>
      <c r="B112" s="1">
        <v>45022</v>
      </c>
      <c r="C112" t="s">
        <v>10</v>
      </c>
      <c r="D112" t="s">
        <v>38</v>
      </c>
      <c r="E112" t="s">
        <v>42</v>
      </c>
      <c r="F112" t="s">
        <v>21</v>
      </c>
      <c r="G112">
        <v>3</v>
      </c>
      <c r="H112" t="s">
        <v>26</v>
      </c>
      <c r="I112">
        <v>48</v>
      </c>
      <c r="J112">
        <v>1129.83</v>
      </c>
      <c r="K112">
        <f t="shared" si="3"/>
        <v>3389.49</v>
      </c>
    </row>
    <row r="113" spans="1:11" x14ac:dyDescent="0.35">
      <c r="A113" t="s">
        <v>314</v>
      </c>
      <c r="B113" s="1">
        <v>45171</v>
      </c>
      <c r="C113" t="s">
        <v>10</v>
      </c>
      <c r="D113" t="s">
        <v>11</v>
      </c>
      <c r="E113" t="s">
        <v>27</v>
      </c>
      <c r="F113" t="s">
        <v>29</v>
      </c>
      <c r="G113">
        <v>2</v>
      </c>
      <c r="H113" t="s">
        <v>26</v>
      </c>
      <c r="I113">
        <v>27</v>
      </c>
      <c r="J113">
        <v>1695.6</v>
      </c>
      <c r="K113">
        <f t="shared" si="3"/>
        <v>3391.2</v>
      </c>
    </row>
    <row r="114" spans="1:11" x14ac:dyDescent="0.35">
      <c r="A114" t="s">
        <v>315</v>
      </c>
      <c r="B114" s="1">
        <v>45136</v>
      </c>
      <c r="C114" t="s">
        <v>10</v>
      </c>
      <c r="D114" t="s">
        <v>11</v>
      </c>
      <c r="E114" t="s">
        <v>27</v>
      </c>
      <c r="F114" t="s">
        <v>18</v>
      </c>
      <c r="G114">
        <v>12</v>
      </c>
      <c r="H114" t="s">
        <v>28</v>
      </c>
      <c r="I114">
        <v>49</v>
      </c>
      <c r="J114">
        <v>283.86</v>
      </c>
      <c r="K114">
        <f t="shared" si="3"/>
        <v>3406.32</v>
      </c>
    </row>
    <row r="115" spans="1:11" x14ac:dyDescent="0.35">
      <c r="A115" t="s">
        <v>316</v>
      </c>
      <c r="B115" s="1">
        <v>45278</v>
      </c>
      <c r="C115" t="s">
        <v>15</v>
      </c>
      <c r="D115" t="s">
        <v>16</v>
      </c>
      <c r="E115" t="s">
        <v>17</v>
      </c>
      <c r="F115" t="s">
        <v>29</v>
      </c>
      <c r="G115">
        <v>3</v>
      </c>
      <c r="H115" t="s">
        <v>36</v>
      </c>
      <c r="I115">
        <v>28</v>
      </c>
      <c r="J115">
        <v>1139.5899999999999</v>
      </c>
      <c r="K115">
        <f t="shared" si="3"/>
        <v>3418.7699999999995</v>
      </c>
    </row>
    <row r="116" spans="1:11" x14ac:dyDescent="0.35">
      <c r="A116" t="s">
        <v>317</v>
      </c>
      <c r="B116" s="1">
        <v>45207</v>
      </c>
      <c r="C116" t="s">
        <v>10</v>
      </c>
      <c r="D116" t="s">
        <v>11</v>
      </c>
      <c r="E116" t="s">
        <v>41</v>
      </c>
      <c r="F116" t="s">
        <v>18</v>
      </c>
      <c r="G116">
        <v>19</v>
      </c>
      <c r="H116" t="s">
        <v>14</v>
      </c>
      <c r="I116">
        <v>41</v>
      </c>
      <c r="J116">
        <v>182.01</v>
      </c>
      <c r="K116">
        <f t="shared" si="3"/>
        <v>3458.1899999999996</v>
      </c>
    </row>
    <row r="117" spans="1:11" x14ac:dyDescent="0.35">
      <c r="A117" t="s">
        <v>318</v>
      </c>
      <c r="B117" s="1">
        <v>45257</v>
      </c>
      <c r="C117" t="s">
        <v>10</v>
      </c>
      <c r="D117" t="s">
        <v>11</v>
      </c>
      <c r="E117" t="s">
        <v>41</v>
      </c>
      <c r="F117" t="s">
        <v>21</v>
      </c>
      <c r="G117">
        <v>1</v>
      </c>
      <c r="H117" t="s">
        <v>97</v>
      </c>
      <c r="I117">
        <v>50</v>
      </c>
      <c r="J117">
        <v>3459.33</v>
      </c>
      <c r="K117">
        <f t="shared" si="3"/>
        <v>3459.33</v>
      </c>
    </row>
    <row r="118" spans="1:11" x14ac:dyDescent="0.35">
      <c r="A118" t="s">
        <v>319</v>
      </c>
      <c r="B118" s="1">
        <v>45010</v>
      </c>
      <c r="C118" t="s">
        <v>15</v>
      </c>
      <c r="D118" t="s">
        <v>19</v>
      </c>
      <c r="E118" t="s">
        <v>22</v>
      </c>
      <c r="F118" t="s">
        <v>21</v>
      </c>
      <c r="G118">
        <v>5</v>
      </c>
      <c r="H118" t="s">
        <v>28</v>
      </c>
      <c r="I118">
        <v>24</v>
      </c>
      <c r="J118">
        <v>695.3</v>
      </c>
      <c r="K118">
        <f t="shared" si="3"/>
        <v>3476.5</v>
      </c>
    </row>
    <row r="119" spans="1:11" x14ac:dyDescent="0.35">
      <c r="A119" t="s">
        <v>320</v>
      </c>
      <c r="B119" s="1">
        <v>44955</v>
      </c>
      <c r="C119" t="s">
        <v>10</v>
      </c>
      <c r="D119" t="s">
        <v>38</v>
      </c>
      <c r="E119" t="s">
        <v>42</v>
      </c>
      <c r="F119" t="s">
        <v>35</v>
      </c>
      <c r="G119">
        <v>5</v>
      </c>
      <c r="H119" t="s">
        <v>33</v>
      </c>
      <c r="I119">
        <v>33</v>
      </c>
      <c r="J119">
        <v>714.68</v>
      </c>
      <c r="K119">
        <f t="shared" si="3"/>
        <v>3573.3999999999996</v>
      </c>
    </row>
    <row r="120" spans="1:11" x14ac:dyDescent="0.35">
      <c r="A120" t="s">
        <v>321</v>
      </c>
      <c r="B120" s="1">
        <v>45060</v>
      </c>
      <c r="C120" t="s">
        <v>15</v>
      </c>
      <c r="D120" t="s">
        <v>19</v>
      </c>
      <c r="E120" t="s">
        <v>20</v>
      </c>
      <c r="F120" t="s">
        <v>18</v>
      </c>
      <c r="G120">
        <v>3</v>
      </c>
      <c r="H120" t="s">
        <v>14</v>
      </c>
      <c r="I120">
        <v>49</v>
      </c>
      <c r="J120">
        <v>1205.6199999999999</v>
      </c>
      <c r="K120">
        <f t="shared" si="3"/>
        <v>3616.8599999999997</v>
      </c>
    </row>
    <row r="121" spans="1:11" x14ac:dyDescent="0.35">
      <c r="A121" t="s">
        <v>322</v>
      </c>
      <c r="B121" s="1">
        <v>45166</v>
      </c>
      <c r="C121" t="s">
        <v>15</v>
      </c>
      <c r="D121" t="s">
        <v>16</v>
      </c>
      <c r="E121" t="s">
        <v>43</v>
      </c>
      <c r="F121" t="s">
        <v>18</v>
      </c>
      <c r="G121">
        <v>2</v>
      </c>
      <c r="H121" t="s">
        <v>97</v>
      </c>
      <c r="I121">
        <v>54</v>
      </c>
      <c r="J121">
        <v>1827.28</v>
      </c>
      <c r="K121">
        <f t="shared" si="3"/>
        <v>3654.56</v>
      </c>
    </row>
    <row r="122" spans="1:11" x14ac:dyDescent="0.35">
      <c r="A122" t="s">
        <v>323</v>
      </c>
      <c r="B122" s="1">
        <v>45214</v>
      </c>
      <c r="C122" t="s">
        <v>10</v>
      </c>
      <c r="D122" t="s">
        <v>38</v>
      </c>
      <c r="E122" t="s">
        <v>42</v>
      </c>
      <c r="F122" t="s">
        <v>18</v>
      </c>
      <c r="G122">
        <v>1</v>
      </c>
      <c r="H122" t="s">
        <v>14</v>
      </c>
      <c r="I122">
        <v>50</v>
      </c>
      <c r="J122">
        <v>3658.84</v>
      </c>
      <c r="K122">
        <f t="shared" si="3"/>
        <v>3658.84</v>
      </c>
    </row>
    <row r="123" spans="1:11" x14ac:dyDescent="0.35">
      <c r="A123" t="s">
        <v>324</v>
      </c>
      <c r="B123" s="1">
        <v>44964</v>
      </c>
      <c r="C123" t="s">
        <v>10</v>
      </c>
      <c r="D123" t="s">
        <v>11</v>
      </c>
      <c r="E123" t="s">
        <v>27</v>
      </c>
      <c r="F123" t="s">
        <v>18</v>
      </c>
      <c r="G123">
        <v>11</v>
      </c>
      <c r="H123" t="s">
        <v>14</v>
      </c>
      <c r="I123">
        <v>28</v>
      </c>
      <c r="J123">
        <v>335.31</v>
      </c>
      <c r="K123">
        <f t="shared" si="3"/>
        <v>3688.41</v>
      </c>
    </row>
    <row r="124" spans="1:11" x14ac:dyDescent="0.35">
      <c r="A124" t="s">
        <v>325</v>
      </c>
      <c r="B124" s="1">
        <v>45107</v>
      </c>
      <c r="C124" t="s">
        <v>10</v>
      </c>
      <c r="D124" t="s">
        <v>11</v>
      </c>
      <c r="E124" t="s">
        <v>41</v>
      </c>
      <c r="F124" t="s">
        <v>21</v>
      </c>
      <c r="G124">
        <v>1</v>
      </c>
      <c r="H124" t="s">
        <v>31</v>
      </c>
      <c r="I124">
        <v>45</v>
      </c>
      <c r="J124">
        <v>3698.2</v>
      </c>
      <c r="K124">
        <f t="shared" si="3"/>
        <v>3698.2</v>
      </c>
    </row>
    <row r="125" spans="1:11" x14ac:dyDescent="0.35">
      <c r="A125" t="s">
        <v>326</v>
      </c>
      <c r="B125" s="1">
        <v>45101</v>
      </c>
      <c r="C125" t="s">
        <v>15</v>
      </c>
      <c r="D125" t="s">
        <v>19</v>
      </c>
      <c r="E125" t="s">
        <v>32</v>
      </c>
      <c r="F125" t="s">
        <v>29</v>
      </c>
      <c r="G125">
        <v>14</v>
      </c>
      <c r="H125" t="s">
        <v>36</v>
      </c>
      <c r="I125">
        <v>41</v>
      </c>
      <c r="J125">
        <v>264.60000000000002</v>
      </c>
      <c r="K125">
        <f t="shared" si="3"/>
        <v>3704.4000000000005</v>
      </c>
    </row>
    <row r="126" spans="1:11" x14ac:dyDescent="0.35">
      <c r="A126" t="s">
        <v>327</v>
      </c>
      <c r="B126" s="1">
        <v>45167</v>
      </c>
      <c r="C126" t="s">
        <v>15</v>
      </c>
      <c r="D126" t="s">
        <v>19</v>
      </c>
      <c r="E126" t="s">
        <v>32</v>
      </c>
      <c r="F126" t="s">
        <v>29</v>
      </c>
      <c r="G126">
        <v>1</v>
      </c>
      <c r="H126" t="s">
        <v>33</v>
      </c>
      <c r="I126">
        <v>38</v>
      </c>
      <c r="J126">
        <v>3734.74</v>
      </c>
      <c r="K126">
        <f t="shared" si="3"/>
        <v>3734.74</v>
      </c>
    </row>
    <row r="127" spans="1:11" x14ac:dyDescent="0.35">
      <c r="A127" t="s">
        <v>328</v>
      </c>
      <c r="B127" s="1">
        <v>45035</v>
      </c>
      <c r="C127" t="s">
        <v>23</v>
      </c>
      <c r="D127" t="s">
        <v>24</v>
      </c>
      <c r="E127" t="s">
        <v>45</v>
      </c>
      <c r="F127" t="s">
        <v>29</v>
      </c>
      <c r="G127">
        <v>10</v>
      </c>
      <c r="H127" t="s">
        <v>14</v>
      </c>
      <c r="I127">
        <v>30</v>
      </c>
      <c r="J127">
        <v>373.54</v>
      </c>
      <c r="K127">
        <f t="shared" si="3"/>
        <v>3735.4</v>
      </c>
    </row>
    <row r="128" spans="1:11" x14ac:dyDescent="0.35">
      <c r="A128" t="s">
        <v>329</v>
      </c>
      <c r="B128" s="1">
        <v>45199</v>
      </c>
      <c r="C128" t="s">
        <v>15</v>
      </c>
      <c r="D128" t="s">
        <v>16</v>
      </c>
      <c r="E128" t="s">
        <v>34</v>
      </c>
      <c r="F128" t="s">
        <v>13</v>
      </c>
      <c r="G128">
        <v>1</v>
      </c>
      <c r="H128" t="s">
        <v>37</v>
      </c>
      <c r="I128">
        <v>49</v>
      </c>
      <c r="J128">
        <v>3754.28</v>
      </c>
      <c r="K128">
        <f t="shared" si="3"/>
        <v>3754.28</v>
      </c>
    </row>
    <row r="129" spans="1:11" x14ac:dyDescent="0.35">
      <c r="A129" t="s">
        <v>330</v>
      </c>
      <c r="B129" s="1">
        <v>44997</v>
      </c>
      <c r="C129" t="s">
        <v>15</v>
      </c>
      <c r="D129" t="s">
        <v>16</v>
      </c>
      <c r="E129" t="s">
        <v>34</v>
      </c>
      <c r="F129" t="s">
        <v>21</v>
      </c>
      <c r="G129">
        <v>2</v>
      </c>
      <c r="H129" t="s">
        <v>31</v>
      </c>
      <c r="I129">
        <v>35</v>
      </c>
      <c r="J129">
        <v>1888.47</v>
      </c>
      <c r="K129">
        <f t="shared" si="3"/>
        <v>3776.94</v>
      </c>
    </row>
    <row r="130" spans="1:11" x14ac:dyDescent="0.35">
      <c r="A130" t="s">
        <v>331</v>
      </c>
      <c r="B130" s="1">
        <v>44989</v>
      </c>
      <c r="C130" t="s">
        <v>23</v>
      </c>
      <c r="D130" t="s">
        <v>24</v>
      </c>
      <c r="E130" t="s">
        <v>44</v>
      </c>
      <c r="F130" t="s">
        <v>13</v>
      </c>
      <c r="G130">
        <v>1</v>
      </c>
      <c r="H130" t="s">
        <v>36</v>
      </c>
      <c r="I130">
        <v>35</v>
      </c>
      <c r="J130">
        <v>3781.47</v>
      </c>
      <c r="K130">
        <f t="shared" ref="K130:K193" si="4">G130*J130</f>
        <v>3781.47</v>
      </c>
    </row>
    <row r="131" spans="1:11" x14ac:dyDescent="0.35">
      <c r="A131" t="s">
        <v>332</v>
      </c>
      <c r="B131" s="1">
        <v>45250</v>
      </c>
      <c r="C131" t="s">
        <v>23</v>
      </c>
      <c r="D131" t="s">
        <v>24</v>
      </c>
      <c r="E131" t="s">
        <v>25</v>
      </c>
      <c r="F131" t="s">
        <v>29</v>
      </c>
      <c r="G131">
        <v>4</v>
      </c>
      <c r="H131" t="s">
        <v>30</v>
      </c>
      <c r="I131">
        <v>28</v>
      </c>
      <c r="J131">
        <v>961.38</v>
      </c>
      <c r="K131">
        <f t="shared" si="4"/>
        <v>3845.52</v>
      </c>
    </row>
    <row r="132" spans="1:11" x14ac:dyDescent="0.35">
      <c r="A132" t="s">
        <v>333</v>
      </c>
      <c r="B132" s="1">
        <v>45613</v>
      </c>
      <c r="C132" t="s">
        <v>23</v>
      </c>
      <c r="D132" t="s">
        <v>24</v>
      </c>
      <c r="E132" t="s">
        <v>25</v>
      </c>
      <c r="F132" t="s">
        <v>29</v>
      </c>
      <c r="G132">
        <v>4</v>
      </c>
      <c r="H132" t="s">
        <v>14</v>
      </c>
      <c r="I132">
        <v>28</v>
      </c>
      <c r="J132">
        <v>961.38</v>
      </c>
      <c r="K132">
        <f t="shared" si="4"/>
        <v>3845.52</v>
      </c>
    </row>
    <row r="133" spans="1:11" x14ac:dyDescent="0.35">
      <c r="A133" t="s">
        <v>334</v>
      </c>
      <c r="B133" s="1">
        <v>45024</v>
      </c>
      <c r="C133" t="s">
        <v>10</v>
      </c>
      <c r="D133" t="s">
        <v>11</v>
      </c>
      <c r="E133" t="s">
        <v>12</v>
      </c>
      <c r="F133" t="s">
        <v>18</v>
      </c>
      <c r="G133">
        <v>1</v>
      </c>
      <c r="H133" t="s">
        <v>195</v>
      </c>
      <c r="I133">
        <v>34</v>
      </c>
      <c r="J133">
        <v>3847.65</v>
      </c>
      <c r="K133">
        <f t="shared" si="4"/>
        <v>3847.65</v>
      </c>
    </row>
    <row r="134" spans="1:11" x14ac:dyDescent="0.35">
      <c r="A134" t="s">
        <v>335</v>
      </c>
      <c r="B134" s="1">
        <v>45001</v>
      </c>
      <c r="C134" t="s">
        <v>10</v>
      </c>
      <c r="D134" t="s">
        <v>38</v>
      </c>
      <c r="E134" t="s">
        <v>42</v>
      </c>
      <c r="F134" t="s">
        <v>35</v>
      </c>
      <c r="G134">
        <v>2</v>
      </c>
      <c r="H134" t="s">
        <v>96</v>
      </c>
      <c r="I134">
        <v>49</v>
      </c>
      <c r="J134">
        <v>1971</v>
      </c>
      <c r="K134">
        <f t="shared" si="4"/>
        <v>3942</v>
      </c>
    </row>
    <row r="135" spans="1:11" x14ac:dyDescent="0.35">
      <c r="A135" t="s">
        <v>336</v>
      </c>
      <c r="B135" s="1">
        <v>45038</v>
      </c>
      <c r="C135" t="s">
        <v>15</v>
      </c>
      <c r="D135" t="s">
        <v>16</v>
      </c>
      <c r="E135" t="s">
        <v>43</v>
      </c>
      <c r="F135" t="s">
        <v>18</v>
      </c>
      <c r="G135">
        <v>1</v>
      </c>
      <c r="H135" t="s">
        <v>31</v>
      </c>
      <c r="I135">
        <v>20</v>
      </c>
      <c r="J135">
        <v>3964.08</v>
      </c>
      <c r="K135">
        <f t="shared" si="4"/>
        <v>3964.08</v>
      </c>
    </row>
    <row r="136" spans="1:11" x14ac:dyDescent="0.35">
      <c r="A136" t="s">
        <v>337</v>
      </c>
      <c r="B136" s="1">
        <v>44966</v>
      </c>
      <c r="C136" t="s">
        <v>15</v>
      </c>
      <c r="D136" t="s">
        <v>19</v>
      </c>
      <c r="E136" t="s">
        <v>22</v>
      </c>
      <c r="F136" t="s">
        <v>21</v>
      </c>
      <c r="G136">
        <v>1</v>
      </c>
      <c r="H136" t="s">
        <v>26</v>
      </c>
      <c r="I136">
        <v>43</v>
      </c>
      <c r="J136">
        <v>3964.37</v>
      </c>
      <c r="K136">
        <f t="shared" si="4"/>
        <v>3964.37</v>
      </c>
    </row>
    <row r="137" spans="1:11" x14ac:dyDescent="0.35">
      <c r="A137" t="s">
        <v>338</v>
      </c>
      <c r="B137" s="1">
        <v>45183</v>
      </c>
      <c r="C137" t="s">
        <v>15</v>
      </c>
      <c r="D137" t="s">
        <v>19</v>
      </c>
      <c r="E137" t="s">
        <v>32</v>
      </c>
      <c r="F137" t="s">
        <v>35</v>
      </c>
      <c r="G137">
        <v>2</v>
      </c>
      <c r="H137" t="s">
        <v>30</v>
      </c>
      <c r="I137">
        <v>16</v>
      </c>
      <c r="J137">
        <v>1983.93</v>
      </c>
      <c r="K137">
        <f t="shared" si="4"/>
        <v>3967.86</v>
      </c>
    </row>
    <row r="138" spans="1:11" x14ac:dyDescent="0.35">
      <c r="A138" t="s">
        <v>339</v>
      </c>
      <c r="B138" s="1">
        <v>45637</v>
      </c>
      <c r="C138" t="s">
        <v>15</v>
      </c>
      <c r="D138" t="s">
        <v>19</v>
      </c>
      <c r="E138" t="s">
        <v>32</v>
      </c>
      <c r="F138" t="s">
        <v>35</v>
      </c>
      <c r="G138">
        <v>2</v>
      </c>
      <c r="H138" t="s">
        <v>14</v>
      </c>
      <c r="I138">
        <v>16</v>
      </c>
      <c r="J138">
        <v>1983.93</v>
      </c>
      <c r="K138">
        <f t="shared" si="4"/>
        <v>3967.86</v>
      </c>
    </row>
    <row r="139" spans="1:11" x14ac:dyDescent="0.35">
      <c r="A139" t="s">
        <v>340</v>
      </c>
      <c r="B139" s="1">
        <v>45106</v>
      </c>
      <c r="C139" t="s">
        <v>10</v>
      </c>
      <c r="D139" t="s">
        <v>38</v>
      </c>
      <c r="E139" t="s">
        <v>39</v>
      </c>
      <c r="F139" t="s">
        <v>21</v>
      </c>
      <c r="G139">
        <v>14</v>
      </c>
      <c r="H139" t="s">
        <v>14</v>
      </c>
      <c r="I139">
        <v>31</v>
      </c>
      <c r="J139">
        <v>283.7</v>
      </c>
      <c r="K139">
        <f t="shared" si="4"/>
        <v>3971.7999999999997</v>
      </c>
    </row>
    <row r="140" spans="1:11" x14ac:dyDescent="0.35">
      <c r="A140" t="s">
        <v>341</v>
      </c>
      <c r="B140" s="1">
        <v>45209</v>
      </c>
      <c r="C140" t="s">
        <v>10</v>
      </c>
      <c r="D140" t="s">
        <v>11</v>
      </c>
      <c r="E140" t="s">
        <v>12</v>
      </c>
      <c r="F140" t="s">
        <v>21</v>
      </c>
      <c r="G140">
        <v>5</v>
      </c>
      <c r="H140" t="s">
        <v>14</v>
      </c>
      <c r="I140">
        <v>32</v>
      </c>
      <c r="J140">
        <v>800.88</v>
      </c>
      <c r="K140">
        <f t="shared" si="4"/>
        <v>4004.4</v>
      </c>
    </row>
    <row r="141" spans="1:11" x14ac:dyDescent="0.35">
      <c r="A141" t="s">
        <v>342</v>
      </c>
      <c r="B141" s="1">
        <v>45070</v>
      </c>
      <c r="C141" t="s">
        <v>23</v>
      </c>
      <c r="D141" t="s">
        <v>24</v>
      </c>
      <c r="E141" t="s">
        <v>25</v>
      </c>
      <c r="F141" t="s">
        <v>35</v>
      </c>
      <c r="G141">
        <v>4</v>
      </c>
      <c r="H141" t="s">
        <v>97</v>
      </c>
      <c r="I141">
        <v>42</v>
      </c>
      <c r="J141">
        <v>1020.23</v>
      </c>
      <c r="K141">
        <f t="shared" si="4"/>
        <v>4080.92</v>
      </c>
    </row>
    <row r="142" spans="1:11" x14ac:dyDescent="0.35">
      <c r="A142" t="s">
        <v>343</v>
      </c>
      <c r="B142" s="1">
        <v>45620</v>
      </c>
      <c r="C142" t="s">
        <v>23</v>
      </c>
      <c r="D142" t="s">
        <v>24</v>
      </c>
      <c r="E142" t="s">
        <v>25</v>
      </c>
      <c r="F142" t="s">
        <v>35</v>
      </c>
      <c r="G142">
        <v>4</v>
      </c>
      <c r="H142" t="s">
        <v>28</v>
      </c>
      <c r="I142">
        <v>42</v>
      </c>
      <c r="J142">
        <v>1020.23</v>
      </c>
      <c r="K142">
        <f t="shared" si="4"/>
        <v>4080.92</v>
      </c>
    </row>
    <row r="143" spans="1:11" x14ac:dyDescent="0.35">
      <c r="A143" t="s">
        <v>344</v>
      </c>
      <c r="B143" s="1">
        <v>44934</v>
      </c>
      <c r="C143" t="s">
        <v>23</v>
      </c>
      <c r="D143" t="s">
        <v>24</v>
      </c>
      <c r="E143" t="s">
        <v>25</v>
      </c>
      <c r="F143" t="s">
        <v>13</v>
      </c>
      <c r="G143">
        <v>9</v>
      </c>
      <c r="H143" t="s">
        <v>28</v>
      </c>
      <c r="I143">
        <v>19</v>
      </c>
      <c r="J143">
        <v>455.98</v>
      </c>
      <c r="K143">
        <f t="shared" si="4"/>
        <v>4103.82</v>
      </c>
    </row>
    <row r="144" spans="1:11" x14ac:dyDescent="0.35">
      <c r="A144" t="s">
        <v>345</v>
      </c>
      <c r="B144" s="1">
        <v>44930</v>
      </c>
      <c r="C144" t="s">
        <v>10</v>
      </c>
      <c r="D144" t="s">
        <v>38</v>
      </c>
      <c r="E144" t="s">
        <v>42</v>
      </c>
      <c r="F144" t="s">
        <v>35</v>
      </c>
      <c r="G144">
        <v>4</v>
      </c>
      <c r="H144" t="s">
        <v>195</v>
      </c>
      <c r="I144">
        <v>46</v>
      </c>
      <c r="J144">
        <v>1027.32</v>
      </c>
      <c r="K144">
        <f t="shared" si="4"/>
        <v>4109.28</v>
      </c>
    </row>
    <row r="145" spans="1:11" x14ac:dyDescent="0.35">
      <c r="A145" t="s">
        <v>346</v>
      </c>
      <c r="B145" s="1">
        <v>45101</v>
      </c>
      <c r="C145" t="s">
        <v>10</v>
      </c>
      <c r="D145" t="s">
        <v>38</v>
      </c>
      <c r="E145" t="s">
        <v>42</v>
      </c>
      <c r="F145" t="s">
        <v>29</v>
      </c>
      <c r="G145">
        <v>1</v>
      </c>
      <c r="H145" t="s">
        <v>37</v>
      </c>
      <c r="I145">
        <v>51</v>
      </c>
      <c r="J145">
        <v>4117.97</v>
      </c>
      <c r="K145">
        <f t="shared" si="4"/>
        <v>4117.97</v>
      </c>
    </row>
    <row r="146" spans="1:11" x14ac:dyDescent="0.35">
      <c r="A146" t="s">
        <v>347</v>
      </c>
      <c r="B146" s="1">
        <v>45192</v>
      </c>
      <c r="C146" t="s">
        <v>10</v>
      </c>
      <c r="D146" t="s">
        <v>11</v>
      </c>
      <c r="E146" t="s">
        <v>12</v>
      </c>
      <c r="F146" t="s">
        <v>35</v>
      </c>
      <c r="G146">
        <v>6</v>
      </c>
      <c r="H146" t="s">
        <v>14</v>
      </c>
      <c r="I146">
        <v>44</v>
      </c>
      <c r="J146">
        <v>686.38</v>
      </c>
      <c r="K146">
        <f t="shared" si="4"/>
        <v>4118.28</v>
      </c>
    </row>
    <row r="147" spans="1:11" x14ac:dyDescent="0.35">
      <c r="A147" t="s">
        <v>348</v>
      </c>
      <c r="B147" s="1">
        <v>44993</v>
      </c>
      <c r="C147" t="s">
        <v>23</v>
      </c>
      <c r="D147" t="s">
        <v>24</v>
      </c>
      <c r="E147" t="s">
        <v>44</v>
      </c>
      <c r="F147" t="s">
        <v>35</v>
      </c>
      <c r="G147">
        <v>11</v>
      </c>
      <c r="H147" t="s">
        <v>96</v>
      </c>
      <c r="I147">
        <v>49</v>
      </c>
      <c r="J147">
        <v>377.1</v>
      </c>
      <c r="K147">
        <f t="shared" si="4"/>
        <v>4148.1000000000004</v>
      </c>
    </row>
    <row r="148" spans="1:11" x14ac:dyDescent="0.35">
      <c r="A148" t="s">
        <v>349</v>
      </c>
      <c r="B148" s="1">
        <v>45260</v>
      </c>
      <c r="C148" t="s">
        <v>15</v>
      </c>
      <c r="D148" t="s">
        <v>16</v>
      </c>
      <c r="E148" t="s">
        <v>43</v>
      </c>
      <c r="F148" t="s">
        <v>18</v>
      </c>
      <c r="G148">
        <v>2</v>
      </c>
      <c r="H148" t="s">
        <v>195</v>
      </c>
      <c r="I148">
        <v>21</v>
      </c>
      <c r="J148">
        <v>2087.14</v>
      </c>
      <c r="K148">
        <f t="shared" si="4"/>
        <v>4174.28</v>
      </c>
    </row>
    <row r="149" spans="1:11" x14ac:dyDescent="0.35">
      <c r="A149" t="s">
        <v>350</v>
      </c>
      <c r="B149" s="1">
        <v>45090</v>
      </c>
      <c r="C149" t="s">
        <v>10</v>
      </c>
      <c r="D149" t="s">
        <v>38</v>
      </c>
      <c r="E149" t="s">
        <v>39</v>
      </c>
      <c r="F149" t="s">
        <v>21</v>
      </c>
      <c r="G149">
        <v>14</v>
      </c>
      <c r="H149" t="s">
        <v>195</v>
      </c>
      <c r="I149">
        <v>51</v>
      </c>
      <c r="J149">
        <v>298.99</v>
      </c>
      <c r="K149">
        <f t="shared" si="4"/>
        <v>4185.8600000000006</v>
      </c>
    </row>
    <row r="150" spans="1:11" x14ac:dyDescent="0.35">
      <c r="A150" t="s">
        <v>351</v>
      </c>
      <c r="B150" s="1">
        <v>45076</v>
      </c>
      <c r="C150" t="s">
        <v>23</v>
      </c>
      <c r="D150" t="s">
        <v>24</v>
      </c>
      <c r="E150" t="s">
        <v>44</v>
      </c>
      <c r="F150" t="s">
        <v>35</v>
      </c>
      <c r="G150">
        <v>2</v>
      </c>
      <c r="H150" t="s">
        <v>30</v>
      </c>
      <c r="I150">
        <v>50</v>
      </c>
      <c r="J150">
        <v>2119.5100000000002</v>
      </c>
      <c r="K150">
        <f t="shared" si="4"/>
        <v>4239.0200000000004</v>
      </c>
    </row>
    <row r="151" spans="1:11" x14ac:dyDescent="0.35">
      <c r="A151" t="s">
        <v>352</v>
      </c>
      <c r="B151" s="1">
        <v>44985</v>
      </c>
      <c r="C151" t="s">
        <v>15</v>
      </c>
      <c r="D151" t="s">
        <v>16</v>
      </c>
      <c r="E151" t="s">
        <v>17</v>
      </c>
      <c r="F151" t="s">
        <v>13</v>
      </c>
      <c r="G151">
        <v>10</v>
      </c>
      <c r="H151" t="s">
        <v>28</v>
      </c>
      <c r="I151">
        <v>45</v>
      </c>
      <c r="J151">
        <v>429.69</v>
      </c>
      <c r="K151">
        <f t="shared" si="4"/>
        <v>4296.8999999999996</v>
      </c>
    </row>
    <row r="152" spans="1:11" x14ac:dyDescent="0.35">
      <c r="A152" t="s">
        <v>353</v>
      </c>
      <c r="B152" s="1">
        <v>44985</v>
      </c>
      <c r="C152" t="s">
        <v>10</v>
      </c>
      <c r="D152" t="s">
        <v>11</v>
      </c>
      <c r="E152" t="s">
        <v>12</v>
      </c>
      <c r="F152" t="s">
        <v>21</v>
      </c>
      <c r="G152">
        <v>4</v>
      </c>
      <c r="H152" t="s">
        <v>33</v>
      </c>
      <c r="I152">
        <v>40</v>
      </c>
      <c r="J152">
        <v>1080.1600000000001</v>
      </c>
      <c r="K152">
        <f t="shared" si="4"/>
        <v>4320.6400000000003</v>
      </c>
    </row>
    <row r="153" spans="1:11" x14ac:dyDescent="0.35">
      <c r="A153" t="s">
        <v>354</v>
      </c>
      <c r="B153" s="1">
        <v>45285</v>
      </c>
      <c r="C153" t="s">
        <v>10</v>
      </c>
      <c r="D153" t="s">
        <v>38</v>
      </c>
      <c r="E153" t="s">
        <v>40</v>
      </c>
      <c r="F153" t="s">
        <v>13</v>
      </c>
      <c r="G153">
        <v>2</v>
      </c>
      <c r="H153" t="s">
        <v>28</v>
      </c>
      <c r="I153">
        <v>46</v>
      </c>
      <c r="J153">
        <v>2171.79</v>
      </c>
      <c r="K153">
        <f t="shared" si="4"/>
        <v>4343.58</v>
      </c>
    </row>
    <row r="154" spans="1:11" x14ac:dyDescent="0.35">
      <c r="A154" t="s">
        <v>355</v>
      </c>
      <c r="B154" s="1">
        <v>45074</v>
      </c>
      <c r="C154" t="s">
        <v>10</v>
      </c>
      <c r="D154" t="s">
        <v>38</v>
      </c>
      <c r="E154" t="s">
        <v>39</v>
      </c>
      <c r="F154" t="s">
        <v>21</v>
      </c>
      <c r="G154">
        <v>5</v>
      </c>
      <c r="H154" t="s">
        <v>28</v>
      </c>
      <c r="I154">
        <v>36</v>
      </c>
      <c r="J154">
        <v>877.62</v>
      </c>
      <c r="K154">
        <f t="shared" si="4"/>
        <v>4388.1000000000004</v>
      </c>
    </row>
    <row r="155" spans="1:11" x14ac:dyDescent="0.35">
      <c r="A155" t="s">
        <v>356</v>
      </c>
      <c r="B155" s="1">
        <v>44953</v>
      </c>
      <c r="C155" t="s">
        <v>10</v>
      </c>
      <c r="D155" t="s">
        <v>38</v>
      </c>
      <c r="E155" t="s">
        <v>42</v>
      </c>
      <c r="F155" t="s">
        <v>21</v>
      </c>
      <c r="G155">
        <v>5</v>
      </c>
      <c r="H155" t="s">
        <v>195</v>
      </c>
      <c r="I155">
        <v>52</v>
      </c>
      <c r="J155">
        <v>879.82</v>
      </c>
      <c r="K155">
        <f t="shared" si="4"/>
        <v>4399.1000000000004</v>
      </c>
    </row>
    <row r="156" spans="1:11" x14ac:dyDescent="0.35">
      <c r="A156" t="s">
        <v>357</v>
      </c>
      <c r="B156" s="1">
        <v>45146</v>
      </c>
      <c r="C156" t="s">
        <v>10</v>
      </c>
      <c r="D156" t="s">
        <v>11</v>
      </c>
      <c r="E156" t="s">
        <v>12</v>
      </c>
      <c r="F156" t="s">
        <v>29</v>
      </c>
      <c r="G156">
        <v>9</v>
      </c>
      <c r="H156" t="s">
        <v>195</v>
      </c>
      <c r="I156">
        <v>21</v>
      </c>
      <c r="J156">
        <v>489.27</v>
      </c>
      <c r="K156">
        <f t="shared" si="4"/>
        <v>4403.43</v>
      </c>
    </row>
    <row r="157" spans="1:11" x14ac:dyDescent="0.35">
      <c r="A157" t="s">
        <v>358</v>
      </c>
      <c r="B157" s="1">
        <v>45640</v>
      </c>
      <c r="C157" t="s">
        <v>10</v>
      </c>
      <c r="D157" t="s">
        <v>11</v>
      </c>
      <c r="E157" t="s">
        <v>12</v>
      </c>
      <c r="F157" t="s">
        <v>29</v>
      </c>
      <c r="G157">
        <v>9</v>
      </c>
      <c r="H157" t="s">
        <v>195</v>
      </c>
      <c r="I157">
        <v>21</v>
      </c>
      <c r="J157">
        <v>489.27</v>
      </c>
      <c r="K157">
        <f t="shared" si="4"/>
        <v>4403.43</v>
      </c>
    </row>
    <row r="158" spans="1:11" x14ac:dyDescent="0.35">
      <c r="A158" t="s">
        <v>359</v>
      </c>
      <c r="B158" s="1">
        <v>45120</v>
      </c>
      <c r="C158" t="s">
        <v>15</v>
      </c>
      <c r="D158" t="s">
        <v>19</v>
      </c>
      <c r="E158" t="s">
        <v>32</v>
      </c>
      <c r="F158" t="s">
        <v>35</v>
      </c>
      <c r="G158">
        <v>9</v>
      </c>
      <c r="H158" t="s">
        <v>96</v>
      </c>
      <c r="I158">
        <v>20</v>
      </c>
      <c r="J158">
        <v>491.64</v>
      </c>
      <c r="K158">
        <f t="shared" si="4"/>
        <v>4424.76</v>
      </c>
    </row>
    <row r="159" spans="1:11" x14ac:dyDescent="0.35">
      <c r="A159" t="s">
        <v>360</v>
      </c>
      <c r="B159" s="1">
        <v>45257</v>
      </c>
      <c r="C159" t="s">
        <v>15</v>
      </c>
      <c r="D159" t="s">
        <v>16</v>
      </c>
      <c r="E159" t="s">
        <v>17</v>
      </c>
      <c r="F159" t="s">
        <v>13</v>
      </c>
      <c r="G159">
        <v>7</v>
      </c>
      <c r="H159" t="s">
        <v>97</v>
      </c>
      <c r="I159">
        <v>55</v>
      </c>
      <c r="J159">
        <v>633.15</v>
      </c>
      <c r="K159">
        <f t="shared" si="4"/>
        <v>4432.05</v>
      </c>
    </row>
    <row r="160" spans="1:11" x14ac:dyDescent="0.35">
      <c r="A160" t="s">
        <v>361</v>
      </c>
      <c r="B160" s="1">
        <v>45226</v>
      </c>
      <c r="C160" t="s">
        <v>15</v>
      </c>
      <c r="D160" t="s">
        <v>19</v>
      </c>
      <c r="E160" t="s">
        <v>32</v>
      </c>
      <c r="F160" t="s">
        <v>18</v>
      </c>
      <c r="G160">
        <v>1</v>
      </c>
      <c r="H160" t="s">
        <v>96</v>
      </c>
      <c r="I160">
        <v>22</v>
      </c>
      <c r="J160">
        <v>4443.22</v>
      </c>
      <c r="K160">
        <f t="shared" si="4"/>
        <v>4443.22</v>
      </c>
    </row>
    <row r="161" spans="1:11" x14ac:dyDescent="0.35">
      <c r="A161" t="s">
        <v>362</v>
      </c>
      <c r="B161" s="1">
        <v>44950</v>
      </c>
      <c r="C161" t="s">
        <v>10</v>
      </c>
      <c r="D161" t="s">
        <v>38</v>
      </c>
      <c r="E161" t="s">
        <v>39</v>
      </c>
      <c r="F161" t="s">
        <v>21</v>
      </c>
      <c r="G161">
        <v>6</v>
      </c>
      <c r="H161" t="s">
        <v>30</v>
      </c>
      <c r="I161">
        <v>42</v>
      </c>
      <c r="J161">
        <v>744.85</v>
      </c>
      <c r="K161">
        <f t="shared" si="4"/>
        <v>4469.1000000000004</v>
      </c>
    </row>
    <row r="162" spans="1:11" x14ac:dyDescent="0.35">
      <c r="A162" t="s">
        <v>363</v>
      </c>
      <c r="B162" s="1">
        <v>45071</v>
      </c>
      <c r="C162" t="s">
        <v>10</v>
      </c>
      <c r="D162" t="s">
        <v>38</v>
      </c>
      <c r="E162" t="s">
        <v>39</v>
      </c>
      <c r="F162" t="s">
        <v>13</v>
      </c>
      <c r="G162">
        <v>2</v>
      </c>
      <c r="H162" t="s">
        <v>28</v>
      </c>
      <c r="I162">
        <v>33</v>
      </c>
      <c r="J162">
        <v>2238.46</v>
      </c>
      <c r="K162">
        <f t="shared" si="4"/>
        <v>4476.92</v>
      </c>
    </row>
    <row r="163" spans="1:11" x14ac:dyDescent="0.35">
      <c r="A163" t="s">
        <v>364</v>
      </c>
      <c r="B163" s="1">
        <v>44964</v>
      </c>
      <c r="C163" t="s">
        <v>15</v>
      </c>
      <c r="D163" t="s">
        <v>19</v>
      </c>
      <c r="E163" t="s">
        <v>20</v>
      </c>
      <c r="F163" t="s">
        <v>29</v>
      </c>
      <c r="G163">
        <v>8</v>
      </c>
      <c r="H163" t="s">
        <v>30</v>
      </c>
      <c r="I163">
        <v>54</v>
      </c>
      <c r="J163">
        <v>562.98</v>
      </c>
      <c r="K163">
        <f t="shared" si="4"/>
        <v>4503.84</v>
      </c>
    </row>
    <row r="164" spans="1:11" x14ac:dyDescent="0.35">
      <c r="A164" t="s">
        <v>365</v>
      </c>
      <c r="B164" s="1">
        <v>44979</v>
      </c>
      <c r="C164" t="s">
        <v>23</v>
      </c>
      <c r="D164" t="s">
        <v>24</v>
      </c>
      <c r="E164" t="s">
        <v>44</v>
      </c>
      <c r="F164" t="s">
        <v>13</v>
      </c>
      <c r="G164">
        <v>1</v>
      </c>
      <c r="H164" t="s">
        <v>33</v>
      </c>
      <c r="I164">
        <v>55</v>
      </c>
      <c r="J164">
        <v>4511.88</v>
      </c>
      <c r="K164">
        <f t="shared" si="4"/>
        <v>4511.88</v>
      </c>
    </row>
    <row r="165" spans="1:11" x14ac:dyDescent="0.35">
      <c r="A165" t="s">
        <v>366</v>
      </c>
      <c r="B165" s="1">
        <v>45282</v>
      </c>
      <c r="C165" t="s">
        <v>23</v>
      </c>
      <c r="D165" t="s">
        <v>24</v>
      </c>
      <c r="E165" t="s">
        <v>44</v>
      </c>
      <c r="F165" t="s">
        <v>35</v>
      </c>
      <c r="G165">
        <v>4</v>
      </c>
      <c r="H165" t="s">
        <v>14</v>
      </c>
      <c r="I165">
        <v>50</v>
      </c>
      <c r="J165">
        <v>1128.8900000000001</v>
      </c>
      <c r="K165">
        <f t="shared" si="4"/>
        <v>4515.5600000000004</v>
      </c>
    </row>
    <row r="166" spans="1:11" x14ac:dyDescent="0.35">
      <c r="A166" t="s">
        <v>367</v>
      </c>
      <c r="B166" s="1">
        <v>45261</v>
      </c>
      <c r="C166" t="s">
        <v>10</v>
      </c>
      <c r="D166" t="s">
        <v>38</v>
      </c>
      <c r="E166" t="s">
        <v>40</v>
      </c>
      <c r="F166" t="s">
        <v>18</v>
      </c>
      <c r="G166">
        <v>1</v>
      </c>
      <c r="H166" t="s">
        <v>28</v>
      </c>
      <c r="I166">
        <v>39</v>
      </c>
      <c r="J166">
        <v>4557.0600000000004</v>
      </c>
      <c r="K166">
        <f t="shared" si="4"/>
        <v>4557.0600000000004</v>
      </c>
    </row>
    <row r="167" spans="1:11" x14ac:dyDescent="0.35">
      <c r="A167" t="s">
        <v>368</v>
      </c>
      <c r="B167" s="1">
        <v>45624</v>
      </c>
      <c r="C167" t="s">
        <v>10</v>
      </c>
      <c r="D167" t="s">
        <v>38</v>
      </c>
      <c r="E167" t="s">
        <v>40</v>
      </c>
      <c r="F167" t="s">
        <v>18</v>
      </c>
      <c r="G167">
        <v>1</v>
      </c>
      <c r="H167" t="s">
        <v>28</v>
      </c>
      <c r="I167">
        <v>39</v>
      </c>
      <c r="J167">
        <v>4557.0600000000004</v>
      </c>
      <c r="K167">
        <f t="shared" si="4"/>
        <v>4557.0600000000004</v>
      </c>
    </row>
    <row r="168" spans="1:11" x14ac:dyDescent="0.35">
      <c r="A168" t="s">
        <v>369</v>
      </c>
      <c r="B168" s="1">
        <v>44994</v>
      </c>
      <c r="C168" t="s">
        <v>23</v>
      </c>
      <c r="D168" t="s">
        <v>24</v>
      </c>
      <c r="E168" t="s">
        <v>45</v>
      </c>
      <c r="F168" t="s">
        <v>35</v>
      </c>
      <c r="G168">
        <v>5</v>
      </c>
      <c r="H168" t="s">
        <v>195</v>
      </c>
      <c r="I168">
        <v>33</v>
      </c>
      <c r="J168">
        <v>912.33</v>
      </c>
      <c r="K168">
        <f t="shared" si="4"/>
        <v>4561.6500000000005</v>
      </c>
    </row>
    <row r="169" spans="1:11" x14ac:dyDescent="0.35">
      <c r="A169" t="s">
        <v>370</v>
      </c>
      <c r="B169" s="1">
        <v>45230</v>
      </c>
      <c r="C169" t="s">
        <v>15</v>
      </c>
      <c r="D169" t="s">
        <v>16</v>
      </c>
      <c r="E169" t="s">
        <v>43</v>
      </c>
      <c r="F169" t="s">
        <v>35</v>
      </c>
      <c r="G169">
        <v>2</v>
      </c>
      <c r="H169" t="s">
        <v>97</v>
      </c>
      <c r="I169">
        <v>33</v>
      </c>
      <c r="J169">
        <v>2287.09</v>
      </c>
      <c r="K169">
        <f t="shared" si="4"/>
        <v>4574.18</v>
      </c>
    </row>
    <row r="170" spans="1:11" x14ac:dyDescent="0.35">
      <c r="A170" t="s">
        <v>371</v>
      </c>
      <c r="B170" s="1">
        <v>45644</v>
      </c>
      <c r="C170" t="s">
        <v>15</v>
      </c>
      <c r="D170" t="s">
        <v>16</v>
      </c>
      <c r="E170" t="s">
        <v>43</v>
      </c>
      <c r="F170" t="s">
        <v>35</v>
      </c>
      <c r="G170">
        <v>2</v>
      </c>
      <c r="H170" t="s">
        <v>28</v>
      </c>
      <c r="I170">
        <v>33</v>
      </c>
      <c r="J170">
        <v>2287.09</v>
      </c>
      <c r="K170">
        <f t="shared" si="4"/>
        <v>4574.18</v>
      </c>
    </row>
    <row r="171" spans="1:11" x14ac:dyDescent="0.35">
      <c r="A171" t="s">
        <v>372</v>
      </c>
      <c r="B171" s="1">
        <v>44965</v>
      </c>
      <c r="C171" t="s">
        <v>15</v>
      </c>
      <c r="D171" t="s">
        <v>16</v>
      </c>
      <c r="E171" t="s">
        <v>17</v>
      </c>
      <c r="F171" t="s">
        <v>21</v>
      </c>
      <c r="G171">
        <v>17</v>
      </c>
      <c r="H171" t="s">
        <v>14</v>
      </c>
      <c r="I171">
        <v>22</v>
      </c>
      <c r="J171">
        <v>269.7</v>
      </c>
      <c r="K171">
        <f t="shared" si="4"/>
        <v>4584.8999999999996</v>
      </c>
    </row>
    <row r="172" spans="1:11" x14ac:dyDescent="0.35">
      <c r="A172" t="s">
        <v>373</v>
      </c>
      <c r="B172" s="1">
        <v>45205</v>
      </c>
      <c r="C172" t="s">
        <v>23</v>
      </c>
      <c r="D172" t="s">
        <v>24</v>
      </c>
      <c r="E172" t="s">
        <v>25</v>
      </c>
      <c r="F172" t="s">
        <v>35</v>
      </c>
      <c r="G172">
        <v>4</v>
      </c>
      <c r="H172" t="s">
        <v>33</v>
      </c>
      <c r="I172">
        <v>22</v>
      </c>
      <c r="J172">
        <v>1147.06</v>
      </c>
      <c r="K172">
        <f t="shared" si="4"/>
        <v>4588.24</v>
      </c>
    </row>
    <row r="173" spans="1:11" x14ac:dyDescent="0.35">
      <c r="A173" t="s">
        <v>374</v>
      </c>
      <c r="B173" s="1">
        <v>45099</v>
      </c>
      <c r="C173" t="s">
        <v>10</v>
      </c>
      <c r="D173" t="s">
        <v>11</v>
      </c>
      <c r="E173" t="s">
        <v>27</v>
      </c>
      <c r="F173" t="s">
        <v>13</v>
      </c>
      <c r="G173">
        <v>1</v>
      </c>
      <c r="H173" t="s">
        <v>31</v>
      </c>
      <c r="I173">
        <v>52</v>
      </c>
      <c r="J173">
        <v>4640.17</v>
      </c>
      <c r="K173">
        <f t="shared" si="4"/>
        <v>4640.17</v>
      </c>
    </row>
    <row r="174" spans="1:11" x14ac:dyDescent="0.35">
      <c r="A174" t="s">
        <v>375</v>
      </c>
      <c r="B174" s="1">
        <v>45159</v>
      </c>
      <c r="C174" t="s">
        <v>15</v>
      </c>
      <c r="D174" t="s">
        <v>16</v>
      </c>
      <c r="E174" t="s">
        <v>43</v>
      </c>
      <c r="F174" t="s">
        <v>35</v>
      </c>
      <c r="G174">
        <v>9</v>
      </c>
      <c r="H174" t="s">
        <v>36</v>
      </c>
      <c r="I174">
        <v>23</v>
      </c>
      <c r="J174">
        <v>515.97</v>
      </c>
      <c r="K174">
        <f t="shared" si="4"/>
        <v>4643.7300000000005</v>
      </c>
    </row>
    <row r="175" spans="1:11" x14ac:dyDescent="0.35">
      <c r="A175" t="s">
        <v>376</v>
      </c>
      <c r="B175" s="1">
        <v>45083</v>
      </c>
      <c r="C175" t="s">
        <v>10</v>
      </c>
      <c r="D175" t="s">
        <v>11</v>
      </c>
      <c r="E175" t="s">
        <v>27</v>
      </c>
      <c r="F175" t="s">
        <v>18</v>
      </c>
      <c r="G175">
        <v>1</v>
      </c>
      <c r="H175" t="s">
        <v>26</v>
      </c>
      <c r="I175">
        <v>47</v>
      </c>
      <c r="J175">
        <v>4681.07</v>
      </c>
      <c r="K175">
        <f t="shared" si="4"/>
        <v>4681.07</v>
      </c>
    </row>
    <row r="176" spans="1:11" x14ac:dyDescent="0.35">
      <c r="A176" t="s">
        <v>377</v>
      </c>
      <c r="B176" s="1">
        <v>45231</v>
      </c>
      <c r="C176" t="s">
        <v>15</v>
      </c>
      <c r="D176" t="s">
        <v>19</v>
      </c>
      <c r="E176" t="s">
        <v>32</v>
      </c>
      <c r="F176" t="s">
        <v>35</v>
      </c>
      <c r="G176">
        <v>18</v>
      </c>
      <c r="H176" t="s">
        <v>31</v>
      </c>
      <c r="I176">
        <v>46</v>
      </c>
      <c r="J176">
        <v>262.12</v>
      </c>
      <c r="K176">
        <f t="shared" si="4"/>
        <v>4718.16</v>
      </c>
    </row>
    <row r="177" spans="1:11" x14ac:dyDescent="0.35">
      <c r="A177" t="s">
        <v>378</v>
      </c>
      <c r="B177" s="1">
        <v>44994</v>
      </c>
      <c r="C177" t="s">
        <v>23</v>
      </c>
      <c r="D177" t="s">
        <v>24</v>
      </c>
      <c r="E177" t="s">
        <v>45</v>
      </c>
      <c r="F177" t="s">
        <v>35</v>
      </c>
      <c r="G177">
        <v>4</v>
      </c>
      <c r="H177" t="s">
        <v>30</v>
      </c>
      <c r="I177">
        <v>42</v>
      </c>
      <c r="J177">
        <v>1181.3900000000001</v>
      </c>
      <c r="K177">
        <f t="shared" si="4"/>
        <v>4725.5600000000004</v>
      </c>
    </row>
    <row r="178" spans="1:11" x14ac:dyDescent="0.35">
      <c r="A178" t="s">
        <v>379</v>
      </c>
      <c r="B178" s="1">
        <v>45156</v>
      </c>
      <c r="C178" t="s">
        <v>15</v>
      </c>
      <c r="D178" t="s">
        <v>19</v>
      </c>
      <c r="E178" t="s">
        <v>22</v>
      </c>
      <c r="F178" t="s">
        <v>13</v>
      </c>
      <c r="G178">
        <v>3</v>
      </c>
      <c r="H178" t="s">
        <v>14</v>
      </c>
      <c r="I178">
        <v>48</v>
      </c>
      <c r="J178">
        <v>1577.9</v>
      </c>
      <c r="K178">
        <f t="shared" si="4"/>
        <v>4733.7000000000007</v>
      </c>
    </row>
    <row r="179" spans="1:11" x14ac:dyDescent="0.35">
      <c r="A179" t="s">
        <v>380</v>
      </c>
      <c r="B179" s="1">
        <v>45031</v>
      </c>
      <c r="C179" t="s">
        <v>15</v>
      </c>
      <c r="D179" t="s">
        <v>19</v>
      </c>
      <c r="E179" t="s">
        <v>32</v>
      </c>
      <c r="F179" t="s">
        <v>29</v>
      </c>
      <c r="G179">
        <v>8</v>
      </c>
      <c r="H179" t="s">
        <v>31</v>
      </c>
      <c r="I179">
        <v>55</v>
      </c>
      <c r="J179">
        <v>592.82000000000005</v>
      </c>
      <c r="K179">
        <f t="shared" si="4"/>
        <v>4742.5600000000004</v>
      </c>
    </row>
    <row r="180" spans="1:11" x14ac:dyDescent="0.35">
      <c r="A180" t="s">
        <v>381</v>
      </c>
      <c r="B180" s="1">
        <v>45150</v>
      </c>
      <c r="C180" t="s">
        <v>23</v>
      </c>
      <c r="D180" t="s">
        <v>24</v>
      </c>
      <c r="E180" t="s">
        <v>44</v>
      </c>
      <c r="F180" t="s">
        <v>18</v>
      </c>
      <c r="G180">
        <v>15</v>
      </c>
      <c r="H180" t="s">
        <v>36</v>
      </c>
      <c r="I180">
        <v>37</v>
      </c>
      <c r="J180">
        <v>318.32</v>
      </c>
      <c r="K180">
        <f t="shared" si="4"/>
        <v>4774.8</v>
      </c>
    </row>
    <row r="181" spans="1:11" x14ac:dyDescent="0.35">
      <c r="A181" t="s">
        <v>382</v>
      </c>
      <c r="B181" s="1">
        <v>45213</v>
      </c>
      <c r="C181" t="s">
        <v>10</v>
      </c>
      <c r="D181" t="s">
        <v>38</v>
      </c>
      <c r="E181" t="s">
        <v>39</v>
      </c>
      <c r="F181" t="s">
        <v>29</v>
      </c>
      <c r="G181">
        <v>2</v>
      </c>
      <c r="H181" t="s">
        <v>36</v>
      </c>
      <c r="I181">
        <v>44</v>
      </c>
      <c r="J181">
        <v>2400.5500000000002</v>
      </c>
      <c r="K181">
        <f t="shared" si="4"/>
        <v>4801.1000000000004</v>
      </c>
    </row>
    <row r="182" spans="1:11" x14ac:dyDescent="0.35">
      <c r="A182" t="s">
        <v>383</v>
      </c>
      <c r="B182" s="1">
        <v>45064</v>
      </c>
      <c r="C182" t="s">
        <v>10</v>
      </c>
      <c r="D182" t="s">
        <v>11</v>
      </c>
      <c r="E182" t="s">
        <v>41</v>
      </c>
      <c r="F182" t="s">
        <v>21</v>
      </c>
      <c r="G182">
        <v>2</v>
      </c>
      <c r="H182" t="s">
        <v>37</v>
      </c>
      <c r="I182">
        <v>44</v>
      </c>
      <c r="J182">
        <v>2402.5700000000002</v>
      </c>
      <c r="K182">
        <f t="shared" si="4"/>
        <v>4805.1400000000003</v>
      </c>
    </row>
    <row r="183" spans="1:11" x14ac:dyDescent="0.35">
      <c r="A183" t="s">
        <v>384</v>
      </c>
      <c r="B183" s="1">
        <v>45045</v>
      </c>
      <c r="C183" t="s">
        <v>23</v>
      </c>
      <c r="D183" t="s">
        <v>24</v>
      </c>
      <c r="E183" t="s">
        <v>44</v>
      </c>
      <c r="F183" t="s">
        <v>13</v>
      </c>
      <c r="G183">
        <v>1</v>
      </c>
      <c r="H183" t="s">
        <v>195</v>
      </c>
      <c r="I183">
        <v>33</v>
      </c>
      <c r="J183">
        <v>4815.0600000000004</v>
      </c>
      <c r="K183">
        <f t="shared" si="4"/>
        <v>4815.0600000000004</v>
      </c>
    </row>
    <row r="184" spans="1:11" x14ac:dyDescent="0.35">
      <c r="A184" t="s">
        <v>385</v>
      </c>
      <c r="B184" s="1">
        <v>45270</v>
      </c>
      <c r="C184" t="s">
        <v>10</v>
      </c>
      <c r="D184" t="s">
        <v>38</v>
      </c>
      <c r="E184" t="s">
        <v>42</v>
      </c>
      <c r="F184" t="s">
        <v>35</v>
      </c>
      <c r="G184">
        <v>4</v>
      </c>
      <c r="H184" t="s">
        <v>33</v>
      </c>
      <c r="I184">
        <v>48</v>
      </c>
      <c r="J184">
        <v>1208.21</v>
      </c>
      <c r="K184">
        <f t="shared" si="4"/>
        <v>4832.84</v>
      </c>
    </row>
    <row r="185" spans="1:11" x14ac:dyDescent="0.35">
      <c r="A185" t="s">
        <v>386</v>
      </c>
      <c r="B185" s="1">
        <v>44961</v>
      </c>
      <c r="C185" t="s">
        <v>23</v>
      </c>
      <c r="D185" t="s">
        <v>24</v>
      </c>
      <c r="E185" t="s">
        <v>45</v>
      </c>
      <c r="F185" t="s">
        <v>35</v>
      </c>
      <c r="G185">
        <v>5</v>
      </c>
      <c r="H185" t="s">
        <v>14</v>
      </c>
      <c r="I185">
        <v>44</v>
      </c>
      <c r="J185">
        <v>968.86</v>
      </c>
      <c r="K185">
        <f t="shared" si="4"/>
        <v>4844.3</v>
      </c>
    </row>
    <row r="186" spans="1:11" x14ac:dyDescent="0.35">
      <c r="A186" t="s">
        <v>387</v>
      </c>
      <c r="B186" s="1">
        <v>45068</v>
      </c>
      <c r="C186" t="s">
        <v>23</v>
      </c>
      <c r="D186" t="s">
        <v>24</v>
      </c>
      <c r="E186" t="s">
        <v>44</v>
      </c>
      <c r="F186" t="s">
        <v>29</v>
      </c>
      <c r="G186">
        <v>1</v>
      </c>
      <c r="H186" t="s">
        <v>30</v>
      </c>
      <c r="I186">
        <v>35</v>
      </c>
      <c r="J186">
        <v>4859.6499999999996</v>
      </c>
      <c r="K186">
        <f t="shared" si="4"/>
        <v>4859.6499999999996</v>
      </c>
    </row>
    <row r="187" spans="1:11" x14ac:dyDescent="0.35">
      <c r="A187" t="s">
        <v>388</v>
      </c>
      <c r="B187" s="1">
        <v>45083</v>
      </c>
      <c r="C187" t="s">
        <v>15</v>
      </c>
      <c r="D187" t="s">
        <v>16</v>
      </c>
      <c r="E187" t="s">
        <v>17</v>
      </c>
      <c r="F187" t="s">
        <v>29</v>
      </c>
      <c r="G187">
        <v>5</v>
      </c>
      <c r="H187" t="s">
        <v>26</v>
      </c>
      <c r="I187">
        <v>24</v>
      </c>
      <c r="J187">
        <v>975.39</v>
      </c>
      <c r="K187">
        <f t="shared" si="4"/>
        <v>4876.95</v>
      </c>
    </row>
    <row r="188" spans="1:11" x14ac:dyDescent="0.35">
      <c r="A188" t="s">
        <v>389</v>
      </c>
      <c r="B188" s="1">
        <v>45209</v>
      </c>
      <c r="C188" t="s">
        <v>15</v>
      </c>
      <c r="D188" t="s">
        <v>16</v>
      </c>
      <c r="E188" t="s">
        <v>17</v>
      </c>
      <c r="F188" t="s">
        <v>35</v>
      </c>
      <c r="G188">
        <v>7</v>
      </c>
      <c r="H188" t="s">
        <v>97</v>
      </c>
      <c r="I188">
        <v>36</v>
      </c>
      <c r="J188">
        <v>702.24</v>
      </c>
      <c r="K188">
        <f t="shared" si="4"/>
        <v>4915.68</v>
      </c>
    </row>
    <row r="189" spans="1:11" x14ac:dyDescent="0.35">
      <c r="A189" t="s">
        <v>390</v>
      </c>
      <c r="B189" s="1">
        <v>45105</v>
      </c>
      <c r="C189" t="s">
        <v>15</v>
      </c>
      <c r="D189" t="s">
        <v>19</v>
      </c>
      <c r="E189" t="s">
        <v>32</v>
      </c>
      <c r="F189" t="s">
        <v>21</v>
      </c>
      <c r="G189">
        <v>7</v>
      </c>
      <c r="H189" t="s">
        <v>31</v>
      </c>
      <c r="I189">
        <v>32</v>
      </c>
      <c r="J189">
        <v>705.03</v>
      </c>
      <c r="K189">
        <f t="shared" si="4"/>
        <v>4935.21</v>
      </c>
    </row>
    <row r="190" spans="1:11" x14ac:dyDescent="0.35">
      <c r="A190" t="s">
        <v>391</v>
      </c>
      <c r="B190" s="1">
        <v>44997</v>
      </c>
      <c r="C190" t="s">
        <v>15</v>
      </c>
      <c r="D190" t="s">
        <v>16</v>
      </c>
      <c r="E190" t="s">
        <v>34</v>
      </c>
      <c r="F190" t="s">
        <v>13</v>
      </c>
      <c r="G190">
        <v>6</v>
      </c>
      <c r="H190" t="s">
        <v>30</v>
      </c>
      <c r="I190">
        <v>25</v>
      </c>
      <c r="J190">
        <v>827.78</v>
      </c>
      <c r="K190">
        <f t="shared" si="4"/>
        <v>4966.68</v>
      </c>
    </row>
    <row r="191" spans="1:11" x14ac:dyDescent="0.35">
      <c r="A191" t="s">
        <v>392</v>
      </c>
      <c r="B191" s="1">
        <v>45135</v>
      </c>
      <c r="C191" t="s">
        <v>23</v>
      </c>
      <c r="D191" t="s">
        <v>24</v>
      </c>
      <c r="E191" t="s">
        <v>45</v>
      </c>
      <c r="F191" t="s">
        <v>18</v>
      </c>
      <c r="G191">
        <v>18</v>
      </c>
      <c r="H191" t="s">
        <v>28</v>
      </c>
      <c r="I191">
        <v>49</v>
      </c>
      <c r="J191">
        <v>276.35000000000002</v>
      </c>
      <c r="K191">
        <f t="shared" si="4"/>
        <v>4974.3</v>
      </c>
    </row>
    <row r="192" spans="1:11" x14ac:dyDescent="0.35">
      <c r="A192" t="s">
        <v>393</v>
      </c>
      <c r="B192" s="1">
        <v>45159</v>
      </c>
      <c r="C192" t="s">
        <v>15</v>
      </c>
      <c r="D192" t="s">
        <v>19</v>
      </c>
      <c r="E192" t="s">
        <v>20</v>
      </c>
      <c r="F192" t="s">
        <v>21</v>
      </c>
      <c r="G192">
        <v>7</v>
      </c>
      <c r="H192" t="s">
        <v>97</v>
      </c>
      <c r="I192">
        <v>26</v>
      </c>
      <c r="J192">
        <v>711.35</v>
      </c>
      <c r="K192">
        <f t="shared" si="4"/>
        <v>4979.45</v>
      </c>
    </row>
    <row r="193" spans="1:11" x14ac:dyDescent="0.35">
      <c r="A193" t="s">
        <v>394</v>
      </c>
      <c r="B193" s="1">
        <v>45028</v>
      </c>
      <c r="C193" t="s">
        <v>15</v>
      </c>
      <c r="D193" t="s">
        <v>16</v>
      </c>
      <c r="E193" t="s">
        <v>34</v>
      </c>
      <c r="F193" t="s">
        <v>21</v>
      </c>
      <c r="G193">
        <v>2</v>
      </c>
      <c r="H193" t="s">
        <v>33</v>
      </c>
      <c r="I193">
        <v>41</v>
      </c>
      <c r="J193">
        <v>2493.06</v>
      </c>
      <c r="K193">
        <f t="shared" si="4"/>
        <v>4986.12</v>
      </c>
    </row>
    <row r="194" spans="1:11" x14ac:dyDescent="0.35">
      <c r="A194" t="s">
        <v>395</v>
      </c>
      <c r="B194" s="1">
        <v>45001</v>
      </c>
      <c r="C194" t="s">
        <v>10</v>
      </c>
      <c r="D194" t="s">
        <v>11</v>
      </c>
      <c r="E194" t="s">
        <v>27</v>
      </c>
      <c r="F194" t="s">
        <v>18</v>
      </c>
      <c r="G194">
        <v>4</v>
      </c>
      <c r="H194" t="s">
        <v>96</v>
      </c>
      <c r="I194">
        <v>52</v>
      </c>
      <c r="J194">
        <v>1256.3399999999999</v>
      </c>
      <c r="K194">
        <f t="shared" ref="K194:K257" si="5">G194*J194</f>
        <v>5025.3599999999997</v>
      </c>
    </row>
    <row r="195" spans="1:11" x14ac:dyDescent="0.35">
      <c r="A195" t="s">
        <v>396</v>
      </c>
      <c r="B195" s="1">
        <v>45140</v>
      </c>
      <c r="C195" t="s">
        <v>15</v>
      </c>
      <c r="D195" t="s">
        <v>16</v>
      </c>
      <c r="E195" t="s">
        <v>43</v>
      </c>
      <c r="F195" t="s">
        <v>21</v>
      </c>
      <c r="G195">
        <v>16</v>
      </c>
      <c r="H195" t="s">
        <v>14</v>
      </c>
      <c r="I195">
        <v>47</v>
      </c>
      <c r="J195">
        <v>317.82</v>
      </c>
      <c r="K195">
        <f t="shared" si="5"/>
        <v>5085.12</v>
      </c>
    </row>
    <row r="196" spans="1:11" x14ac:dyDescent="0.35">
      <c r="A196" t="s">
        <v>397</v>
      </c>
      <c r="B196" s="1">
        <v>44947</v>
      </c>
      <c r="C196" t="s">
        <v>23</v>
      </c>
      <c r="D196" t="s">
        <v>24</v>
      </c>
      <c r="E196" t="s">
        <v>25</v>
      </c>
      <c r="F196" t="s">
        <v>29</v>
      </c>
      <c r="G196">
        <v>6</v>
      </c>
      <c r="H196" t="s">
        <v>37</v>
      </c>
      <c r="I196">
        <v>26</v>
      </c>
      <c r="J196">
        <v>863.69</v>
      </c>
      <c r="K196">
        <f t="shared" si="5"/>
        <v>5182.1400000000003</v>
      </c>
    </row>
    <row r="197" spans="1:11" x14ac:dyDescent="0.35">
      <c r="A197" t="s">
        <v>398</v>
      </c>
      <c r="B197" s="1">
        <v>45214</v>
      </c>
      <c r="C197" t="s">
        <v>15</v>
      </c>
      <c r="D197" t="s">
        <v>19</v>
      </c>
      <c r="E197" t="s">
        <v>22</v>
      </c>
      <c r="F197" t="s">
        <v>35</v>
      </c>
      <c r="G197">
        <v>15</v>
      </c>
      <c r="H197" t="s">
        <v>26</v>
      </c>
      <c r="I197">
        <v>46</v>
      </c>
      <c r="J197">
        <v>346.45</v>
      </c>
      <c r="K197">
        <f t="shared" si="5"/>
        <v>5196.75</v>
      </c>
    </row>
    <row r="198" spans="1:11" x14ac:dyDescent="0.35">
      <c r="A198" t="s">
        <v>399</v>
      </c>
      <c r="B198" s="1">
        <v>45061</v>
      </c>
      <c r="C198" t="s">
        <v>15</v>
      </c>
      <c r="D198" t="s">
        <v>19</v>
      </c>
      <c r="E198" t="s">
        <v>22</v>
      </c>
      <c r="F198" t="s">
        <v>35</v>
      </c>
      <c r="G198">
        <v>16</v>
      </c>
      <c r="H198" t="s">
        <v>37</v>
      </c>
      <c r="I198">
        <v>42</v>
      </c>
      <c r="J198">
        <v>325.52</v>
      </c>
      <c r="K198">
        <f t="shared" si="5"/>
        <v>5208.32</v>
      </c>
    </row>
    <row r="199" spans="1:11" x14ac:dyDescent="0.35">
      <c r="A199" t="s">
        <v>400</v>
      </c>
      <c r="B199" s="1">
        <v>45257</v>
      </c>
      <c r="C199" t="s">
        <v>10</v>
      </c>
      <c r="D199" t="s">
        <v>38</v>
      </c>
      <c r="E199" t="s">
        <v>42</v>
      </c>
      <c r="F199" t="s">
        <v>18</v>
      </c>
      <c r="G199">
        <v>4</v>
      </c>
      <c r="H199" t="s">
        <v>37</v>
      </c>
      <c r="I199">
        <v>35</v>
      </c>
      <c r="J199">
        <v>1303.8800000000001</v>
      </c>
      <c r="K199">
        <f t="shared" si="5"/>
        <v>5215.5200000000004</v>
      </c>
    </row>
    <row r="200" spans="1:11" x14ac:dyDescent="0.35">
      <c r="A200" t="s">
        <v>401</v>
      </c>
      <c r="B200" s="1">
        <v>45010</v>
      </c>
      <c r="C200" t="s">
        <v>10</v>
      </c>
      <c r="D200" t="s">
        <v>11</v>
      </c>
      <c r="E200" t="s">
        <v>41</v>
      </c>
      <c r="F200" t="s">
        <v>13</v>
      </c>
      <c r="G200">
        <v>16</v>
      </c>
      <c r="H200" t="s">
        <v>96</v>
      </c>
      <c r="I200">
        <v>20</v>
      </c>
      <c r="J200">
        <v>328.65</v>
      </c>
      <c r="K200">
        <f t="shared" si="5"/>
        <v>5258.4</v>
      </c>
    </row>
    <row r="201" spans="1:11" x14ac:dyDescent="0.35">
      <c r="A201" t="s">
        <v>402</v>
      </c>
      <c r="B201" s="1">
        <v>45076</v>
      </c>
      <c r="C201" t="s">
        <v>15</v>
      </c>
      <c r="D201" t="s">
        <v>16</v>
      </c>
      <c r="E201" t="s">
        <v>17</v>
      </c>
      <c r="F201" t="s">
        <v>29</v>
      </c>
      <c r="G201">
        <v>8</v>
      </c>
      <c r="H201" t="s">
        <v>37</v>
      </c>
      <c r="I201">
        <v>25</v>
      </c>
      <c r="J201">
        <v>659.36</v>
      </c>
      <c r="K201">
        <f t="shared" si="5"/>
        <v>5274.88</v>
      </c>
    </row>
    <row r="202" spans="1:11" x14ac:dyDescent="0.35">
      <c r="A202" t="s">
        <v>403</v>
      </c>
      <c r="B202" s="1">
        <v>44969</v>
      </c>
      <c r="C202" t="s">
        <v>23</v>
      </c>
      <c r="D202" t="s">
        <v>24</v>
      </c>
      <c r="E202" t="s">
        <v>44</v>
      </c>
      <c r="F202" t="s">
        <v>21</v>
      </c>
      <c r="G202">
        <v>9</v>
      </c>
      <c r="H202" t="s">
        <v>14</v>
      </c>
      <c r="I202">
        <v>21</v>
      </c>
      <c r="J202">
        <v>593.01</v>
      </c>
      <c r="K202">
        <f t="shared" si="5"/>
        <v>5337.09</v>
      </c>
    </row>
    <row r="203" spans="1:11" x14ac:dyDescent="0.35">
      <c r="A203" t="s">
        <v>404</v>
      </c>
      <c r="B203" s="1">
        <v>44931</v>
      </c>
      <c r="C203" t="s">
        <v>10</v>
      </c>
      <c r="D203" t="s">
        <v>38</v>
      </c>
      <c r="E203" t="s">
        <v>40</v>
      </c>
      <c r="F203" t="s">
        <v>21</v>
      </c>
      <c r="G203">
        <v>2</v>
      </c>
      <c r="H203" t="s">
        <v>97</v>
      </c>
      <c r="I203">
        <v>52</v>
      </c>
      <c r="J203">
        <v>2704.98</v>
      </c>
      <c r="K203">
        <f t="shared" si="5"/>
        <v>5409.96</v>
      </c>
    </row>
    <row r="204" spans="1:11" x14ac:dyDescent="0.35">
      <c r="A204" t="s">
        <v>405</v>
      </c>
      <c r="B204" s="1">
        <v>45108</v>
      </c>
      <c r="C204" t="s">
        <v>23</v>
      </c>
      <c r="D204" t="s">
        <v>24</v>
      </c>
      <c r="E204" t="s">
        <v>44</v>
      </c>
      <c r="F204" t="s">
        <v>29</v>
      </c>
      <c r="G204">
        <v>16</v>
      </c>
      <c r="H204" t="s">
        <v>14</v>
      </c>
      <c r="I204">
        <v>48</v>
      </c>
      <c r="J204">
        <v>338.38</v>
      </c>
      <c r="K204">
        <f t="shared" si="5"/>
        <v>5414.08</v>
      </c>
    </row>
    <row r="205" spans="1:11" x14ac:dyDescent="0.35">
      <c r="A205" t="s">
        <v>406</v>
      </c>
      <c r="B205" s="1">
        <v>45247</v>
      </c>
      <c r="C205" t="s">
        <v>10</v>
      </c>
      <c r="D205" t="s">
        <v>38</v>
      </c>
      <c r="E205" t="s">
        <v>42</v>
      </c>
      <c r="F205" t="s">
        <v>18</v>
      </c>
      <c r="G205">
        <v>3</v>
      </c>
      <c r="H205" t="s">
        <v>97</v>
      </c>
      <c r="I205">
        <v>50</v>
      </c>
      <c r="J205">
        <v>1818.3</v>
      </c>
      <c r="K205">
        <f t="shared" si="5"/>
        <v>5454.9</v>
      </c>
    </row>
    <row r="206" spans="1:11" x14ac:dyDescent="0.35">
      <c r="A206" t="s">
        <v>407</v>
      </c>
      <c r="B206" s="1">
        <v>45173</v>
      </c>
      <c r="C206" t="s">
        <v>15</v>
      </c>
      <c r="D206" t="s">
        <v>16</v>
      </c>
      <c r="E206" t="s">
        <v>17</v>
      </c>
      <c r="F206" t="s">
        <v>21</v>
      </c>
      <c r="G206">
        <v>4</v>
      </c>
      <c r="H206" t="s">
        <v>37</v>
      </c>
      <c r="I206">
        <v>16</v>
      </c>
      <c r="J206">
        <v>1381.71</v>
      </c>
      <c r="K206">
        <f t="shared" si="5"/>
        <v>5526.84</v>
      </c>
    </row>
    <row r="207" spans="1:11" x14ac:dyDescent="0.35">
      <c r="A207" t="s">
        <v>408</v>
      </c>
      <c r="B207" s="1">
        <v>44992</v>
      </c>
      <c r="C207" t="s">
        <v>15</v>
      </c>
      <c r="D207" t="s">
        <v>19</v>
      </c>
      <c r="E207" t="s">
        <v>22</v>
      </c>
      <c r="F207" t="s">
        <v>18</v>
      </c>
      <c r="G207">
        <v>4</v>
      </c>
      <c r="H207" t="s">
        <v>31</v>
      </c>
      <c r="I207">
        <v>27</v>
      </c>
      <c r="J207">
        <v>1385.95</v>
      </c>
      <c r="K207">
        <f t="shared" si="5"/>
        <v>5543.8</v>
      </c>
    </row>
    <row r="208" spans="1:11" x14ac:dyDescent="0.35">
      <c r="A208" t="s">
        <v>409</v>
      </c>
      <c r="B208" s="1">
        <v>45288</v>
      </c>
      <c r="C208" t="s">
        <v>15</v>
      </c>
      <c r="D208" t="s">
        <v>19</v>
      </c>
      <c r="E208" t="s">
        <v>32</v>
      </c>
      <c r="F208" t="s">
        <v>13</v>
      </c>
      <c r="G208">
        <v>10</v>
      </c>
      <c r="H208" t="s">
        <v>37</v>
      </c>
      <c r="I208">
        <v>46</v>
      </c>
      <c r="J208">
        <v>568.6</v>
      </c>
      <c r="K208">
        <f t="shared" si="5"/>
        <v>5686</v>
      </c>
    </row>
    <row r="209" spans="1:11" x14ac:dyDescent="0.35">
      <c r="A209" t="s">
        <v>410</v>
      </c>
      <c r="B209" s="1">
        <v>44993</v>
      </c>
      <c r="C209" t="s">
        <v>10</v>
      </c>
      <c r="D209" t="s">
        <v>38</v>
      </c>
      <c r="E209" t="s">
        <v>39</v>
      </c>
      <c r="F209" t="s">
        <v>13</v>
      </c>
      <c r="G209">
        <v>16</v>
      </c>
      <c r="H209" t="s">
        <v>30</v>
      </c>
      <c r="I209">
        <v>33</v>
      </c>
      <c r="J209">
        <v>355.63</v>
      </c>
      <c r="K209">
        <f t="shared" si="5"/>
        <v>5690.08</v>
      </c>
    </row>
    <row r="210" spans="1:11" x14ac:dyDescent="0.35">
      <c r="A210" t="s">
        <v>411</v>
      </c>
      <c r="B210" s="1">
        <v>45213</v>
      </c>
      <c r="C210" t="s">
        <v>10</v>
      </c>
      <c r="D210" t="s">
        <v>11</v>
      </c>
      <c r="E210" t="s">
        <v>27</v>
      </c>
      <c r="F210" t="s">
        <v>21</v>
      </c>
      <c r="G210">
        <v>5</v>
      </c>
      <c r="H210" t="s">
        <v>14</v>
      </c>
      <c r="I210">
        <v>42</v>
      </c>
      <c r="J210">
        <v>1141.32</v>
      </c>
      <c r="K210">
        <f t="shared" si="5"/>
        <v>5706.5999999999995</v>
      </c>
    </row>
    <row r="211" spans="1:11" x14ac:dyDescent="0.35">
      <c r="A211" t="s">
        <v>412</v>
      </c>
      <c r="B211" s="1">
        <v>45011</v>
      </c>
      <c r="C211" t="s">
        <v>15</v>
      </c>
      <c r="D211" t="s">
        <v>16</v>
      </c>
      <c r="E211" t="s">
        <v>34</v>
      </c>
      <c r="F211" t="s">
        <v>18</v>
      </c>
      <c r="G211">
        <v>4</v>
      </c>
      <c r="H211" t="s">
        <v>195</v>
      </c>
      <c r="I211">
        <v>28</v>
      </c>
      <c r="J211">
        <v>1434.97</v>
      </c>
      <c r="K211">
        <f t="shared" si="5"/>
        <v>5739.88</v>
      </c>
    </row>
    <row r="212" spans="1:11" x14ac:dyDescent="0.35">
      <c r="A212" t="s">
        <v>413</v>
      </c>
      <c r="B212" s="1">
        <v>44984</v>
      </c>
      <c r="C212" t="s">
        <v>10</v>
      </c>
      <c r="D212" t="s">
        <v>11</v>
      </c>
      <c r="E212" t="s">
        <v>27</v>
      </c>
      <c r="F212" t="s">
        <v>13</v>
      </c>
      <c r="G212">
        <v>2</v>
      </c>
      <c r="H212" t="s">
        <v>36</v>
      </c>
      <c r="I212">
        <v>20</v>
      </c>
      <c r="J212">
        <v>2875.84</v>
      </c>
      <c r="K212">
        <f t="shared" si="5"/>
        <v>5751.68</v>
      </c>
    </row>
    <row r="213" spans="1:11" x14ac:dyDescent="0.35">
      <c r="A213" t="s">
        <v>414</v>
      </c>
      <c r="B213" s="1">
        <v>45104</v>
      </c>
      <c r="C213" t="s">
        <v>15</v>
      </c>
      <c r="D213" t="s">
        <v>16</v>
      </c>
      <c r="E213" t="s">
        <v>34</v>
      </c>
      <c r="F213" t="s">
        <v>35</v>
      </c>
      <c r="G213">
        <v>8</v>
      </c>
      <c r="H213" t="s">
        <v>28</v>
      </c>
      <c r="I213">
        <v>25</v>
      </c>
      <c r="J213">
        <v>720.07</v>
      </c>
      <c r="K213">
        <f t="shared" si="5"/>
        <v>5760.56</v>
      </c>
    </row>
    <row r="214" spans="1:11" x14ac:dyDescent="0.35">
      <c r="A214" t="s">
        <v>415</v>
      </c>
      <c r="B214" s="1">
        <v>45021</v>
      </c>
      <c r="C214" t="s">
        <v>15</v>
      </c>
      <c r="D214" t="s">
        <v>16</v>
      </c>
      <c r="E214" t="s">
        <v>17</v>
      </c>
      <c r="F214" t="s">
        <v>13</v>
      </c>
      <c r="G214">
        <v>4</v>
      </c>
      <c r="H214" t="s">
        <v>33</v>
      </c>
      <c r="I214">
        <v>51</v>
      </c>
      <c r="J214">
        <v>1456.19</v>
      </c>
      <c r="K214">
        <f t="shared" si="5"/>
        <v>5824.76</v>
      </c>
    </row>
    <row r="215" spans="1:11" x14ac:dyDescent="0.35">
      <c r="A215" t="s">
        <v>416</v>
      </c>
      <c r="B215" s="1">
        <v>45243</v>
      </c>
      <c r="C215" t="s">
        <v>15</v>
      </c>
      <c r="D215" t="s">
        <v>16</v>
      </c>
      <c r="E215" t="s">
        <v>17</v>
      </c>
      <c r="F215" t="s">
        <v>13</v>
      </c>
      <c r="G215">
        <v>2</v>
      </c>
      <c r="H215" t="s">
        <v>14</v>
      </c>
      <c r="I215">
        <v>20</v>
      </c>
      <c r="J215">
        <v>2914.14</v>
      </c>
      <c r="K215">
        <f t="shared" si="5"/>
        <v>5828.28</v>
      </c>
    </row>
    <row r="216" spans="1:11" x14ac:dyDescent="0.35">
      <c r="A216" t="s">
        <v>417</v>
      </c>
      <c r="B216" s="1">
        <v>45115</v>
      </c>
      <c r="C216" t="s">
        <v>15</v>
      </c>
      <c r="D216" t="s">
        <v>16</v>
      </c>
      <c r="E216" t="s">
        <v>34</v>
      </c>
      <c r="F216" t="s">
        <v>29</v>
      </c>
      <c r="G216">
        <v>5</v>
      </c>
      <c r="H216" t="s">
        <v>96</v>
      </c>
      <c r="I216">
        <v>41</v>
      </c>
      <c r="J216">
        <v>1185.45</v>
      </c>
      <c r="K216">
        <f t="shared" si="5"/>
        <v>5927.25</v>
      </c>
    </row>
    <row r="217" spans="1:11" x14ac:dyDescent="0.35">
      <c r="A217" t="s">
        <v>418</v>
      </c>
      <c r="B217" s="1">
        <v>44986</v>
      </c>
      <c r="C217" t="s">
        <v>15</v>
      </c>
      <c r="D217" t="s">
        <v>19</v>
      </c>
      <c r="E217" t="s">
        <v>32</v>
      </c>
      <c r="F217" t="s">
        <v>13</v>
      </c>
      <c r="G217">
        <v>5</v>
      </c>
      <c r="H217" t="s">
        <v>30</v>
      </c>
      <c r="I217">
        <v>17</v>
      </c>
      <c r="J217">
        <v>1192.82</v>
      </c>
      <c r="K217">
        <f t="shared" si="5"/>
        <v>5964.0999999999995</v>
      </c>
    </row>
    <row r="218" spans="1:11" x14ac:dyDescent="0.35">
      <c r="A218" t="s">
        <v>419</v>
      </c>
      <c r="B218" s="1">
        <v>44974</v>
      </c>
      <c r="C218" t="s">
        <v>15</v>
      </c>
      <c r="D218" t="s">
        <v>16</v>
      </c>
      <c r="E218" t="s">
        <v>43</v>
      </c>
      <c r="F218" t="s">
        <v>21</v>
      </c>
      <c r="G218">
        <v>4</v>
      </c>
      <c r="H218" t="s">
        <v>37</v>
      </c>
      <c r="I218">
        <v>45</v>
      </c>
      <c r="J218">
        <v>1493.04</v>
      </c>
      <c r="K218">
        <f t="shared" si="5"/>
        <v>5972.16</v>
      </c>
    </row>
    <row r="219" spans="1:11" x14ac:dyDescent="0.35">
      <c r="A219" t="s">
        <v>420</v>
      </c>
      <c r="B219" s="1">
        <v>45098</v>
      </c>
      <c r="C219" t="s">
        <v>10</v>
      </c>
      <c r="D219" t="s">
        <v>11</v>
      </c>
      <c r="E219" t="s">
        <v>41</v>
      </c>
      <c r="F219" t="s">
        <v>35</v>
      </c>
      <c r="G219">
        <v>7</v>
      </c>
      <c r="H219" t="s">
        <v>30</v>
      </c>
      <c r="I219">
        <v>25</v>
      </c>
      <c r="J219">
        <v>859.87</v>
      </c>
      <c r="K219">
        <f t="shared" si="5"/>
        <v>6019.09</v>
      </c>
    </row>
    <row r="220" spans="1:11" x14ac:dyDescent="0.35">
      <c r="A220" t="s">
        <v>421</v>
      </c>
      <c r="B220" s="1">
        <v>45047</v>
      </c>
      <c r="C220" t="s">
        <v>10</v>
      </c>
      <c r="D220" t="s">
        <v>11</v>
      </c>
      <c r="E220" t="s">
        <v>12</v>
      </c>
      <c r="F220" t="s">
        <v>21</v>
      </c>
      <c r="G220">
        <v>5</v>
      </c>
      <c r="H220" t="s">
        <v>96</v>
      </c>
      <c r="I220">
        <v>49</v>
      </c>
      <c r="J220">
        <v>1204.6400000000001</v>
      </c>
      <c r="K220">
        <f t="shared" si="5"/>
        <v>6023.2000000000007</v>
      </c>
    </row>
    <row r="221" spans="1:11" x14ac:dyDescent="0.35">
      <c r="A221" t="s">
        <v>422</v>
      </c>
      <c r="B221" s="1">
        <v>44928</v>
      </c>
      <c r="C221" t="s">
        <v>10</v>
      </c>
      <c r="D221" t="s">
        <v>38</v>
      </c>
      <c r="E221" t="s">
        <v>39</v>
      </c>
      <c r="F221" t="s">
        <v>21</v>
      </c>
      <c r="G221">
        <v>11</v>
      </c>
      <c r="H221" t="s">
        <v>30</v>
      </c>
      <c r="I221">
        <v>44</v>
      </c>
      <c r="J221">
        <v>548.91999999999996</v>
      </c>
      <c r="K221">
        <f t="shared" si="5"/>
        <v>6038.12</v>
      </c>
    </row>
    <row r="222" spans="1:11" x14ac:dyDescent="0.35">
      <c r="A222" t="s">
        <v>423</v>
      </c>
      <c r="B222" s="1">
        <v>45244</v>
      </c>
      <c r="C222" t="s">
        <v>10</v>
      </c>
      <c r="D222" t="s">
        <v>38</v>
      </c>
      <c r="E222" t="s">
        <v>40</v>
      </c>
      <c r="F222" t="s">
        <v>18</v>
      </c>
      <c r="G222">
        <v>8</v>
      </c>
      <c r="H222" t="s">
        <v>96</v>
      </c>
      <c r="I222">
        <v>42</v>
      </c>
      <c r="J222">
        <v>758.58</v>
      </c>
      <c r="K222">
        <f t="shared" si="5"/>
        <v>6068.64</v>
      </c>
    </row>
    <row r="223" spans="1:11" x14ac:dyDescent="0.35">
      <c r="A223" t="s">
        <v>424</v>
      </c>
      <c r="B223" s="1">
        <v>45017</v>
      </c>
      <c r="C223" t="s">
        <v>10</v>
      </c>
      <c r="D223" t="s">
        <v>38</v>
      </c>
      <c r="E223" t="s">
        <v>40</v>
      </c>
      <c r="F223" t="s">
        <v>13</v>
      </c>
      <c r="G223">
        <v>2</v>
      </c>
      <c r="H223" t="s">
        <v>14</v>
      </c>
      <c r="I223">
        <v>55</v>
      </c>
      <c r="J223">
        <v>3037.55</v>
      </c>
      <c r="K223">
        <f t="shared" si="5"/>
        <v>6075.1</v>
      </c>
    </row>
    <row r="224" spans="1:11" x14ac:dyDescent="0.35">
      <c r="A224" t="s">
        <v>425</v>
      </c>
      <c r="B224" s="1">
        <v>45646</v>
      </c>
      <c r="C224" t="s">
        <v>10</v>
      </c>
      <c r="D224" t="s">
        <v>38</v>
      </c>
      <c r="E224" t="s">
        <v>40</v>
      </c>
      <c r="F224" t="s">
        <v>13</v>
      </c>
      <c r="G224">
        <v>2</v>
      </c>
      <c r="H224" t="s">
        <v>195</v>
      </c>
      <c r="I224">
        <v>55</v>
      </c>
      <c r="J224">
        <v>3037.55</v>
      </c>
      <c r="K224">
        <f t="shared" si="5"/>
        <v>6075.1</v>
      </c>
    </row>
    <row r="225" spans="1:11" x14ac:dyDescent="0.35">
      <c r="A225" t="s">
        <v>426</v>
      </c>
      <c r="B225" s="1">
        <v>45038</v>
      </c>
      <c r="C225" t="s">
        <v>10</v>
      </c>
      <c r="D225" t="s">
        <v>38</v>
      </c>
      <c r="E225" t="s">
        <v>39</v>
      </c>
      <c r="F225" t="s">
        <v>18</v>
      </c>
      <c r="G225">
        <v>6</v>
      </c>
      <c r="H225" t="s">
        <v>36</v>
      </c>
      <c r="I225">
        <v>51</v>
      </c>
      <c r="J225">
        <v>1016.27</v>
      </c>
      <c r="K225">
        <f t="shared" si="5"/>
        <v>6097.62</v>
      </c>
    </row>
    <row r="226" spans="1:11" x14ac:dyDescent="0.35">
      <c r="A226" t="s">
        <v>427</v>
      </c>
      <c r="B226" s="1">
        <v>45124</v>
      </c>
      <c r="C226" t="s">
        <v>23</v>
      </c>
      <c r="D226" t="s">
        <v>24</v>
      </c>
      <c r="E226" t="s">
        <v>44</v>
      </c>
      <c r="F226" t="s">
        <v>13</v>
      </c>
      <c r="G226">
        <v>3</v>
      </c>
      <c r="H226" t="s">
        <v>31</v>
      </c>
      <c r="I226">
        <v>32</v>
      </c>
      <c r="J226">
        <v>2040.38</v>
      </c>
      <c r="K226">
        <f t="shared" si="5"/>
        <v>6121.14</v>
      </c>
    </row>
    <row r="227" spans="1:11" x14ac:dyDescent="0.35">
      <c r="A227" t="s">
        <v>428</v>
      </c>
      <c r="B227" s="1">
        <v>44940</v>
      </c>
      <c r="C227" t="s">
        <v>15</v>
      </c>
      <c r="D227" t="s">
        <v>19</v>
      </c>
      <c r="E227" t="s">
        <v>22</v>
      </c>
      <c r="F227" t="s">
        <v>29</v>
      </c>
      <c r="G227">
        <v>2</v>
      </c>
      <c r="H227" t="s">
        <v>28</v>
      </c>
      <c r="I227">
        <v>47</v>
      </c>
      <c r="J227">
        <v>3072.48</v>
      </c>
      <c r="K227">
        <f t="shared" si="5"/>
        <v>6144.96</v>
      </c>
    </row>
    <row r="228" spans="1:11" x14ac:dyDescent="0.35">
      <c r="A228" t="s">
        <v>429</v>
      </c>
      <c r="B228" s="1">
        <v>45195</v>
      </c>
      <c r="C228" t="s">
        <v>15</v>
      </c>
      <c r="D228" t="s">
        <v>16</v>
      </c>
      <c r="E228" t="s">
        <v>34</v>
      </c>
      <c r="F228" t="s">
        <v>29</v>
      </c>
      <c r="G228">
        <v>15</v>
      </c>
      <c r="H228" t="s">
        <v>31</v>
      </c>
      <c r="I228">
        <v>34</v>
      </c>
      <c r="J228">
        <v>413.63</v>
      </c>
      <c r="K228">
        <f t="shared" si="5"/>
        <v>6204.45</v>
      </c>
    </row>
    <row r="229" spans="1:11" x14ac:dyDescent="0.35">
      <c r="A229" t="s">
        <v>430</v>
      </c>
      <c r="B229" s="1">
        <v>45070</v>
      </c>
      <c r="C229" t="s">
        <v>10</v>
      </c>
      <c r="D229" t="s">
        <v>11</v>
      </c>
      <c r="E229" t="s">
        <v>27</v>
      </c>
      <c r="F229" t="s">
        <v>29</v>
      </c>
      <c r="G229">
        <v>3</v>
      </c>
      <c r="H229" t="s">
        <v>33</v>
      </c>
      <c r="I229">
        <v>43</v>
      </c>
      <c r="J229">
        <v>2082</v>
      </c>
      <c r="K229">
        <f t="shared" si="5"/>
        <v>6246</v>
      </c>
    </row>
    <row r="230" spans="1:11" x14ac:dyDescent="0.35">
      <c r="A230" t="s">
        <v>431</v>
      </c>
      <c r="B230" s="1">
        <v>45021</v>
      </c>
      <c r="C230" t="s">
        <v>15</v>
      </c>
      <c r="D230" t="s">
        <v>19</v>
      </c>
      <c r="E230" t="s">
        <v>32</v>
      </c>
      <c r="F230" t="s">
        <v>29</v>
      </c>
      <c r="G230">
        <v>9</v>
      </c>
      <c r="H230" t="s">
        <v>31</v>
      </c>
      <c r="I230">
        <v>37</v>
      </c>
      <c r="J230">
        <v>704.39</v>
      </c>
      <c r="K230">
        <f t="shared" si="5"/>
        <v>6339.51</v>
      </c>
    </row>
    <row r="231" spans="1:11" x14ac:dyDescent="0.35">
      <c r="A231" t="s">
        <v>432</v>
      </c>
      <c r="B231" s="1">
        <v>45270</v>
      </c>
      <c r="C231" t="s">
        <v>15</v>
      </c>
      <c r="D231" t="s">
        <v>16</v>
      </c>
      <c r="E231" t="s">
        <v>34</v>
      </c>
      <c r="F231" t="s">
        <v>21</v>
      </c>
      <c r="G231">
        <v>10</v>
      </c>
      <c r="H231" t="s">
        <v>14</v>
      </c>
      <c r="I231">
        <v>39</v>
      </c>
      <c r="J231">
        <v>642.49</v>
      </c>
      <c r="K231">
        <f t="shared" si="5"/>
        <v>6424.9</v>
      </c>
    </row>
    <row r="232" spans="1:11" x14ac:dyDescent="0.35">
      <c r="A232" t="s">
        <v>433</v>
      </c>
      <c r="B232" s="1">
        <v>45143</v>
      </c>
      <c r="C232" t="s">
        <v>10</v>
      </c>
      <c r="D232" t="s">
        <v>11</v>
      </c>
      <c r="E232" t="s">
        <v>41</v>
      </c>
      <c r="F232" t="s">
        <v>13</v>
      </c>
      <c r="G232">
        <v>11</v>
      </c>
      <c r="H232" t="s">
        <v>36</v>
      </c>
      <c r="I232">
        <v>23</v>
      </c>
      <c r="J232">
        <v>587.46</v>
      </c>
      <c r="K232">
        <f t="shared" si="5"/>
        <v>6462.06</v>
      </c>
    </row>
    <row r="233" spans="1:11" x14ac:dyDescent="0.35">
      <c r="A233" t="s">
        <v>434</v>
      </c>
      <c r="B233" s="1">
        <v>45282</v>
      </c>
      <c r="C233" t="s">
        <v>23</v>
      </c>
      <c r="D233" t="s">
        <v>24</v>
      </c>
      <c r="E233" t="s">
        <v>25</v>
      </c>
      <c r="F233" t="s">
        <v>18</v>
      </c>
      <c r="G233">
        <v>12</v>
      </c>
      <c r="H233" t="s">
        <v>96</v>
      </c>
      <c r="I233">
        <v>43</v>
      </c>
      <c r="J233">
        <v>538.91</v>
      </c>
      <c r="K233">
        <f t="shared" si="5"/>
        <v>6466.92</v>
      </c>
    </row>
    <row r="234" spans="1:11" x14ac:dyDescent="0.35">
      <c r="A234" t="s">
        <v>435</v>
      </c>
      <c r="B234" s="1">
        <v>45096</v>
      </c>
      <c r="C234" t="s">
        <v>10</v>
      </c>
      <c r="D234" t="s">
        <v>11</v>
      </c>
      <c r="E234" t="s">
        <v>12</v>
      </c>
      <c r="F234" t="s">
        <v>35</v>
      </c>
      <c r="G234">
        <v>2</v>
      </c>
      <c r="H234" t="s">
        <v>97</v>
      </c>
      <c r="I234">
        <v>19</v>
      </c>
      <c r="J234">
        <v>3239.94</v>
      </c>
      <c r="K234">
        <f t="shared" si="5"/>
        <v>6479.88</v>
      </c>
    </row>
    <row r="235" spans="1:11" x14ac:dyDescent="0.35">
      <c r="A235" t="s">
        <v>436</v>
      </c>
      <c r="B235" s="1">
        <v>44934</v>
      </c>
      <c r="C235" t="s">
        <v>10</v>
      </c>
      <c r="D235" t="s">
        <v>11</v>
      </c>
      <c r="E235" t="s">
        <v>41</v>
      </c>
      <c r="F235" t="s">
        <v>13</v>
      </c>
      <c r="G235">
        <v>2</v>
      </c>
      <c r="H235" t="s">
        <v>14</v>
      </c>
      <c r="I235">
        <v>47</v>
      </c>
      <c r="J235">
        <v>3240.32</v>
      </c>
      <c r="K235">
        <f t="shared" si="5"/>
        <v>6480.64</v>
      </c>
    </row>
    <row r="236" spans="1:11" x14ac:dyDescent="0.35">
      <c r="A236" t="s">
        <v>437</v>
      </c>
      <c r="B236" s="1">
        <v>45204</v>
      </c>
      <c r="C236" t="s">
        <v>10</v>
      </c>
      <c r="D236" t="s">
        <v>38</v>
      </c>
      <c r="E236" t="s">
        <v>39</v>
      </c>
      <c r="F236" t="s">
        <v>21</v>
      </c>
      <c r="G236">
        <v>9</v>
      </c>
      <c r="H236" t="s">
        <v>14</v>
      </c>
      <c r="I236">
        <v>47</v>
      </c>
      <c r="J236">
        <v>722.4</v>
      </c>
      <c r="K236">
        <f t="shared" si="5"/>
        <v>6501.5999999999995</v>
      </c>
    </row>
    <row r="237" spans="1:11" x14ac:dyDescent="0.35">
      <c r="A237" t="s">
        <v>438</v>
      </c>
      <c r="B237" s="1">
        <v>45208</v>
      </c>
      <c r="C237" t="s">
        <v>10</v>
      </c>
      <c r="D237" t="s">
        <v>11</v>
      </c>
      <c r="E237" t="s">
        <v>12</v>
      </c>
      <c r="F237" t="s">
        <v>13</v>
      </c>
      <c r="G237">
        <v>4</v>
      </c>
      <c r="H237" t="s">
        <v>36</v>
      </c>
      <c r="I237">
        <v>46</v>
      </c>
      <c r="J237">
        <v>1640.54</v>
      </c>
      <c r="K237">
        <f t="shared" si="5"/>
        <v>6562.16</v>
      </c>
    </row>
    <row r="238" spans="1:11" x14ac:dyDescent="0.35">
      <c r="A238" t="s">
        <v>439</v>
      </c>
      <c r="B238" s="1">
        <v>44955</v>
      </c>
      <c r="C238" t="s">
        <v>10</v>
      </c>
      <c r="D238" t="s">
        <v>11</v>
      </c>
      <c r="E238" t="s">
        <v>27</v>
      </c>
      <c r="F238" t="s">
        <v>29</v>
      </c>
      <c r="G238">
        <v>2</v>
      </c>
      <c r="H238" t="s">
        <v>26</v>
      </c>
      <c r="I238">
        <v>49</v>
      </c>
      <c r="J238">
        <v>3297.48</v>
      </c>
      <c r="K238">
        <f t="shared" si="5"/>
        <v>6594.96</v>
      </c>
    </row>
    <row r="239" spans="1:11" x14ac:dyDescent="0.35">
      <c r="A239" t="s">
        <v>440</v>
      </c>
      <c r="B239" s="1">
        <v>44985</v>
      </c>
      <c r="C239" t="s">
        <v>15</v>
      </c>
      <c r="D239" t="s">
        <v>19</v>
      </c>
      <c r="E239" t="s">
        <v>32</v>
      </c>
      <c r="F239" t="s">
        <v>29</v>
      </c>
      <c r="G239">
        <v>5</v>
      </c>
      <c r="H239" t="s">
        <v>195</v>
      </c>
      <c r="I239">
        <v>33</v>
      </c>
      <c r="J239">
        <v>1319.46</v>
      </c>
      <c r="K239">
        <f t="shared" si="5"/>
        <v>6597.3</v>
      </c>
    </row>
    <row r="240" spans="1:11" x14ac:dyDescent="0.35">
      <c r="A240" t="s">
        <v>441</v>
      </c>
      <c r="B240" s="1">
        <v>45191</v>
      </c>
      <c r="C240" t="s">
        <v>15</v>
      </c>
      <c r="D240" t="s">
        <v>16</v>
      </c>
      <c r="E240" t="s">
        <v>43</v>
      </c>
      <c r="F240" t="s">
        <v>21</v>
      </c>
      <c r="G240">
        <v>12</v>
      </c>
      <c r="H240" t="s">
        <v>30</v>
      </c>
      <c r="I240">
        <v>16</v>
      </c>
      <c r="J240">
        <v>549.84</v>
      </c>
      <c r="K240">
        <f t="shared" si="5"/>
        <v>6598.08</v>
      </c>
    </row>
    <row r="241" spans="1:11" x14ac:dyDescent="0.35">
      <c r="A241" t="s">
        <v>442</v>
      </c>
      <c r="B241" s="1">
        <v>45243</v>
      </c>
      <c r="C241" t="s">
        <v>10</v>
      </c>
      <c r="D241" t="s">
        <v>11</v>
      </c>
      <c r="E241" t="s">
        <v>41</v>
      </c>
      <c r="F241" t="s">
        <v>21</v>
      </c>
      <c r="G241">
        <v>3</v>
      </c>
      <c r="H241" t="s">
        <v>14</v>
      </c>
      <c r="I241">
        <v>23</v>
      </c>
      <c r="J241">
        <v>2214.86</v>
      </c>
      <c r="K241">
        <f t="shared" si="5"/>
        <v>6644.58</v>
      </c>
    </row>
    <row r="242" spans="1:11" x14ac:dyDescent="0.35">
      <c r="A242" t="s">
        <v>443</v>
      </c>
      <c r="B242" s="1">
        <v>45280</v>
      </c>
      <c r="C242" t="s">
        <v>15</v>
      </c>
      <c r="D242" t="s">
        <v>16</v>
      </c>
      <c r="E242" t="s">
        <v>17</v>
      </c>
      <c r="F242" t="s">
        <v>21</v>
      </c>
      <c r="G242">
        <v>13</v>
      </c>
      <c r="H242" t="s">
        <v>96</v>
      </c>
      <c r="I242">
        <v>30</v>
      </c>
      <c r="J242">
        <v>512.69000000000005</v>
      </c>
      <c r="K242">
        <f t="shared" si="5"/>
        <v>6664.9700000000012</v>
      </c>
    </row>
    <row r="243" spans="1:11" x14ac:dyDescent="0.35">
      <c r="A243" t="s">
        <v>444</v>
      </c>
      <c r="B243" s="1">
        <v>45132</v>
      </c>
      <c r="C243" t="s">
        <v>15</v>
      </c>
      <c r="D243" t="s">
        <v>19</v>
      </c>
      <c r="E243" t="s">
        <v>20</v>
      </c>
      <c r="F243" t="s">
        <v>13</v>
      </c>
      <c r="G243">
        <v>5</v>
      </c>
      <c r="H243" t="s">
        <v>37</v>
      </c>
      <c r="I243">
        <v>55</v>
      </c>
      <c r="J243">
        <v>1346.45</v>
      </c>
      <c r="K243">
        <f t="shared" si="5"/>
        <v>6732.25</v>
      </c>
    </row>
    <row r="244" spans="1:11" x14ac:dyDescent="0.35">
      <c r="A244" t="s">
        <v>445</v>
      </c>
      <c r="B244" s="1">
        <v>45642</v>
      </c>
      <c r="C244" t="s">
        <v>15</v>
      </c>
      <c r="D244" t="s">
        <v>19</v>
      </c>
      <c r="E244" t="s">
        <v>20</v>
      </c>
      <c r="F244" t="s">
        <v>13</v>
      </c>
      <c r="G244">
        <v>5</v>
      </c>
      <c r="H244" t="s">
        <v>28</v>
      </c>
      <c r="I244">
        <v>55</v>
      </c>
      <c r="J244">
        <v>1346.45</v>
      </c>
      <c r="K244">
        <f t="shared" si="5"/>
        <v>6732.25</v>
      </c>
    </row>
    <row r="245" spans="1:11" x14ac:dyDescent="0.35">
      <c r="A245" t="s">
        <v>446</v>
      </c>
      <c r="B245" s="1">
        <v>45158</v>
      </c>
      <c r="C245" t="s">
        <v>10</v>
      </c>
      <c r="D245" t="s">
        <v>11</v>
      </c>
      <c r="E245" t="s">
        <v>27</v>
      </c>
      <c r="F245" t="s">
        <v>13</v>
      </c>
      <c r="G245">
        <v>2</v>
      </c>
      <c r="H245" t="s">
        <v>14</v>
      </c>
      <c r="I245">
        <v>54</v>
      </c>
      <c r="J245">
        <v>3385.43</v>
      </c>
      <c r="K245">
        <f t="shared" si="5"/>
        <v>6770.86</v>
      </c>
    </row>
    <row r="246" spans="1:11" x14ac:dyDescent="0.35">
      <c r="A246" t="s">
        <v>447</v>
      </c>
      <c r="B246" s="1">
        <v>45174</v>
      </c>
      <c r="C246" t="s">
        <v>10</v>
      </c>
      <c r="D246" t="s">
        <v>38</v>
      </c>
      <c r="E246" t="s">
        <v>40</v>
      </c>
      <c r="F246" t="s">
        <v>29</v>
      </c>
      <c r="G246">
        <v>7</v>
      </c>
      <c r="H246" t="s">
        <v>33</v>
      </c>
      <c r="I246">
        <v>19</v>
      </c>
      <c r="J246">
        <v>978.46</v>
      </c>
      <c r="K246">
        <f t="shared" si="5"/>
        <v>6849.22</v>
      </c>
    </row>
    <row r="247" spans="1:11" x14ac:dyDescent="0.35">
      <c r="A247" t="s">
        <v>448</v>
      </c>
      <c r="B247" s="1">
        <v>45268</v>
      </c>
      <c r="C247" t="s">
        <v>15</v>
      </c>
      <c r="D247" t="s">
        <v>16</v>
      </c>
      <c r="E247" t="s">
        <v>43</v>
      </c>
      <c r="F247" t="s">
        <v>35</v>
      </c>
      <c r="G247">
        <v>5</v>
      </c>
      <c r="H247" t="s">
        <v>31</v>
      </c>
      <c r="I247">
        <v>41</v>
      </c>
      <c r="J247">
        <v>1372.78</v>
      </c>
      <c r="K247">
        <f t="shared" si="5"/>
        <v>6863.9</v>
      </c>
    </row>
    <row r="248" spans="1:11" x14ac:dyDescent="0.35">
      <c r="A248" t="s">
        <v>449</v>
      </c>
      <c r="B248" s="1">
        <v>45242</v>
      </c>
      <c r="C248" t="s">
        <v>10</v>
      </c>
      <c r="D248" t="s">
        <v>11</v>
      </c>
      <c r="E248" t="s">
        <v>12</v>
      </c>
      <c r="F248" t="s">
        <v>13</v>
      </c>
      <c r="G248">
        <v>14</v>
      </c>
      <c r="H248" t="s">
        <v>33</v>
      </c>
      <c r="I248">
        <v>24</v>
      </c>
      <c r="J248">
        <v>492.06</v>
      </c>
      <c r="K248">
        <f t="shared" si="5"/>
        <v>6888.84</v>
      </c>
    </row>
    <row r="249" spans="1:11" x14ac:dyDescent="0.35">
      <c r="A249" t="s">
        <v>450</v>
      </c>
      <c r="B249" s="1">
        <v>45118</v>
      </c>
      <c r="C249" t="s">
        <v>15</v>
      </c>
      <c r="D249" t="s">
        <v>16</v>
      </c>
      <c r="E249" t="s">
        <v>17</v>
      </c>
      <c r="F249" t="s">
        <v>35</v>
      </c>
      <c r="G249">
        <v>9</v>
      </c>
      <c r="H249" t="s">
        <v>33</v>
      </c>
      <c r="I249">
        <v>21</v>
      </c>
      <c r="J249">
        <v>773.71</v>
      </c>
      <c r="K249">
        <f t="shared" si="5"/>
        <v>6963.39</v>
      </c>
    </row>
    <row r="250" spans="1:11" x14ac:dyDescent="0.35">
      <c r="A250" t="s">
        <v>451</v>
      </c>
      <c r="B250" s="1">
        <v>45090</v>
      </c>
      <c r="C250" t="s">
        <v>23</v>
      </c>
      <c r="D250" t="s">
        <v>24</v>
      </c>
      <c r="E250" t="s">
        <v>44</v>
      </c>
      <c r="F250" t="s">
        <v>21</v>
      </c>
      <c r="G250">
        <v>5</v>
      </c>
      <c r="H250" t="s">
        <v>33</v>
      </c>
      <c r="I250">
        <v>35</v>
      </c>
      <c r="J250">
        <v>1412.08</v>
      </c>
      <c r="K250">
        <f t="shared" si="5"/>
        <v>7060.4</v>
      </c>
    </row>
    <row r="251" spans="1:11" x14ac:dyDescent="0.35">
      <c r="A251" t="s">
        <v>452</v>
      </c>
      <c r="B251" s="1">
        <v>45014</v>
      </c>
      <c r="C251" t="s">
        <v>10</v>
      </c>
      <c r="D251" t="s">
        <v>11</v>
      </c>
      <c r="E251" t="s">
        <v>41</v>
      </c>
      <c r="F251" t="s">
        <v>18</v>
      </c>
      <c r="G251">
        <v>12</v>
      </c>
      <c r="H251" t="s">
        <v>31</v>
      </c>
      <c r="I251">
        <v>34</v>
      </c>
      <c r="J251">
        <v>593.52</v>
      </c>
      <c r="K251">
        <f t="shared" si="5"/>
        <v>7122.24</v>
      </c>
    </row>
    <row r="252" spans="1:11" x14ac:dyDescent="0.35">
      <c r="A252" t="s">
        <v>453</v>
      </c>
      <c r="B252" s="1">
        <v>45003</v>
      </c>
      <c r="C252" t="s">
        <v>15</v>
      </c>
      <c r="D252" t="s">
        <v>16</v>
      </c>
      <c r="E252" t="s">
        <v>43</v>
      </c>
      <c r="F252" t="s">
        <v>18</v>
      </c>
      <c r="G252">
        <v>12</v>
      </c>
      <c r="H252" t="s">
        <v>37</v>
      </c>
      <c r="I252">
        <v>19</v>
      </c>
      <c r="J252">
        <v>596.13</v>
      </c>
      <c r="K252">
        <f t="shared" si="5"/>
        <v>7153.5599999999995</v>
      </c>
    </row>
    <row r="253" spans="1:11" x14ac:dyDescent="0.35">
      <c r="A253" t="s">
        <v>454</v>
      </c>
      <c r="B253" s="1">
        <v>45164</v>
      </c>
      <c r="C253" t="s">
        <v>10</v>
      </c>
      <c r="D253" t="s">
        <v>11</v>
      </c>
      <c r="E253" t="s">
        <v>12</v>
      </c>
      <c r="F253" t="s">
        <v>35</v>
      </c>
      <c r="G253">
        <v>4</v>
      </c>
      <c r="H253" t="s">
        <v>14</v>
      </c>
      <c r="I253">
        <v>51</v>
      </c>
      <c r="J253">
        <v>1788.95</v>
      </c>
      <c r="K253">
        <f t="shared" si="5"/>
        <v>7155.8</v>
      </c>
    </row>
    <row r="254" spans="1:11" x14ac:dyDescent="0.35">
      <c r="A254" t="s">
        <v>455</v>
      </c>
      <c r="B254" s="1">
        <v>45213</v>
      </c>
      <c r="C254" t="s">
        <v>15</v>
      </c>
      <c r="D254" t="s">
        <v>19</v>
      </c>
      <c r="E254" t="s">
        <v>20</v>
      </c>
      <c r="F254" t="s">
        <v>21</v>
      </c>
      <c r="G254">
        <v>5</v>
      </c>
      <c r="H254" t="s">
        <v>37</v>
      </c>
      <c r="I254">
        <v>38</v>
      </c>
      <c r="J254">
        <v>1445.72</v>
      </c>
      <c r="K254">
        <f t="shared" si="5"/>
        <v>7228.6</v>
      </c>
    </row>
    <row r="255" spans="1:11" x14ac:dyDescent="0.35">
      <c r="A255" t="s">
        <v>456</v>
      </c>
      <c r="B255" s="1">
        <v>45083</v>
      </c>
      <c r="C255" t="s">
        <v>10</v>
      </c>
      <c r="D255" t="s">
        <v>11</v>
      </c>
      <c r="E255" t="s">
        <v>12</v>
      </c>
      <c r="F255" t="s">
        <v>29</v>
      </c>
      <c r="G255">
        <v>6</v>
      </c>
      <c r="H255" t="s">
        <v>26</v>
      </c>
      <c r="I255">
        <v>55</v>
      </c>
      <c r="J255">
        <v>1205.3599999999999</v>
      </c>
      <c r="K255">
        <f t="shared" si="5"/>
        <v>7232.16</v>
      </c>
    </row>
    <row r="256" spans="1:11" x14ac:dyDescent="0.35">
      <c r="A256" t="s">
        <v>457</v>
      </c>
      <c r="B256" s="1">
        <v>44949</v>
      </c>
      <c r="C256" t="s">
        <v>10</v>
      </c>
      <c r="D256" t="s">
        <v>11</v>
      </c>
      <c r="E256" t="s">
        <v>12</v>
      </c>
      <c r="F256" t="s">
        <v>18</v>
      </c>
      <c r="G256">
        <v>9</v>
      </c>
      <c r="H256" t="s">
        <v>36</v>
      </c>
      <c r="I256">
        <v>21</v>
      </c>
      <c r="J256">
        <v>808.93</v>
      </c>
      <c r="K256">
        <f t="shared" si="5"/>
        <v>7280.37</v>
      </c>
    </row>
    <row r="257" spans="1:11" x14ac:dyDescent="0.35">
      <c r="A257" t="s">
        <v>458</v>
      </c>
      <c r="B257" s="1">
        <v>44992</v>
      </c>
      <c r="C257" t="s">
        <v>15</v>
      </c>
      <c r="D257" t="s">
        <v>19</v>
      </c>
      <c r="E257" t="s">
        <v>22</v>
      </c>
      <c r="F257" t="s">
        <v>18</v>
      </c>
      <c r="G257">
        <v>5</v>
      </c>
      <c r="H257" t="s">
        <v>195</v>
      </c>
      <c r="I257">
        <v>48</v>
      </c>
      <c r="J257">
        <v>1460.84</v>
      </c>
      <c r="K257">
        <f t="shared" si="5"/>
        <v>7304.2</v>
      </c>
    </row>
    <row r="258" spans="1:11" x14ac:dyDescent="0.35">
      <c r="A258" t="s">
        <v>459</v>
      </c>
      <c r="B258" s="1">
        <v>44978</v>
      </c>
      <c r="C258" t="s">
        <v>10</v>
      </c>
      <c r="D258" t="s">
        <v>11</v>
      </c>
      <c r="E258" t="s">
        <v>12</v>
      </c>
      <c r="F258" t="s">
        <v>29</v>
      </c>
      <c r="G258">
        <v>4</v>
      </c>
      <c r="H258" t="s">
        <v>96</v>
      </c>
      <c r="I258">
        <v>44</v>
      </c>
      <c r="J258">
        <v>1831.79</v>
      </c>
      <c r="K258">
        <f t="shared" ref="K258:K321" si="6">G258*J258</f>
        <v>7327.16</v>
      </c>
    </row>
    <row r="259" spans="1:11" x14ac:dyDescent="0.35">
      <c r="A259" t="s">
        <v>460</v>
      </c>
      <c r="B259" s="1">
        <v>45641</v>
      </c>
      <c r="C259" t="s">
        <v>15</v>
      </c>
      <c r="D259" t="s">
        <v>19</v>
      </c>
      <c r="E259" t="s">
        <v>32</v>
      </c>
      <c r="F259" t="s">
        <v>29</v>
      </c>
      <c r="G259">
        <v>3</v>
      </c>
      <c r="H259" t="s">
        <v>31</v>
      </c>
      <c r="I259">
        <v>17</v>
      </c>
      <c r="J259">
        <v>2444.6</v>
      </c>
      <c r="K259">
        <f t="shared" si="6"/>
        <v>7333.7999999999993</v>
      </c>
    </row>
    <row r="260" spans="1:11" x14ac:dyDescent="0.35">
      <c r="A260" t="s">
        <v>461</v>
      </c>
      <c r="B260" s="1">
        <v>45219</v>
      </c>
      <c r="C260" t="s">
        <v>15</v>
      </c>
      <c r="D260" t="s">
        <v>19</v>
      </c>
      <c r="E260" t="s">
        <v>32</v>
      </c>
      <c r="F260" t="s">
        <v>29</v>
      </c>
      <c r="G260">
        <v>3</v>
      </c>
      <c r="H260" t="s">
        <v>36</v>
      </c>
      <c r="I260">
        <v>17</v>
      </c>
      <c r="J260">
        <v>2444.6</v>
      </c>
      <c r="K260">
        <f t="shared" si="6"/>
        <v>7333.7999999999993</v>
      </c>
    </row>
    <row r="261" spans="1:11" x14ac:dyDescent="0.35">
      <c r="A261" t="s">
        <v>462</v>
      </c>
      <c r="B261" s="1">
        <v>44943</v>
      </c>
      <c r="C261" t="s">
        <v>15</v>
      </c>
      <c r="D261" t="s">
        <v>16</v>
      </c>
      <c r="E261" t="s">
        <v>17</v>
      </c>
      <c r="F261" t="s">
        <v>35</v>
      </c>
      <c r="G261">
        <v>8</v>
      </c>
      <c r="H261" t="s">
        <v>33</v>
      </c>
      <c r="I261">
        <v>34</v>
      </c>
      <c r="J261">
        <v>918.76</v>
      </c>
      <c r="K261">
        <f t="shared" si="6"/>
        <v>7350.08</v>
      </c>
    </row>
    <row r="262" spans="1:11" x14ac:dyDescent="0.35">
      <c r="A262" t="s">
        <v>463</v>
      </c>
      <c r="B262" s="1">
        <v>45193</v>
      </c>
      <c r="C262" t="s">
        <v>10</v>
      </c>
      <c r="D262" t="s">
        <v>38</v>
      </c>
      <c r="E262" t="s">
        <v>42</v>
      </c>
      <c r="F262" t="s">
        <v>13</v>
      </c>
      <c r="G262">
        <v>10</v>
      </c>
      <c r="H262" t="s">
        <v>36</v>
      </c>
      <c r="I262">
        <v>24</v>
      </c>
      <c r="J262">
        <v>743.68</v>
      </c>
      <c r="K262">
        <f t="shared" si="6"/>
        <v>7436.7999999999993</v>
      </c>
    </row>
    <row r="263" spans="1:11" x14ac:dyDescent="0.35">
      <c r="A263" t="s">
        <v>464</v>
      </c>
      <c r="B263" s="1">
        <v>45223</v>
      </c>
      <c r="C263" t="s">
        <v>10</v>
      </c>
      <c r="D263" t="s">
        <v>11</v>
      </c>
      <c r="E263" t="s">
        <v>41</v>
      </c>
      <c r="F263" t="s">
        <v>13</v>
      </c>
      <c r="G263">
        <v>2</v>
      </c>
      <c r="H263" t="s">
        <v>26</v>
      </c>
      <c r="I263">
        <v>35</v>
      </c>
      <c r="J263">
        <v>3753.37</v>
      </c>
      <c r="K263">
        <f t="shared" si="6"/>
        <v>7506.74</v>
      </c>
    </row>
    <row r="264" spans="1:11" x14ac:dyDescent="0.35">
      <c r="A264" t="s">
        <v>465</v>
      </c>
      <c r="B264" s="1">
        <v>44993</v>
      </c>
      <c r="C264" t="s">
        <v>10</v>
      </c>
      <c r="D264" t="s">
        <v>38</v>
      </c>
      <c r="E264" t="s">
        <v>39</v>
      </c>
      <c r="F264" t="s">
        <v>18</v>
      </c>
      <c r="G264">
        <v>2</v>
      </c>
      <c r="H264" t="s">
        <v>97</v>
      </c>
      <c r="I264">
        <v>39</v>
      </c>
      <c r="J264">
        <v>3825.5</v>
      </c>
      <c r="K264">
        <f t="shared" si="6"/>
        <v>7651</v>
      </c>
    </row>
    <row r="265" spans="1:11" x14ac:dyDescent="0.35">
      <c r="A265" t="s">
        <v>466</v>
      </c>
      <c r="B265" s="1">
        <v>45253</v>
      </c>
      <c r="C265" t="s">
        <v>10</v>
      </c>
      <c r="D265" t="s">
        <v>38</v>
      </c>
      <c r="E265" t="s">
        <v>40</v>
      </c>
      <c r="F265" t="s">
        <v>21</v>
      </c>
      <c r="G265">
        <v>9</v>
      </c>
      <c r="H265" t="s">
        <v>26</v>
      </c>
      <c r="I265">
        <v>31</v>
      </c>
      <c r="J265">
        <v>851.87</v>
      </c>
      <c r="K265">
        <f t="shared" si="6"/>
        <v>7666.83</v>
      </c>
    </row>
    <row r="266" spans="1:11" x14ac:dyDescent="0.35">
      <c r="A266" t="s">
        <v>467</v>
      </c>
      <c r="B266" s="1">
        <v>45254</v>
      </c>
      <c r="C266" t="s">
        <v>23</v>
      </c>
      <c r="D266" t="s">
        <v>24</v>
      </c>
      <c r="E266" t="s">
        <v>45</v>
      </c>
      <c r="F266" t="s">
        <v>18</v>
      </c>
      <c r="G266">
        <v>7</v>
      </c>
      <c r="H266" t="s">
        <v>33</v>
      </c>
      <c r="I266">
        <v>34</v>
      </c>
      <c r="J266">
        <v>1102.48</v>
      </c>
      <c r="K266">
        <f t="shared" si="6"/>
        <v>7717.3600000000006</v>
      </c>
    </row>
    <row r="267" spans="1:11" x14ac:dyDescent="0.35">
      <c r="A267" t="s">
        <v>468</v>
      </c>
      <c r="B267" s="1">
        <v>44931</v>
      </c>
      <c r="C267" t="s">
        <v>15</v>
      </c>
      <c r="D267" t="s">
        <v>19</v>
      </c>
      <c r="E267" t="s">
        <v>22</v>
      </c>
      <c r="F267" t="s">
        <v>18</v>
      </c>
      <c r="G267">
        <v>10</v>
      </c>
      <c r="H267" t="s">
        <v>14</v>
      </c>
      <c r="I267">
        <v>44</v>
      </c>
      <c r="J267">
        <v>772.21</v>
      </c>
      <c r="K267">
        <f t="shared" si="6"/>
        <v>7722.1</v>
      </c>
    </row>
    <row r="268" spans="1:11" x14ac:dyDescent="0.35">
      <c r="A268" t="s">
        <v>469</v>
      </c>
      <c r="B268" s="1">
        <v>44960</v>
      </c>
      <c r="C268" t="s">
        <v>23</v>
      </c>
      <c r="D268" t="s">
        <v>24</v>
      </c>
      <c r="E268" t="s">
        <v>44</v>
      </c>
      <c r="F268" t="s">
        <v>18</v>
      </c>
      <c r="G268">
        <v>4</v>
      </c>
      <c r="H268" t="s">
        <v>97</v>
      </c>
      <c r="I268">
        <v>51</v>
      </c>
      <c r="J268">
        <v>1938.6</v>
      </c>
      <c r="K268">
        <f t="shared" si="6"/>
        <v>7754.4</v>
      </c>
    </row>
    <row r="269" spans="1:11" x14ac:dyDescent="0.35">
      <c r="A269" t="s">
        <v>470</v>
      </c>
      <c r="B269" s="1">
        <v>45038</v>
      </c>
      <c r="C269" t="s">
        <v>15</v>
      </c>
      <c r="D269" t="s">
        <v>16</v>
      </c>
      <c r="E269" t="s">
        <v>17</v>
      </c>
      <c r="F269" t="s">
        <v>35</v>
      </c>
      <c r="G269">
        <v>5</v>
      </c>
      <c r="H269" t="s">
        <v>28</v>
      </c>
      <c r="I269">
        <v>44</v>
      </c>
      <c r="J269">
        <v>1566.04</v>
      </c>
      <c r="K269">
        <f t="shared" si="6"/>
        <v>7830.2</v>
      </c>
    </row>
    <row r="270" spans="1:11" x14ac:dyDescent="0.35">
      <c r="A270" t="s">
        <v>471</v>
      </c>
      <c r="B270" s="1">
        <v>45062</v>
      </c>
      <c r="C270" t="s">
        <v>10</v>
      </c>
      <c r="D270" t="s">
        <v>11</v>
      </c>
      <c r="E270" t="s">
        <v>27</v>
      </c>
      <c r="F270" t="s">
        <v>13</v>
      </c>
      <c r="G270">
        <v>3</v>
      </c>
      <c r="H270" t="s">
        <v>28</v>
      </c>
      <c r="I270">
        <v>16</v>
      </c>
      <c r="J270">
        <v>2618.2199999999998</v>
      </c>
      <c r="K270">
        <f t="shared" si="6"/>
        <v>7854.66</v>
      </c>
    </row>
    <row r="271" spans="1:11" x14ac:dyDescent="0.35">
      <c r="A271" t="s">
        <v>472</v>
      </c>
      <c r="B271" s="1">
        <v>45203</v>
      </c>
      <c r="C271" t="s">
        <v>15</v>
      </c>
      <c r="D271" t="s">
        <v>19</v>
      </c>
      <c r="E271" t="s">
        <v>32</v>
      </c>
      <c r="F271" t="s">
        <v>18</v>
      </c>
      <c r="G271">
        <v>17</v>
      </c>
      <c r="H271" t="s">
        <v>33</v>
      </c>
      <c r="I271">
        <v>25</v>
      </c>
      <c r="J271">
        <v>463.54</v>
      </c>
      <c r="K271">
        <f t="shared" si="6"/>
        <v>7880.18</v>
      </c>
    </row>
    <row r="272" spans="1:11" x14ac:dyDescent="0.35">
      <c r="A272" t="s">
        <v>473</v>
      </c>
      <c r="B272" s="1">
        <v>45107</v>
      </c>
      <c r="C272" t="s">
        <v>10</v>
      </c>
      <c r="D272" t="s">
        <v>11</v>
      </c>
      <c r="E272" t="s">
        <v>27</v>
      </c>
      <c r="F272" t="s">
        <v>13</v>
      </c>
      <c r="G272">
        <v>16</v>
      </c>
      <c r="H272" t="s">
        <v>14</v>
      </c>
      <c r="I272">
        <v>51</v>
      </c>
      <c r="J272">
        <v>494.05</v>
      </c>
      <c r="K272">
        <f t="shared" si="6"/>
        <v>7904.8</v>
      </c>
    </row>
    <row r="273" spans="1:11" x14ac:dyDescent="0.35">
      <c r="A273" t="s">
        <v>474</v>
      </c>
      <c r="B273" s="1">
        <v>45112</v>
      </c>
      <c r="C273" t="s">
        <v>23</v>
      </c>
      <c r="D273" t="s">
        <v>24</v>
      </c>
      <c r="E273" t="s">
        <v>25</v>
      </c>
      <c r="F273" t="s">
        <v>13</v>
      </c>
      <c r="G273">
        <v>14</v>
      </c>
      <c r="H273" t="s">
        <v>31</v>
      </c>
      <c r="I273">
        <v>23</v>
      </c>
      <c r="J273">
        <v>564.63</v>
      </c>
      <c r="K273">
        <f t="shared" si="6"/>
        <v>7904.82</v>
      </c>
    </row>
    <row r="274" spans="1:11" x14ac:dyDescent="0.35">
      <c r="A274" t="s">
        <v>475</v>
      </c>
      <c r="B274" s="1">
        <v>45075</v>
      </c>
      <c r="C274" t="s">
        <v>15</v>
      </c>
      <c r="D274" t="s">
        <v>16</v>
      </c>
      <c r="E274" t="s">
        <v>43</v>
      </c>
      <c r="F274" t="s">
        <v>29</v>
      </c>
      <c r="G274">
        <v>4</v>
      </c>
      <c r="H274" t="s">
        <v>96</v>
      </c>
      <c r="I274">
        <v>16</v>
      </c>
      <c r="J274">
        <v>1993.97</v>
      </c>
      <c r="K274">
        <f t="shared" si="6"/>
        <v>7975.88</v>
      </c>
    </row>
    <row r="275" spans="1:11" x14ac:dyDescent="0.35">
      <c r="A275" t="s">
        <v>476</v>
      </c>
      <c r="B275" s="1">
        <v>45015</v>
      </c>
      <c r="C275" t="s">
        <v>10</v>
      </c>
      <c r="D275" t="s">
        <v>38</v>
      </c>
      <c r="E275" t="s">
        <v>40</v>
      </c>
      <c r="F275" t="s">
        <v>21</v>
      </c>
      <c r="G275">
        <v>9</v>
      </c>
      <c r="H275" t="s">
        <v>31</v>
      </c>
      <c r="I275">
        <v>29</v>
      </c>
      <c r="J275">
        <v>888.33</v>
      </c>
      <c r="K275">
        <f t="shared" si="6"/>
        <v>7994.97</v>
      </c>
    </row>
    <row r="276" spans="1:11" x14ac:dyDescent="0.35">
      <c r="A276" t="s">
        <v>477</v>
      </c>
      <c r="B276" s="1">
        <v>45255</v>
      </c>
      <c r="C276" t="s">
        <v>15</v>
      </c>
      <c r="D276" t="s">
        <v>16</v>
      </c>
      <c r="E276" t="s">
        <v>17</v>
      </c>
      <c r="F276" t="s">
        <v>21</v>
      </c>
      <c r="G276">
        <v>15</v>
      </c>
      <c r="H276" t="s">
        <v>14</v>
      </c>
      <c r="I276">
        <v>28</v>
      </c>
      <c r="J276">
        <v>534.41999999999996</v>
      </c>
      <c r="K276">
        <f t="shared" si="6"/>
        <v>8016.2999999999993</v>
      </c>
    </row>
    <row r="277" spans="1:11" x14ac:dyDescent="0.35">
      <c r="A277" t="s">
        <v>478</v>
      </c>
      <c r="B277" s="1">
        <v>45074</v>
      </c>
      <c r="C277" t="s">
        <v>15</v>
      </c>
      <c r="D277" t="s">
        <v>16</v>
      </c>
      <c r="E277" t="s">
        <v>34</v>
      </c>
      <c r="F277" t="s">
        <v>29</v>
      </c>
      <c r="G277">
        <v>2</v>
      </c>
      <c r="H277" t="s">
        <v>195</v>
      </c>
      <c r="I277">
        <v>45</v>
      </c>
      <c r="J277">
        <v>4019.4</v>
      </c>
      <c r="K277">
        <f t="shared" si="6"/>
        <v>8038.8</v>
      </c>
    </row>
    <row r="278" spans="1:11" x14ac:dyDescent="0.35">
      <c r="A278" t="s">
        <v>479</v>
      </c>
      <c r="B278" s="1">
        <v>45055</v>
      </c>
      <c r="C278" t="s">
        <v>15</v>
      </c>
      <c r="D278" t="s">
        <v>16</v>
      </c>
      <c r="E278" t="s">
        <v>43</v>
      </c>
      <c r="F278" t="s">
        <v>18</v>
      </c>
      <c r="G278">
        <v>16</v>
      </c>
      <c r="H278" t="s">
        <v>28</v>
      </c>
      <c r="I278">
        <v>31</v>
      </c>
      <c r="J278">
        <v>502.59</v>
      </c>
      <c r="K278">
        <f t="shared" si="6"/>
        <v>8041.44</v>
      </c>
    </row>
    <row r="279" spans="1:11" x14ac:dyDescent="0.35">
      <c r="A279" t="s">
        <v>480</v>
      </c>
      <c r="B279" s="1">
        <v>45095</v>
      </c>
      <c r="C279" t="s">
        <v>15</v>
      </c>
      <c r="D279" t="s">
        <v>16</v>
      </c>
      <c r="E279" t="s">
        <v>43</v>
      </c>
      <c r="F279" t="s">
        <v>21</v>
      </c>
      <c r="G279">
        <v>2</v>
      </c>
      <c r="H279" t="s">
        <v>36</v>
      </c>
      <c r="I279">
        <v>36</v>
      </c>
      <c r="J279">
        <v>4032.05</v>
      </c>
      <c r="K279">
        <f t="shared" si="6"/>
        <v>8064.1</v>
      </c>
    </row>
    <row r="280" spans="1:11" x14ac:dyDescent="0.35">
      <c r="A280" t="s">
        <v>481</v>
      </c>
      <c r="B280" s="1">
        <v>45168</v>
      </c>
      <c r="C280" t="s">
        <v>23</v>
      </c>
      <c r="D280" t="s">
        <v>24</v>
      </c>
      <c r="E280" t="s">
        <v>25</v>
      </c>
      <c r="F280" t="s">
        <v>21</v>
      </c>
      <c r="G280">
        <v>18</v>
      </c>
      <c r="H280" t="s">
        <v>26</v>
      </c>
      <c r="I280">
        <v>37</v>
      </c>
      <c r="J280">
        <v>448.42</v>
      </c>
      <c r="K280">
        <f t="shared" si="6"/>
        <v>8071.56</v>
      </c>
    </row>
    <row r="281" spans="1:11" x14ac:dyDescent="0.35">
      <c r="A281" t="s">
        <v>482</v>
      </c>
      <c r="B281" s="1">
        <v>44973</v>
      </c>
      <c r="C281" t="s">
        <v>23</v>
      </c>
      <c r="D281" t="s">
        <v>24</v>
      </c>
      <c r="E281" t="s">
        <v>25</v>
      </c>
      <c r="F281" t="s">
        <v>21</v>
      </c>
      <c r="G281">
        <v>2</v>
      </c>
      <c r="H281" t="s">
        <v>37</v>
      </c>
      <c r="I281">
        <v>44</v>
      </c>
      <c r="J281">
        <v>4059.61</v>
      </c>
      <c r="K281">
        <f t="shared" si="6"/>
        <v>8119.22</v>
      </c>
    </row>
    <row r="282" spans="1:11" x14ac:dyDescent="0.35">
      <c r="A282" t="s">
        <v>483</v>
      </c>
      <c r="B282" s="1">
        <v>45618</v>
      </c>
      <c r="C282" t="s">
        <v>23</v>
      </c>
      <c r="D282" t="s">
        <v>24</v>
      </c>
      <c r="E282" t="s">
        <v>25</v>
      </c>
      <c r="F282" t="s">
        <v>21</v>
      </c>
      <c r="G282">
        <v>2</v>
      </c>
      <c r="H282" t="s">
        <v>28</v>
      </c>
      <c r="I282">
        <v>44</v>
      </c>
      <c r="J282">
        <v>4059.61</v>
      </c>
      <c r="K282">
        <f t="shared" si="6"/>
        <v>8119.22</v>
      </c>
    </row>
    <row r="283" spans="1:11" x14ac:dyDescent="0.35">
      <c r="A283" t="s">
        <v>484</v>
      </c>
      <c r="B283" s="1">
        <v>45144</v>
      </c>
      <c r="C283" t="s">
        <v>15</v>
      </c>
      <c r="D283" t="s">
        <v>16</v>
      </c>
      <c r="E283" t="s">
        <v>34</v>
      </c>
      <c r="F283" t="s">
        <v>18</v>
      </c>
      <c r="G283">
        <v>10</v>
      </c>
      <c r="H283" t="s">
        <v>36</v>
      </c>
      <c r="I283">
        <v>40</v>
      </c>
      <c r="J283">
        <v>812.98</v>
      </c>
      <c r="K283">
        <f t="shared" si="6"/>
        <v>8129.8</v>
      </c>
    </row>
    <row r="284" spans="1:11" x14ac:dyDescent="0.35">
      <c r="A284" t="s">
        <v>485</v>
      </c>
      <c r="B284" s="1">
        <v>44960</v>
      </c>
      <c r="C284" t="s">
        <v>15</v>
      </c>
      <c r="D284" t="s">
        <v>16</v>
      </c>
      <c r="E284" t="s">
        <v>43</v>
      </c>
      <c r="F284" t="s">
        <v>35</v>
      </c>
      <c r="G284">
        <v>7</v>
      </c>
      <c r="H284" t="s">
        <v>195</v>
      </c>
      <c r="I284">
        <v>53</v>
      </c>
      <c r="J284">
        <v>1164.5999999999999</v>
      </c>
      <c r="K284">
        <f t="shared" si="6"/>
        <v>8152.1999999999989</v>
      </c>
    </row>
    <row r="285" spans="1:11" x14ac:dyDescent="0.35">
      <c r="A285" t="s">
        <v>486</v>
      </c>
      <c r="B285" s="1">
        <v>45050</v>
      </c>
      <c r="C285" t="s">
        <v>10</v>
      </c>
      <c r="D285" t="s">
        <v>11</v>
      </c>
      <c r="E285" t="s">
        <v>27</v>
      </c>
      <c r="F285" t="s">
        <v>21</v>
      </c>
      <c r="G285">
        <v>19</v>
      </c>
      <c r="H285" t="s">
        <v>31</v>
      </c>
      <c r="I285">
        <v>30</v>
      </c>
      <c r="J285">
        <v>430.16</v>
      </c>
      <c r="K285">
        <f t="shared" si="6"/>
        <v>8173.0400000000009</v>
      </c>
    </row>
    <row r="286" spans="1:11" x14ac:dyDescent="0.35">
      <c r="A286" t="s">
        <v>487</v>
      </c>
      <c r="B286" s="1">
        <v>45128</v>
      </c>
      <c r="C286" t="s">
        <v>23</v>
      </c>
      <c r="D286" t="s">
        <v>24</v>
      </c>
      <c r="E286" t="s">
        <v>45</v>
      </c>
      <c r="F286" t="s">
        <v>21</v>
      </c>
      <c r="G286">
        <v>6</v>
      </c>
      <c r="H286" t="s">
        <v>31</v>
      </c>
      <c r="I286">
        <v>29</v>
      </c>
      <c r="J286">
        <v>1366.98</v>
      </c>
      <c r="K286">
        <f t="shared" si="6"/>
        <v>8201.880000000001</v>
      </c>
    </row>
    <row r="287" spans="1:11" x14ac:dyDescent="0.35">
      <c r="A287" t="s">
        <v>488</v>
      </c>
      <c r="B287" s="1">
        <v>45227</v>
      </c>
      <c r="C287" t="s">
        <v>15</v>
      </c>
      <c r="D287" t="s">
        <v>19</v>
      </c>
      <c r="E287" t="s">
        <v>20</v>
      </c>
      <c r="F287" t="s">
        <v>29</v>
      </c>
      <c r="G287">
        <v>3</v>
      </c>
      <c r="H287" t="s">
        <v>96</v>
      </c>
      <c r="I287">
        <v>38</v>
      </c>
      <c r="J287">
        <v>2756.83</v>
      </c>
      <c r="K287">
        <f t="shared" si="6"/>
        <v>8270.49</v>
      </c>
    </row>
    <row r="288" spans="1:11" x14ac:dyDescent="0.35">
      <c r="A288" t="s">
        <v>489</v>
      </c>
      <c r="B288" s="1">
        <v>45194</v>
      </c>
      <c r="C288" t="s">
        <v>10</v>
      </c>
      <c r="D288" t="s">
        <v>38</v>
      </c>
      <c r="E288" t="s">
        <v>42</v>
      </c>
      <c r="F288" t="s">
        <v>21</v>
      </c>
      <c r="G288">
        <v>2</v>
      </c>
      <c r="H288" t="s">
        <v>26</v>
      </c>
      <c r="I288">
        <v>24</v>
      </c>
      <c r="J288">
        <v>4176.99</v>
      </c>
      <c r="K288">
        <f t="shared" si="6"/>
        <v>8353.98</v>
      </c>
    </row>
    <row r="289" spans="1:11" x14ac:dyDescent="0.35">
      <c r="A289" t="s">
        <v>490</v>
      </c>
      <c r="B289" s="1">
        <v>45036</v>
      </c>
      <c r="C289" t="s">
        <v>10</v>
      </c>
      <c r="D289" t="s">
        <v>38</v>
      </c>
      <c r="E289" t="s">
        <v>40</v>
      </c>
      <c r="F289" t="s">
        <v>35</v>
      </c>
      <c r="G289">
        <v>16</v>
      </c>
      <c r="H289" t="s">
        <v>14</v>
      </c>
      <c r="I289">
        <v>48</v>
      </c>
      <c r="J289">
        <v>523.29999999999995</v>
      </c>
      <c r="K289">
        <f t="shared" si="6"/>
        <v>8372.7999999999993</v>
      </c>
    </row>
    <row r="290" spans="1:11" x14ac:dyDescent="0.35">
      <c r="A290" t="s">
        <v>491</v>
      </c>
      <c r="B290" s="1">
        <v>44972</v>
      </c>
      <c r="C290" t="s">
        <v>10</v>
      </c>
      <c r="D290" t="s">
        <v>38</v>
      </c>
      <c r="E290" t="s">
        <v>39</v>
      </c>
      <c r="F290" t="s">
        <v>35</v>
      </c>
      <c r="G290">
        <v>10</v>
      </c>
      <c r="H290" t="s">
        <v>30</v>
      </c>
      <c r="I290">
        <v>31</v>
      </c>
      <c r="J290">
        <v>843.5</v>
      </c>
      <c r="K290">
        <f t="shared" si="6"/>
        <v>8435</v>
      </c>
    </row>
    <row r="291" spans="1:11" x14ac:dyDescent="0.35">
      <c r="A291" t="s">
        <v>492</v>
      </c>
      <c r="B291" s="1">
        <v>45625</v>
      </c>
      <c r="C291" t="s">
        <v>10</v>
      </c>
      <c r="D291" t="s">
        <v>38</v>
      </c>
      <c r="E291" t="s">
        <v>39</v>
      </c>
      <c r="F291" t="s">
        <v>35</v>
      </c>
      <c r="G291">
        <v>10</v>
      </c>
      <c r="H291" t="s">
        <v>14</v>
      </c>
      <c r="I291">
        <v>31</v>
      </c>
      <c r="J291">
        <v>843.5</v>
      </c>
      <c r="K291">
        <f t="shared" si="6"/>
        <v>8435</v>
      </c>
    </row>
    <row r="292" spans="1:11" x14ac:dyDescent="0.35">
      <c r="A292" t="s">
        <v>493</v>
      </c>
      <c r="B292" s="1">
        <v>45022</v>
      </c>
      <c r="C292" t="s">
        <v>10</v>
      </c>
      <c r="D292" t="s">
        <v>38</v>
      </c>
      <c r="E292" t="s">
        <v>40</v>
      </c>
      <c r="F292" t="s">
        <v>35</v>
      </c>
      <c r="G292">
        <v>7</v>
      </c>
      <c r="H292" t="s">
        <v>33</v>
      </c>
      <c r="I292">
        <v>53</v>
      </c>
      <c r="J292">
        <v>1205.8900000000001</v>
      </c>
      <c r="K292">
        <f t="shared" si="6"/>
        <v>8441.2300000000014</v>
      </c>
    </row>
    <row r="293" spans="1:11" x14ac:dyDescent="0.35">
      <c r="A293" t="s">
        <v>494</v>
      </c>
      <c r="B293" s="1">
        <v>45007</v>
      </c>
      <c r="C293" t="s">
        <v>10</v>
      </c>
      <c r="D293" t="s">
        <v>38</v>
      </c>
      <c r="E293" t="s">
        <v>39</v>
      </c>
      <c r="F293" t="s">
        <v>13</v>
      </c>
      <c r="G293">
        <v>3</v>
      </c>
      <c r="H293" t="s">
        <v>33</v>
      </c>
      <c r="I293">
        <v>48</v>
      </c>
      <c r="J293">
        <v>2880.4</v>
      </c>
      <c r="K293">
        <f t="shared" si="6"/>
        <v>8641.2000000000007</v>
      </c>
    </row>
    <row r="294" spans="1:11" x14ac:dyDescent="0.35">
      <c r="A294" t="s">
        <v>495</v>
      </c>
      <c r="B294" s="1">
        <v>44954</v>
      </c>
      <c r="C294" t="s">
        <v>23</v>
      </c>
      <c r="D294" t="s">
        <v>24</v>
      </c>
      <c r="E294" t="s">
        <v>44</v>
      </c>
      <c r="F294" t="s">
        <v>18</v>
      </c>
      <c r="G294">
        <v>4</v>
      </c>
      <c r="H294" t="s">
        <v>36</v>
      </c>
      <c r="I294">
        <v>23</v>
      </c>
      <c r="J294">
        <v>2169.61</v>
      </c>
      <c r="K294">
        <f t="shared" si="6"/>
        <v>8678.44</v>
      </c>
    </row>
    <row r="295" spans="1:11" x14ac:dyDescent="0.35">
      <c r="A295" t="s">
        <v>496</v>
      </c>
      <c r="B295" s="1">
        <v>45199</v>
      </c>
      <c r="C295" t="s">
        <v>10</v>
      </c>
      <c r="D295" t="s">
        <v>38</v>
      </c>
      <c r="E295" t="s">
        <v>42</v>
      </c>
      <c r="F295" t="s">
        <v>18</v>
      </c>
      <c r="G295">
        <v>11</v>
      </c>
      <c r="H295" t="s">
        <v>30</v>
      </c>
      <c r="I295">
        <v>25</v>
      </c>
      <c r="J295">
        <v>793.45</v>
      </c>
      <c r="K295">
        <f t="shared" si="6"/>
        <v>8727.9500000000007</v>
      </c>
    </row>
    <row r="296" spans="1:11" x14ac:dyDescent="0.35">
      <c r="A296" t="s">
        <v>497</v>
      </c>
      <c r="B296" s="1">
        <v>45067</v>
      </c>
      <c r="C296" t="s">
        <v>15</v>
      </c>
      <c r="D296" t="s">
        <v>16</v>
      </c>
      <c r="E296" t="s">
        <v>34</v>
      </c>
      <c r="F296" t="s">
        <v>18</v>
      </c>
      <c r="G296">
        <v>5</v>
      </c>
      <c r="H296" t="s">
        <v>36</v>
      </c>
      <c r="I296">
        <v>16</v>
      </c>
      <c r="J296">
        <v>1757.01</v>
      </c>
      <c r="K296">
        <f t="shared" si="6"/>
        <v>8785.0499999999993</v>
      </c>
    </row>
    <row r="297" spans="1:11" x14ac:dyDescent="0.35">
      <c r="A297" t="s">
        <v>498</v>
      </c>
      <c r="B297" s="1">
        <v>44951</v>
      </c>
      <c r="C297" t="s">
        <v>10</v>
      </c>
      <c r="D297" t="s">
        <v>11</v>
      </c>
      <c r="E297" t="s">
        <v>41</v>
      </c>
      <c r="F297" t="s">
        <v>29</v>
      </c>
      <c r="G297">
        <v>2</v>
      </c>
      <c r="H297" t="s">
        <v>14</v>
      </c>
      <c r="I297">
        <v>51</v>
      </c>
      <c r="J297">
        <v>4439.5</v>
      </c>
      <c r="K297">
        <f t="shared" si="6"/>
        <v>8879</v>
      </c>
    </row>
    <row r="298" spans="1:11" x14ac:dyDescent="0.35">
      <c r="A298" t="s">
        <v>499</v>
      </c>
      <c r="B298" s="1">
        <v>45290</v>
      </c>
      <c r="C298" t="s">
        <v>15</v>
      </c>
      <c r="D298" t="s">
        <v>19</v>
      </c>
      <c r="E298" t="s">
        <v>32</v>
      </c>
      <c r="F298" t="s">
        <v>13</v>
      </c>
      <c r="G298">
        <v>3</v>
      </c>
      <c r="H298" t="s">
        <v>30</v>
      </c>
      <c r="I298">
        <v>18</v>
      </c>
      <c r="J298">
        <v>2961.96</v>
      </c>
      <c r="K298">
        <f t="shared" si="6"/>
        <v>8885.880000000001</v>
      </c>
    </row>
    <row r="299" spans="1:11" x14ac:dyDescent="0.35">
      <c r="A299" t="s">
        <v>500</v>
      </c>
      <c r="B299" s="1">
        <v>45110</v>
      </c>
      <c r="C299" t="s">
        <v>15</v>
      </c>
      <c r="D299" t="s">
        <v>19</v>
      </c>
      <c r="E299" t="s">
        <v>22</v>
      </c>
      <c r="F299" t="s">
        <v>21</v>
      </c>
      <c r="G299">
        <v>3</v>
      </c>
      <c r="H299" t="s">
        <v>14</v>
      </c>
      <c r="I299">
        <v>31</v>
      </c>
      <c r="J299">
        <v>2966.4</v>
      </c>
      <c r="K299">
        <f t="shared" si="6"/>
        <v>8899.2000000000007</v>
      </c>
    </row>
    <row r="300" spans="1:11" x14ac:dyDescent="0.35">
      <c r="A300" t="s">
        <v>501</v>
      </c>
      <c r="B300" s="1">
        <v>44966</v>
      </c>
      <c r="C300" t="s">
        <v>23</v>
      </c>
      <c r="D300" t="s">
        <v>24</v>
      </c>
      <c r="E300" t="s">
        <v>45</v>
      </c>
      <c r="F300" t="s">
        <v>21</v>
      </c>
      <c r="G300">
        <v>18</v>
      </c>
      <c r="H300" t="s">
        <v>36</v>
      </c>
      <c r="I300">
        <v>26</v>
      </c>
      <c r="J300">
        <v>497.68</v>
      </c>
      <c r="K300">
        <f t="shared" si="6"/>
        <v>8958.24</v>
      </c>
    </row>
    <row r="301" spans="1:11" x14ac:dyDescent="0.35">
      <c r="A301" t="s">
        <v>502</v>
      </c>
      <c r="B301" s="1">
        <v>45257</v>
      </c>
      <c r="C301" t="s">
        <v>10</v>
      </c>
      <c r="D301" t="s">
        <v>38</v>
      </c>
      <c r="E301" t="s">
        <v>40</v>
      </c>
      <c r="F301" t="s">
        <v>18</v>
      </c>
      <c r="G301">
        <v>12</v>
      </c>
      <c r="H301" t="s">
        <v>36</v>
      </c>
      <c r="I301">
        <v>19</v>
      </c>
      <c r="J301">
        <v>749.68</v>
      </c>
      <c r="K301">
        <f t="shared" si="6"/>
        <v>8996.16</v>
      </c>
    </row>
    <row r="302" spans="1:11" x14ac:dyDescent="0.35">
      <c r="A302" t="s">
        <v>503</v>
      </c>
      <c r="B302" s="1">
        <v>45198</v>
      </c>
      <c r="C302" t="s">
        <v>10</v>
      </c>
      <c r="D302" t="s">
        <v>11</v>
      </c>
      <c r="E302" t="s">
        <v>41</v>
      </c>
      <c r="F302" t="s">
        <v>13</v>
      </c>
      <c r="G302">
        <v>9</v>
      </c>
      <c r="H302" t="s">
        <v>28</v>
      </c>
      <c r="I302">
        <v>17</v>
      </c>
      <c r="J302">
        <v>1001.37</v>
      </c>
      <c r="K302">
        <f t="shared" si="6"/>
        <v>9012.33</v>
      </c>
    </row>
    <row r="303" spans="1:11" x14ac:dyDescent="0.35">
      <c r="A303" t="s">
        <v>504</v>
      </c>
      <c r="B303" s="1">
        <v>44961</v>
      </c>
      <c r="C303" t="s">
        <v>15</v>
      </c>
      <c r="D303" t="s">
        <v>19</v>
      </c>
      <c r="E303" t="s">
        <v>32</v>
      </c>
      <c r="F303" t="s">
        <v>29</v>
      </c>
      <c r="G303">
        <v>3</v>
      </c>
      <c r="H303" t="s">
        <v>31</v>
      </c>
      <c r="I303">
        <v>29</v>
      </c>
      <c r="J303">
        <v>3007.45</v>
      </c>
      <c r="K303">
        <f t="shared" si="6"/>
        <v>9022.3499999999985</v>
      </c>
    </row>
    <row r="304" spans="1:11" x14ac:dyDescent="0.35">
      <c r="A304" t="s">
        <v>505</v>
      </c>
      <c r="B304" s="1">
        <v>45046</v>
      </c>
      <c r="C304" t="s">
        <v>23</v>
      </c>
      <c r="D304" t="s">
        <v>24</v>
      </c>
      <c r="E304" t="s">
        <v>44</v>
      </c>
      <c r="F304" t="s">
        <v>29</v>
      </c>
      <c r="G304">
        <v>6</v>
      </c>
      <c r="H304" t="s">
        <v>96</v>
      </c>
      <c r="I304">
        <v>46</v>
      </c>
      <c r="J304">
        <v>1508.35</v>
      </c>
      <c r="K304">
        <f t="shared" si="6"/>
        <v>9050.0999999999985</v>
      </c>
    </row>
    <row r="305" spans="1:11" x14ac:dyDescent="0.35">
      <c r="A305" t="s">
        <v>506</v>
      </c>
      <c r="B305" s="1">
        <v>45219</v>
      </c>
      <c r="C305" t="s">
        <v>23</v>
      </c>
      <c r="D305" t="s">
        <v>24</v>
      </c>
      <c r="E305" t="s">
        <v>25</v>
      </c>
      <c r="F305" t="s">
        <v>13</v>
      </c>
      <c r="G305">
        <v>2</v>
      </c>
      <c r="H305" t="s">
        <v>96</v>
      </c>
      <c r="I305">
        <v>23</v>
      </c>
      <c r="J305">
        <v>4527.13</v>
      </c>
      <c r="K305">
        <f t="shared" si="6"/>
        <v>9054.26</v>
      </c>
    </row>
    <row r="306" spans="1:11" x14ac:dyDescent="0.35">
      <c r="A306" t="s">
        <v>507</v>
      </c>
      <c r="B306" s="1">
        <v>45077</v>
      </c>
      <c r="C306" t="s">
        <v>10</v>
      </c>
      <c r="D306" t="s">
        <v>11</v>
      </c>
      <c r="E306" t="s">
        <v>27</v>
      </c>
      <c r="F306" t="s">
        <v>21</v>
      </c>
      <c r="G306">
        <v>4</v>
      </c>
      <c r="H306" t="s">
        <v>31</v>
      </c>
      <c r="I306">
        <v>30</v>
      </c>
      <c r="J306">
        <v>2298.98</v>
      </c>
      <c r="K306">
        <f t="shared" si="6"/>
        <v>9195.92</v>
      </c>
    </row>
    <row r="307" spans="1:11" x14ac:dyDescent="0.35">
      <c r="A307" t="s">
        <v>508</v>
      </c>
      <c r="B307" s="1">
        <v>45229</v>
      </c>
      <c r="C307" t="s">
        <v>15</v>
      </c>
      <c r="D307" t="s">
        <v>19</v>
      </c>
      <c r="E307" t="s">
        <v>32</v>
      </c>
      <c r="F307" t="s">
        <v>35</v>
      </c>
      <c r="G307">
        <v>7</v>
      </c>
      <c r="H307" t="s">
        <v>28</v>
      </c>
      <c r="I307">
        <v>49</v>
      </c>
      <c r="J307">
        <v>1316.13</v>
      </c>
      <c r="K307">
        <f t="shared" si="6"/>
        <v>9212.91</v>
      </c>
    </row>
    <row r="308" spans="1:11" x14ac:dyDescent="0.35">
      <c r="A308" t="s">
        <v>509</v>
      </c>
      <c r="B308" s="1">
        <v>45068</v>
      </c>
      <c r="C308" t="s">
        <v>23</v>
      </c>
      <c r="D308" t="s">
        <v>24</v>
      </c>
      <c r="E308" t="s">
        <v>25</v>
      </c>
      <c r="F308" t="s">
        <v>13</v>
      </c>
      <c r="G308">
        <v>6</v>
      </c>
      <c r="H308" t="s">
        <v>14</v>
      </c>
      <c r="I308">
        <v>34</v>
      </c>
      <c r="J308">
        <v>1537.45</v>
      </c>
      <c r="K308">
        <f t="shared" si="6"/>
        <v>9224.7000000000007</v>
      </c>
    </row>
    <row r="309" spans="1:11" x14ac:dyDescent="0.35">
      <c r="A309" t="s">
        <v>510</v>
      </c>
      <c r="B309" s="1">
        <v>45223</v>
      </c>
      <c r="C309" t="s">
        <v>15</v>
      </c>
      <c r="D309" t="s">
        <v>16</v>
      </c>
      <c r="E309" t="s">
        <v>43</v>
      </c>
      <c r="F309" t="s">
        <v>21</v>
      </c>
      <c r="G309">
        <v>11</v>
      </c>
      <c r="H309" t="s">
        <v>36</v>
      </c>
      <c r="I309">
        <v>20</v>
      </c>
      <c r="J309">
        <v>841.99</v>
      </c>
      <c r="K309">
        <f t="shared" si="6"/>
        <v>9261.89</v>
      </c>
    </row>
    <row r="310" spans="1:11" x14ac:dyDescent="0.35">
      <c r="A310" t="s">
        <v>511</v>
      </c>
      <c r="B310" s="1">
        <v>44973</v>
      </c>
      <c r="C310" t="s">
        <v>10</v>
      </c>
      <c r="D310" t="s">
        <v>38</v>
      </c>
      <c r="E310" t="s">
        <v>40</v>
      </c>
      <c r="F310" t="s">
        <v>13</v>
      </c>
      <c r="G310">
        <v>4</v>
      </c>
      <c r="H310" t="s">
        <v>37</v>
      </c>
      <c r="I310">
        <v>54</v>
      </c>
      <c r="J310">
        <v>2331.1</v>
      </c>
      <c r="K310">
        <f t="shared" si="6"/>
        <v>9324.4</v>
      </c>
    </row>
    <row r="311" spans="1:11" x14ac:dyDescent="0.35">
      <c r="A311" t="s">
        <v>512</v>
      </c>
      <c r="B311" s="1">
        <v>45089</v>
      </c>
      <c r="C311" t="s">
        <v>15</v>
      </c>
      <c r="D311" t="s">
        <v>19</v>
      </c>
      <c r="E311" t="s">
        <v>32</v>
      </c>
      <c r="F311" t="s">
        <v>13</v>
      </c>
      <c r="G311">
        <v>3</v>
      </c>
      <c r="H311" t="s">
        <v>195</v>
      </c>
      <c r="I311">
        <v>44</v>
      </c>
      <c r="J311">
        <v>3109.18</v>
      </c>
      <c r="K311">
        <f t="shared" si="6"/>
        <v>9327.5399999999991</v>
      </c>
    </row>
    <row r="312" spans="1:11" x14ac:dyDescent="0.35">
      <c r="A312" t="s">
        <v>513</v>
      </c>
      <c r="B312" s="1">
        <v>45206</v>
      </c>
      <c r="C312" t="s">
        <v>10</v>
      </c>
      <c r="D312" t="s">
        <v>38</v>
      </c>
      <c r="E312" t="s">
        <v>39</v>
      </c>
      <c r="F312" t="s">
        <v>18</v>
      </c>
      <c r="G312">
        <v>2</v>
      </c>
      <c r="H312" t="s">
        <v>195</v>
      </c>
      <c r="I312">
        <v>50</v>
      </c>
      <c r="J312">
        <v>4664.91</v>
      </c>
      <c r="K312">
        <f t="shared" si="6"/>
        <v>9329.82</v>
      </c>
    </row>
    <row r="313" spans="1:11" x14ac:dyDescent="0.35">
      <c r="A313" t="s">
        <v>514</v>
      </c>
      <c r="B313" s="1">
        <v>45141</v>
      </c>
      <c r="C313" t="s">
        <v>15</v>
      </c>
      <c r="D313" t="s">
        <v>16</v>
      </c>
      <c r="E313" t="s">
        <v>34</v>
      </c>
      <c r="F313" t="s">
        <v>35</v>
      </c>
      <c r="G313">
        <v>15</v>
      </c>
      <c r="H313" t="s">
        <v>14</v>
      </c>
      <c r="I313">
        <v>29</v>
      </c>
      <c r="J313">
        <v>624.87</v>
      </c>
      <c r="K313">
        <f t="shared" si="6"/>
        <v>9373.0499999999993</v>
      </c>
    </row>
    <row r="314" spans="1:11" x14ac:dyDescent="0.35">
      <c r="A314" t="s">
        <v>515</v>
      </c>
      <c r="B314" s="1">
        <v>45073</v>
      </c>
      <c r="C314" t="s">
        <v>10</v>
      </c>
      <c r="D314" t="s">
        <v>11</v>
      </c>
      <c r="E314" t="s">
        <v>41</v>
      </c>
      <c r="F314" t="s">
        <v>13</v>
      </c>
      <c r="G314">
        <v>10</v>
      </c>
      <c r="H314" t="s">
        <v>97</v>
      </c>
      <c r="I314">
        <v>29</v>
      </c>
      <c r="J314">
        <v>938.57</v>
      </c>
      <c r="K314">
        <f t="shared" si="6"/>
        <v>9385.7000000000007</v>
      </c>
    </row>
    <row r="315" spans="1:11" x14ac:dyDescent="0.35">
      <c r="A315" t="s">
        <v>516</v>
      </c>
      <c r="B315" s="1">
        <v>45021</v>
      </c>
      <c r="C315" t="s">
        <v>10</v>
      </c>
      <c r="D315" t="s">
        <v>38</v>
      </c>
      <c r="E315" t="s">
        <v>40</v>
      </c>
      <c r="F315" t="s">
        <v>21</v>
      </c>
      <c r="G315">
        <v>8</v>
      </c>
      <c r="H315" t="s">
        <v>195</v>
      </c>
      <c r="I315">
        <v>30</v>
      </c>
      <c r="J315">
        <v>1185.17</v>
      </c>
      <c r="K315">
        <f t="shared" si="6"/>
        <v>9481.36</v>
      </c>
    </row>
    <row r="316" spans="1:11" x14ac:dyDescent="0.35">
      <c r="A316" t="s">
        <v>517</v>
      </c>
      <c r="B316" s="1">
        <v>45069</v>
      </c>
      <c r="C316" t="s">
        <v>15</v>
      </c>
      <c r="D316" t="s">
        <v>16</v>
      </c>
      <c r="E316" t="s">
        <v>34</v>
      </c>
      <c r="F316" t="s">
        <v>13</v>
      </c>
      <c r="G316">
        <v>2</v>
      </c>
      <c r="H316" t="s">
        <v>30</v>
      </c>
      <c r="I316">
        <v>19</v>
      </c>
      <c r="J316">
        <v>4762.71</v>
      </c>
      <c r="K316">
        <f t="shared" si="6"/>
        <v>9525.42</v>
      </c>
    </row>
    <row r="317" spans="1:11" x14ac:dyDescent="0.35">
      <c r="A317" t="s">
        <v>518</v>
      </c>
      <c r="B317" s="1">
        <v>45218</v>
      </c>
      <c r="C317" t="s">
        <v>15</v>
      </c>
      <c r="D317" t="s">
        <v>19</v>
      </c>
      <c r="E317" t="s">
        <v>22</v>
      </c>
      <c r="F317" t="s">
        <v>13</v>
      </c>
      <c r="G317">
        <v>18</v>
      </c>
      <c r="H317" t="s">
        <v>28</v>
      </c>
      <c r="I317">
        <v>49</v>
      </c>
      <c r="J317">
        <v>532.4</v>
      </c>
      <c r="K317">
        <f t="shared" si="6"/>
        <v>9583.1999999999989</v>
      </c>
    </row>
    <row r="318" spans="1:11" x14ac:dyDescent="0.35">
      <c r="A318" t="s">
        <v>519</v>
      </c>
      <c r="B318" s="1">
        <v>45052</v>
      </c>
      <c r="C318" t="s">
        <v>15</v>
      </c>
      <c r="D318" t="s">
        <v>19</v>
      </c>
      <c r="E318" t="s">
        <v>32</v>
      </c>
      <c r="F318" t="s">
        <v>18</v>
      </c>
      <c r="G318">
        <v>4</v>
      </c>
      <c r="H318" t="s">
        <v>97</v>
      </c>
      <c r="I318">
        <v>51</v>
      </c>
      <c r="J318">
        <v>2425.52</v>
      </c>
      <c r="K318">
        <f t="shared" si="6"/>
        <v>9702.08</v>
      </c>
    </row>
    <row r="319" spans="1:11" x14ac:dyDescent="0.35">
      <c r="A319" t="s">
        <v>520</v>
      </c>
      <c r="B319" s="1">
        <v>44956</v>
      </c>
      <c r="C319" t="s">
        <v>10</v>
      </c>
      <c r="D319" t="s">
        <v>11</v>
      </c>
      <c r="E319" t="s">
        <v>41</v>
      </c>
      <c r="F319" t="s">
        <v>35</v>
      </c>
      <c r="G319">
        <v>20</v>
      </c>
      <c r="H319" t="s">
        <v>195</v>
      </c>
      <c r="I319">
        <v>26</v>
      </c>
      <c r="J319">
        <v>486.25</v>
      </c>
      <c r="K319">
        <f t="shared" si="6"/>
        <v>9725</v>
      </c>
    </row>
    <row r="320" spans="1:11" x14ac:dyDescent="0.35">
      <c r="A320" t="s">
        <v>521</v>
      </c>
      <c r="B320" s="1">
        <v>44986</v>
      </c>
      <c r="C320" t="s">
        <v>15</v>
      </c>
      <c r="D320" t="s">
        <v>16</v>
      </c>
      <c r="E320" t="s">
        <v>43</v>
      </c>
      <c r="F320" t="s">
        <v>18</v>
      </c>
      <c r="G320">
        <v>20</v>
      </c>
      <c r="H320" t="s">
        <v>14</v>
      </c>
      <c r="I320">
        <v>18</v>
      </c>
      <c r="J320">
        <v>490.36</v>
      </c>
      <c r="K320">
        <f t="shared" si="6"/>
        <v>9807.2000000000007</v>
      </c>
    </row>
    <row r="321" spans="1:11" x14ac:dyDescent="0.35">
      <c r="A321" t="s">
        <v>522</v>
      </c>
      <c r="B321" s="1">
        <v>45010</v>
      </c>
      <c r="C321" t="s">
        <v>15</v>
      </c>
      <c r="D321" t="s">
        <v>19</v>
      </c>
      <c r="E321" t="s">
        <v>32</v>
      </c>
      <c r="F321" t="s">
        <v>21</v>
      </c>
      <c r="G321">
        <v>17</v>
      </c>
      <c r="H321" t="s">
        <v>195</v>
      </c>
      <c r="I321">
        <v>47</v>
      </c>
      <c r="J321">
        <v>578.88</v>
      </c>
      <c r="K321">
        <f t="shared" si="6"/>
        <v>9840.9599999999991</v>
      </c>
    </row>
    <row r="322" spans="1:11" x14ac:dyDescent="0.35">
      <c r="A322" t="s">
        <v>523</v>
      </c>
      <c r="B322" s="1">
        <v>44992</v>
      </c>
      <c r="C322" t="s">
        <v>15</v>
      </c>
      <c r="D322" t="s">
        <v>16</v>
      </c>
      <c r="E322" t="s">
        <v>17</v>
      </c>
      <c r="F322" t="s">
        <v>21</v>
      </c>
      <c r="G322">
        <v>5</v>
      </c>
      <c r="H322" t="s">
        <v>30</v>
      </c>
      <c r="I322">
        <v>28</v>
      </c>
      <c r="J322">
        <v>1991.64</v>
      </c>
      <c r="K322">
        <f t="shared" ref="K322:K385" si="7">G322*J322</f>
        <v>9958.2000000000007</v>
      </c>
    </row>
    <row r="323" spans="1:11" x14ac:dyDescent="0.35">
      <c r="A323" t="s">
        <v>524</v>
      </c>
      <c r="B323" s="1">
        <v>45140</v>
      </c>
      <c r="C323" t="s">
        <v>10</v>
      </c>
      <c r="D323" t="s">
        <v>38</v>
      </c>
      <c r="E323" t="s">
        <v>40</v>
      </c>
      <c r="F323" t="s">
        <v>18</v>
      </c>
      <c r="G323">
        <v>5</v>
      </c>
      <c r="H323" t="s">
        <v>30</v>
      </c>
      <c r="I323">
        <v>55</v>
      </c>
      <c r="J323">
        <v>1997.76</v>
      </c>
      <c r="K323">
        <f t="shared" si="7"/>
        <v>9988.7999999999993</v>
      </c>
    </row>
    <row r="324" spans="1:11" x14ac:dyDescent="0.35">
      <c r="A324" t="s">
        <v>525</v>
      </c>
      <c r="B324" s="1">
        <v>45108</v>
      </c>
      <c r="C324" t="s">
        <v>15</v>
      </c>
      <c r="D324" t="s">
        <v>19</v>
      </c>
      <c r="E324" t="s">
        <v>32</v>
      </c>
      <c r="F324" t="s">
        <v>29</v>
      </c>
      <c r="G324">
        <v>2</v>
      </c>
      <c r="H324" t="s">
        <v>28</v>
      </c>
      <c r="I324">
        <v>34</v>
      </c>
      <c r="J324">
        <v>4997.2299999999996</v>
      </c>
      <c r="K324">
        <f t="shared" si="7"/>
        <v>9994.4599999999991</v>
      </c>
    </row>
    <row r="325" spans="1:11" x14ac:dyDescent="0.35">
      <c r="A325" t="s">
        <v>526</v>
      </c>
      <c r="B325" s="1">
        <v>45635</v>
      </c>
      <c r="C325" t="s">
        <v>15</v>
      </c>
      <c r="D325" t="s">
        <v>16</v>
      </c>
      <c r="E325" t="s">
        <v>17</v>
      </c>
      <c r="F325" t="s">
        <v>18</v>
      </c>
      <c r="G325">
        <v>12</v>
      </c>
      <c r="H325" t="s">
        <v>31</v>
      </c>
      <c r="I325">
        <v>54</v>
      </c>
      <c r="J325">
        <v>835.83</v>
      </c>
      <c r="K325">
        <f t="shared" si="7"/>
        <v>10029.960000000001</v>
      </c>
    </row>
    <row r="326" spans="1:11" x14ac:dyDescent="0.35">
      <c r="A326" t="s">
        <v>527</v>
      </c>
      <c r="B326" s="1">
        <v>45212</v>
      </c>
      <c r="C326" t="s">
        <v>15</v>
      </c>
      <c r="D326" t="s">
        <v>16</v>
      </c>
      <c r="E326" t="s">
        <v>17</v>
      </c>
      <c r="F326" t="s">
        <v>18</v>
      </c>
      <c r="G326">
        <v>12</v>
      </c>
      <c r="H326" t="s">
        <v>26</v>
      </c>
      <c r="I326">
        <v>54</v>
      </c>
      <c r="J326">
        <v>835.83</v>
      </c>
      <c r="K326">
        <f t="shared" si="7"/>
        <v>10029.960000000001</v>
      </c>
    </row>
    <row r="327" spans="1:11" x14ac:dyDescent="0.35">
      <c r="A327" t="s">
        <v>528</v>
      </c>
      <c r="B327" s="1">
        <v>44960</v>
      </c>
      <c r="C327" t="s">
        <v>10</v>
      </c>
      <c r="D327" t="s">
        <v>38</v>
      </c>
      <c r="E327" t="s">
        <v>39</v>
      </c>
      <c r="F327" t="s">
        <v>29</v>
      </c>
      <c r="G327">
        <v>4</v>
      </c>
      <c r="H327" t="s">
        <v>14</v>
      </c>
      <c r="I327">
        <v>25</v>
      </c>
      <c r="J327">
        <v>2514.88</v>
      </c>
      <c r="K327">
        <f t="shared" si="7"/>
        <v>10059.52</v>
      </c>
    </row>
    <row r="328" spans="1:11" x14ac:dyDescent="0.35">
      <c r="A328" t="s">
        <v>529</v>
      </c>
      <c r="B328" s="1">
        <v>45143</v>
      </c>
      <c r="C328" t="s">
        <v>23</v>
      </c>
      <c r="D328" t="s">
        <v>24</v>
      </c>
      <c r="E328" t="s">
        <v>25</v>
      </c>
      <c r="F328" t="s">
        <v>18</v>
      </c>
      <c r="G328">
        <v>3</v>
      </c>
      <c r="H328" t="s">
        <v>36</v>
      </c>
      <c r="I328">
        <v>23</v>
      </c>
      <c r="J328">
        <v>3366.66</v>
      </c>
      <c r="K328">
        <f t="shared" si="7"/>
        <v>10099.98</v>
      </c>
    </row>
    <row r="329" spans="1:11" x14ac:dyDescent="0.35">
      <c r="A329" t="s">
        <v>530</v>
      </c>
      <c r="B329" s="1">
        <v>45168</v>
      </c>
      <c r="C329" t="s">
        <v>15</v>
      </c>
      <c r="D329" t="s">
        <v>19</v>
      </c>
      <c r="E329" t="s">
        <v>32</v>
      </c>
      <c r="F329" t="s">
        <v>21</v>
      </c>
      <c r="G329">
        <v>11</v>
      </c>
      <c r="H329" t="s">
        <v>195</v>
      </c>
      <c r="I329">
        <v>29</v>
      </c>
      <c r="J329">
        <v>920.95</v>
      </c>
      <c r="K329">
        <f t="shared" si="7"/>
        <v>10130.450000000001</v>
      </c>
    </row>
    <row r="330" spans="1:11" x14ac:dyDescent="0.35">
      <c r="A330" t="s">
        <v>531</v>
      </c>
      <c r="B330" s="1">
        <v>45287</v>
      </c>
      <c r="C330" t="s">
        <v>10</v>
      </c>
      <c r="D330" t="s">
        <v>11</v>
      </c>
      <c r="E330" t="s">
        <v>41</v>
      </c>
      <c r="F330" t="s">
        <v>13</v>
      </c>
      <c r="G330">
        <v>11</v>
      </c>
      <c r="H330" t="s">
        <v>97</v>
      </c>
      <c r="I330">
        <v>16</v>
      </c>
      <c r="J330">
        <v>923.59</v>
      </c>
      <c r="K330">
        <f t="shared" si="7"/>
        <v>10159.49</v>
      </c>
    </row>
    <row r="331" spans="1:11" x14ac:dyDescent="0.35">
      <c r="A331" t="s">
        <v>532</v>
      </c>
      <c r="B331" s="1">
        <v>45242</v>
      </c>
      <c r="C331" t="s">
        <v>10</v>
      </c>
      <c r="D331" t="s">
        <v>11</v>
      </c>
      <c r="E331" t="s">
        <v>12</v>
      </c>
      <c r="F331" t="s">
        <v>35</v>
      </c>
      <c r="G331">
        <v>7</v>
      </c>
      <c r="H331" t="s">
        <v>37</v>
      </c>
      <c r="I331">
        <v>37</v>
      </c>
      <c r="J331">
        <v>1458</v>
      </c>
      <c r="K331">
        <f t="shared" si="7"/>
        <v>10206</v>
      </c>
    </row>
    <row r="332" spans="1:11" x14ac:dyDescent="0.35">
      <c r="A332" t="s">
        <v>533</v>
      </c>
      <c r="B332" s="1">
        <v>45146</v>
      </c>
      <c r="C332" t="s">
        <v>10</v>
      </c>
      <c r="D332" t="s">
        <v>11</v>
      </c>
      <c r="E332" t="s">
        <v>12</v>
      </c>
      <c r="F332" t="s">
        <v>35</v>
      </c>
      <c r="G332">
        <v>6</v>
      </c>
      <c r="H332" t="s">
        <v>195</v>
      </c>
      <c r="I332">
        <v>25</v>
      </c>
      <c r="J332">
        <v>1701.04</v>
      </c>
      <c r="K332">
        <f t="shared" si="7"/>
        <v>10206.24</v>
      </c>
    </row>
    <row r="333" spans="1:11" x14ac:dyDescent="0.35">
      <c r="A333" t="s">
        <v>534</v>
      </c>
      <c r="B333" s="1">
        <v>45262</v>
      </c>
      <c r="C333" t="s">
        <v>15</v>
      </c>
      <c r="D333" t="s">
        <v>16</v>
      </c>
      <c r="E333" t="s">
        <v>34</v>
      </c>
      <c r="F333" t="s">
        <v>18</v>
      </c>
      <c r="G333">
        <v>3</v>
      </c>
      <c r="H333" t="s">
        <v>28</v>
      </c>
      <c r="I333">
        <v>38</v>
      </c>
      <c r="J333">
        <v>3445.08</v>
      </c>
      <c r="K333">
        <f t="shared" si="7"/>
        <v>10335.24</v>
      </c>
    </row>
    <row r="334" spans="1:11" x14ac:dyDescent="0.35">
      <c r="A334" t="s">
        <v>535</v>
      </c>
      <c r="B334" s="1">
        <v>45052</v>
      </c>
      <c r="C334" t="s">
        <v>15</v>
      </c>
      <c r="D334" t="s">
        <v>19</v>
      </c>
      <c r="E334" t="s">
        <v>32</v>
      </c>
      <c r="F334" t="s">
        <v>21</v>
      </c>
      <c r="G334">
        <v>19</v>
      </c>
      <c r="H334" t="s">
        <v>97</v>
      </c>
      <c r="I334">
        <v>27</v>
      </c>
      <c r="J334">
        <v>548.70000000000005</v>
      </c>
      <c r="K334">
        <f t="shared" si="7"/>
        <v>10425.300000000001</v>
      </c>
    </row>
    <row r="335" spans="1:11" x14ac:dyDescent="0.35">
      <c r="A335" t="s">
        <v>536</v>
      </c>
      <c r="B335" s="1">
        <v>45283</v>
      </c>
      <c r="C335" t="s">
        <v>23</v>
      </c>
      <c r="D335" t="s">
        <v>24</v>
      </c>
      <c r="E335" t="s">
        <v>44</v>
      </c>
      <c r="F335" t="s">
        <v>29</v>
      </c>
      <c r="G335">
        <v>13</v>
      </c>
      <c r="H335" t="s">
        <v>36</v>
      </c>
      <c r="I335">
        <v>22</v>
      </c>
      <c r="J335">
        <v>802.18</v>
      </c>
      <c r="K335">
        <f t="shared" si="7"/>
        <v>10428.34</v>
      </c>
    </row>
    <row r="336" spans="1:11" x14ac:dyDescent="0.35">
      <c r="A336" t="s">
        <v>537</v>
      </c>
      <c r="B336" s="1">
        <v>45611</v>
      </c>
      <c r="C336" t="s">
        <v>23</v>
      </c>
      <c r="D336" t="s">
        <v>24</v>
      </c>
      <c r="E336" t="s">
        <v>25</v>
      </c>
      <c r="F336" t="s">
        <v>13</v>
      </c>
      <c r="G336">
        <v>9</v>
      </c>
      <c r="H336" t="s">
        <v>31</v>
      </c>
      <c r="I336">
        <v>31</v>
      </c>
      <c r="J336">
        <v>1161.02</v>
      </c>
      <c r="K336">
        <f t="shared" si="7"/>
        <v>10449.18</v>
      </c>
    </row>
    <row r="337" spans="1:11" x14ac:dyDescent="0.35">
      <c r="A337" t="s">
        <v>538</v>
      </c>
      <c r="B337" s="1">
        <v>45289</v>
      </c>
      <c r="C337" t="s">
        <v>23</v>
      </c>
      <c r="D337" t="s">
        <v>24</v>
      </c>
      <c r="E337" t="s">
        <v>25</v>
      </c>
      <c r="F337" t="s">
        <v>13</v>
      </c>
      <c r="G337">
        <v>9</v>
      </c>
      <c r="H337" t="s">
        <v>26</v>
      </c>
      <c r="I337">
        <v>31</v>
      </c>
      <c r="J337">
        <v>1161.02</v>
      </c>
      <c r="K337">
        <f t="shared" si="7"/>
        <v>10449.18</v>
      </c>
    </row>
    <row r="338" spans="1:11" x14ac:dyDescent="0.35">
      <c r="A338" t="s">
        <v>539</v>
      </c>
      <c r="B338" s="1">
        <v>44951</v>
      </c>
      <c r="C338" t="s">
        <v>15</v>
      </c>
      <c r="D338" t="s">
        <v>16</v>
      </c>
      <c r="E338" t="s">
        <v>34</v>
      </c>
      <c r="F338" t="s">
        <v>35</v>
      </c>
      <c r="G338">
        <v>4</v>
      </c>
      <c r="H338" t="s">
        <v>14</v>
      </c>
      <c r="I338">
        <v>55</v>
      </c>
      <c r="J338">
        <v>2625.31</v>
      </c>
      <c r="K338">
        <f t="shared" si="7"/>
        <v>10501.24</v>
      </c>
    </row>
    <row r="339" spans="1:11" x14ac:dyDescent="0.35">
      <c r="A339" t="s">
        <v>540</v>
      </c>
      <c r="B339" s="1">
        <v>44994</v>
      </c>
      <c r="C339" t="s">
        <v>10</v>
      </c>
      <c r="D339" t="s">
        <v>38</v>
      </c>
      <c r="E339" t="s">
        <v>39</v>
      </c>
      <c r="F339" t="s">
        <v>21</v>
      </c>
      <c r="G339">
        <v>7</v>
      </c>
      <c r="H339" t="s">
        <v>33</v>
      </c>
      <c r="I339">
        <v>40</v>
      </c>
      <c r="J339">
        <v>1500.87</v>
      </c>
      <c r="K339">
        <f t="shared" si="7"/>
        <v>10506.09</v>
      </c>
    </row>
    <row r="340" spans="1:11" x14ac:dyDescent="0.35">
      <c r="A340" t="s">
        <v>541</v>
      </c>
      <c r="B340" s="1">
        <v>45235</v>
      </c>
      <c r="C340" t="s">
        <v>23</v>
      </c>
      <c r="D340" t="s">
        <v>24</v>
      </c>
      <c r="E340" t="s">
        <v>44</v>
      </c>
      <c r="F340" t="s">
        <v>13</v>
      </c>
      <c r="G340">
        <v>7</v>
      </c>
      <c r="H340" t="s">
        <v>31</v>
      </c>
      <c r="I340">
        <v>22</v>
      </c>
      <c r="J340">
        <v>1501.06</v>
      </c>
      <c r="K340">
        <f t="shared" si="7"/>
        <v>10507.42</v>
      </c>
    </row>
    <row r="341" spans="1:11" x14ac:dyDescent="0.35">
      <c r="A341" t="s">
        <v>542</v>
      </c>
      <c r="B341" s="1">
        <v>44953</v>
      </c>
      <c r="C341" t="s">
        <v>23</v>
      </c>
      <c r="D341" t="s">
        <v>24</v>
      </c>
      <c r="E341" t="s">
        <v>44</v>
      </c>
      <c r="F341" t="s">
        <v>29</v>
      </c>
      <c r="G341">
        <v>8</v>
      </c>
      <c r="H341" t="s">
        <v>14</v>
      </c>
      <c r="I341">
        <v>22</v>
      </c>
      <c r="J341">
        <v>1314.71</v>
      </c>
      <c r="K341">
        <f t="shared" si="7"/>
        <v>10517.68</v>
      </c>
    </row>
    <row r="342" spans="1:11" x14ac:dyDescent="0.35">
      <c r="A342" t="s">
        <v>543</v>
      </c>
      <c r="B342" s="1">
        <v>45208</v>
      </c>
      <c r="C342" t="s">
        <v>15</v>
      </c>
      <c r="D342" t="s">
        <v>19</v>
      </c>
      <c r="E342" t="s">
        <v>20</v>
      </c>
      <c r="F342" t="s">
        <v>29</v>
      </c>
      <c r="G342">
        <v>3</v>
      </c>
      <c r="H342" t="s">
        <v>36</v>
      </c>
      <c r="I342">
        <v>23</v>
      </c>
      <c r="J342">
        <v>3533.3</v>
      </c>
      <c r="K342">
        <f t="shared" si="7"/>
        <v>10599.900000000001</v>
      </c>
    </row>
    <row r="343" spans="1:11" x14ac:dyDescent="0.35">
      <c r="A343" t="s">
        <v>544</v>
      </c>
      <c r="B343" s="1">
        <v>44948</v>
      </c>
      <c r="C343" t="s">
        <v>15</v>
      </c>
      <c r="D343" t="s">
        <v>19</v>
      </c>
      <c r="E343" t="s">
        <v>32</v>
      </c>
      <c r="F343" t="s">
        <v>18</v>
      </c>
      <c r="G343">
        <v>13</v>
      </c>
      <c r="H343" t="s">
        <v>14</v>
      </c>
      <c r="I343">
        <v>50</v>
      </c>
      <c r="J343">
        <v>818.58</v>
      </c>
      <c r="K343">
        <f t="shared" si="7"/>
        <v>10641.54</v>
      </c>
    </row>
    <row r="344" spans="1:11" x14ac:dyDescent="0.35">
      <c r="A344" t="s">
        <v>545</v>
      </c>
      <c r="B344" s="1">
        <v>45139</v>
      </c>
      <c r="C344" t="s">
        <v>15</v>
      </c>
      <c r="D344" t="s">
        <v>19</v>
      </c>
      <c r="E344" t="s">
        <v>22</v>
      </c>
      <c r="F344" t="s">
        <v>29</v>
      </c>
      <c r="G344">
        <v>11</v>
      </c>
      <c r="H344" t="s">
        <v>37</v>
      </c>
      <c r="I344">
        <v>55</v>
      </c>
      <c r="J344">
        <v>968.17</v>
      </c>
      <c r="K344">
        <f t="shared" si="7"/>
        <v>10649.869999999999</v>
      </c>
    </row>
    <row r="345" spans="1:11" x14ac:dyDescent="0.35">
      <c r="A345" t="s">
        <v>546</v>
      </c>
      <c r="B345" s="1">
        <v>45069</v>
      </c>
      <c r="C345" t="s">
        <v>15</v>
      </c>
      <c r="D345" t="s">
        <v>16</v>
      </c>
      <c r="E345" t="s">
        <v>17</v>
      </c>
      <c r="F345" t="s">
        <v>29</v>
      </c>
      <c r="G345">
        <v>4</v>
      </c>
      <c r="H345" t="s">
        <v>37</v>
      </c>
      <c r="I345">
        <v>33</v>
      </c>
      <c r="J345">
        <v>2689.7</v>
      </c>
      <c r="K345">
        <f t="shared" si="7"/>
        <v>10758.8</v>
      </c>
    </row>
    <row r="346" spans="1:11" x14ac:dyDescent="0.35">
      <c r="A346" t="s">
        <v>547</v>
      </c>
      <c r="B346" s="1">
        <v>45104</v>
      </c>
      <c r="C346" t="s">
        <v>15</v>
      </c>
      <c r="D346" t="s">
        <v>19</v>
      </c>
      <c r="E346" t="s">
        <v>20</v>
      </c>
      <c r="F346" t="s">
        <v>13</v>
      </c>
      <c r="G346">
        <v>14</v>
      </c>
      <c r="H346" t="s">
        <v>30</v>
      </c>
      <c r="I346">
        <v>19</v>
      </c>
      <c r="J346">
        <v>771.61</v>
      </c>
      <c r="K346">
        <f t="shared" si="7"/>
        <v>10802.54</v>
      </c>
    </row>
    <row r="347" spans="1:11" x14ac:dyDescent="0.35">
      <c r="A347" t="s">
        <v>548</v>
      </c>
      <c r="B347" s="1">
        <v>45016</v>
      </c>
      <c r="C347" t="s">
        <v>15</v>
      </c>
      <c r="D347" t="s">
        <v>19</v>
      </c>
      <c r="E347" t="s">
        <v>22</v>
      </c>
      <c r="F347" t="s">
        <v>29</v>
      </c>
      <c r="G347">
        <v>4</v>
      </c>
      <c r="H347" t="s">
        <v>14</v>
      </c>
      <c r="I347">
        <v>17</v>
      </c>
      <c r="J347">
        <v>2701.93</v>
      </c>
      <c r="K347">
        <f t="shared" si="7"/>
        <v>10807.72</v>
      </c>
    </row>
    <row r="348" spans="1:11" x14ac:dyDescent="0.35">
      <c r="A348" t="s">
        <v>549</v>
      </c>
      <c r="B348" s="1">
        <v>45278</v>
      </c>
      <c r="C348" t="s">
        <v>10</v>
      </c>
      <c r="D348" t="s">
        <v>38</v>
      </c>
      <c r="E348" t="s">
        <v>42</v>
      </c>
      <c r="F348" t="s">
        <v>13</v>
      </c>
      <c r="G348">
        <v>5</v>
      </c>
      <c r="H348" t="s">
        <v>30</v>
      </c>
      <c r="I348">
        <v>53</v>
      </c>
      <c r="J348">
        <v>2162.08</v>
      </c>
      <c r="K348">
        <f t="shared" si="7"/>
        <v>10810.4</v>
      </c>
    </row>
    <row r="349" spans="1:11" x14ac:dyDescent="0.35">
      <c r="A349" t="s">
        <v>550</v>
      </c>
      <c r="B349" s="1">
        <v>45125</v>
      </c>
      <c r="C349" t="s">
        <v>15</v>
      </c>
      <c r="D349" t="s">
        <v>16</v>
      </c>
      <c r="E349" t="s">
        <v>34</v>
      </c>
      <c r="F349" t="s">
        <v>29</v>
      </c>
      <c r="G349">
        <v>8</v>
      </c>
      <c r="H349" t="s">
        <v>14</v>
      </c>
      <c r="I349">
        <v>33</v>
      </c>
      <c r="J349">
        <v>1366.18</v>
      </c>
      <c r="K349">
        <f t="shared" si="7"/>
        <v>10929.44</v>
      </c>
    </row>
    <row r="350" spans="1:11" x14ac:dyDescent="0.35">
      <c r="A350" t="s">
        <v>551</v>
      </c>
      <c r="B350" s="1">
        <v>45148</v>
      </c>
      <c r="C350" t="s">
        <v>15</v>
      </c>
      <c r="D350" t="s">
        <v>19</v>
      </c>
      <c r="E350" t="s">
        <v>22</v>
      </c>
      <c r="F350" t="s">
        <v>21</v>
      </c>
      <c r="G350">
        <v>4</v>
      </c>
      <c r="H350" t="s">
        <v>97</v>
      </c>
      <c r="I350">
        <v>18</v>
      </c>
      <c r="J350">
        <v>2740.14</v>
      </c>
      <c r="K350">
        <f t="shared" si="7"/>
        <v>10960.56</v>
      </c>
    </row>
    <row r="351" spans="1:11" x14ac:dyDescent="0.35">
      <c r="A351" t="s">
        <v>552</v>
      </c>
      <c r="B351" s="1">
        <v>45123</v>
      </c>
      <c r="C351" t="s">
        <v>10</v>
      </c>
      <c r="D351" t="s">
        <v>11</v>
      </c>
      <c r="E351" t="s">
        <v>41</v>
      </c>
      <c r="F351" t="s">
        <v>13</v>
      </c>
      <c r="G351">
        <v>8</v>
      </c>
      <c r="H351" t="s">
        <v>14</v>
      </c>
      <c r="I351">
        <v>44</v>
      </c>
      <c r="J351">
        <v>1371.28</v>
      </c>
      <c r="K351">
        <f t="shared" si="7"/>
        <v>10970.24</v>
      </c>
    </row>
    <row r="352" spans="1:11" x14ac:dyDescent="0.35">
      <c r="A352" t="s">
        <v>553</v>
      </c>
      <c r="B352" s="1">
        <v>45028</v>
      </c>
      <c r="C352" t="s">
        <v>10</v>
      </c>
      <c r="D352" t="s">
        <v>11</v>
      </c>
      <c r="E352" t="s">
        <v>27</v>
      </c>
      <c r="F352" t="s">
        <v>35</v>
      </c>
      <c r="G352">
        <v>7</v>
      </c>
      <c r="H352" t="s">
        <v>195</v>
      </c>
      <c r="I352">
        <v>31</v>
      </c>
      <c r="J352">
        <v>1576.4</v>
      </c>
      <c r="K352">
        <f t="shared" si="7"/>
        <v>11034.800000000001</v>
      </c>
    </row>
    <row r="353" spans="1:11" x14ac:dyDescent="0.35">
      <c r="A353" t="s">
        <v>554</v>
      </c>
      <c r="B353" s="1">
        <v>45040</v>
      </c>
      <c r="C353" t="s">
        <v>15</v>
      </c>
      <c r="D353" t="s">
        <v>16</v>
      </c>
      <c r="E353" t="s">
        <v>17</v>
      </c>
      <c r="F353" t="s">
        <v>18</v>
      </c>
      <c r="G353">
        <v>7</v>
      </c>
      <c r="H353" t="s">
        <v>37</v>
      </c>
      <c r="I353">
        <v>52</v>
      </c>
      <c r="J353">
        <v>1590.73</v>
      </c>
      <c r="K353">
        <f t="shared" si="7"/>
        <v>11135.11</v>
      </c>
    </row>
    <row r="354" spans="1:11" x14ac:dyDescent="0.35">
      <c r="A354" t="s">
        <v>555</v>
      </c>
      <c r="B354" s="1">
        <v>45084</v>
      </c>
      <c r="C354" t="s">
        <v>15</v>
      </c>
      <c r="D354" t="s">
        <v>19</v>
      </c>
      <c r="E354" t="s">
        <v>20</v>
      </c>
      <c r="F354" t="s">
        <v>18</v>
      </c>
      <c r="G354">
        <v>13</v>
      </c>
      <c r="H354" t="s">
        <v>14</v>
      </c>
      <c r="I354">
        <v>36</v>
      </c>
      <c r="J354">
        <v>857.86</v>
      </c>
      <c r="K354">
        <f t="shared" si="7"/>
        <v>11152.18</v>
      </c>
    </row>
    <row r="355" spans="1:11" x14ac:dyDescent="0.35">
      <c r="A355" t="s">
        <v>556</v>
      </c>
      <c r="B355" s="1">
        <v>45070</v>
      </c>
      <c r="C355" t="s">
        <v>10</v>
      </c>
      <c r="D355" t="s">
        <v>11</v>
      </c>
      <c r="E355" t="s">
        <v>27</v>
      </c>
      <c r="F355" t="s">
        <v>29</v>
      </c>
      <c r="G355">
        <v>4</v>
      </c>
      <c r="H355" t="s">
        <v>28</v>
      </c>
      <c r="I355">
        <v>43</v>
      </c>
      <c r="J355">
        <v>2792.23</v>
      </c>
      <c r="K355">
        <f t="shared" si="7"/>
        <v>11168.92</v>
      </c>
    </row>
    <row r="356" spans="1:11" x14ac:dyDescent="0.35">
      <c r="A356" t="s">
        <v>557</v>
      </c>
      <c r="B356" s="1">
        <v>45135</v>
      </c>
      <c r="C356" t="s">
        <v>15</v>
      </c>
      <c r="D356" t="s">
        <v>16</v>
      </c>
      <c r="E356" t="s">
        <v>43</v>
      </c>
      <c r="F356" t="s">
        <v>29</v>
      </c>
      <c r="G356">
        <v>6</v>
      </c>
      <c r="H356" t="s">
        <v>33</v>
      </c>
      <c r="I356">
        <v>44</v>
      </c>
      <c r="J356">
        <v>1872.18</v>
      </c>
      <c r="K356">
        <f t="shared" si="7"/>
        <v>11233.08</v>
      </c>
    </row>
    <row r="357" spans="1:11" x14ac:dyDescent="0.35">
      <c r="A357" t="s">
        <v>558</v>
      </c>
      <c r="B357" s="1">
        <v>45245</v>
      </c>
      <c r="C357" t="s">
        <v>23</v>
      </c>
      <c r="D357" t="s">
        <v>24</v>
      </c>
      <c r="E357" t="s">
        <v>44</v>
      </c>
      <c r="F357" t="s">
        <v>21</v>
      </c>
      <c r="G357">
        <v>13</v>
      </c>
      <c r="H357" t="s">
        <v>37</v>
      </c>
      <c r="I357">
        <v>37</v>
      </c>
      <c r="J357">
        <v>864.09</v>
      </c>
      <c r="K357">
        <f t="shared" si="7"/>
        <v>11233.17</v>
      </c>
    </row>
    <row r="358" spans="1:11" x14ac:dyDescent="0.35">
      <c r="A358" t="s">
        <v>559</v>
      </c>
      <c r="B358" s="1">
        <v>45069</v>
      </c>
      <c r="C358" t="s">
        <v>10</v>
      </c>
      <c r="D358" t="s">
        <v>38</v>
      </c>
      <c r="E358" t="s">
        <v>40</v>
      </c>
      <c r="F358" t="s">
        <v>21</v>
      </c>
      <c r="G358">
        <v>16</v>
      </c>
      <c r="H358" t="s">
        <v>14</v>
      </c>
      <c r="I358">
        <v>44</v>
      </c>
      <c r="J358">
        <v>704.88</v>
      </c>
      <c r="K358">
        <f t="shared" si="7"/>
        <v>11278.08</v>
      </c>
    </row>
    <row r="359" spans="1:11" x14ac:dyDescent="0.35">
      <c r="A359" t="s">
        <v>560</v>
      </c>
      <c r="B359" s="1">
        <v>45173</v>
      </c>
      <c r="C359" t="s">
        <v>15</v>
      </c>
      <c r="D359" t="s">
        <v>19</v>
      </c>
      <c r="E359" t="s">
        <v>32</v>
      </c>
      <c r="F359" t="s">
        <v>29</v>
      </c>
      <c r="G359">
        <v>8</v>
      </c>
      <c r="H359" t="s">
        <v>195</v>
      </c>
      <c r="I359">
        <v>22</v>
      </c>
      <c r="J359">
        <v>1410.46</v>
      </c>
      <c r="K359">
        <f t="shared" si="7"/>
        <v>11283.68</v>
      </c>
    </row>
    <row r="360" spans="1:11" x14ac:dyDescent="0.35">
      <c r="A360" t="s">
        <v>561</v>
      </c>
      <c r="B360" s="1">
        <v>44949</v>
      </c>
      <c r="C360" t="s">
        <v>10</v>
      </c>
      <c r="D360" t="s">
        <v>11</v>
      </c>
      <c r="E360" t="s">
        <v>12</v>
      </c>
      <c r="F360" t="s">
        <v>29</v>
      </c>
      <c r="G360">
        <v>8</v>
      </c>
      <c r="H360" t="s">
        <v>30</v>
      </c>
      <c r="I360">
        <v>32</v>
      </c>
      <c r="J360">
        <v>1412.48</v>
      </c>
      <c r="K360">
        <f t="shared" si="7"/>
        <v>11299.84</v>
      </c>
    </row>
    <row r="361" spans="1:11" x14ac:dyDescent="0.35">
      <c r="A361" t="s">
        <v>562</v>
      </c>
      <c r="B361" s="1">
        <v>45076</v>
      </c>
      <c r="C361" t="s">
        <v>15</v>
      </c>
      <c r="D361" t="s">
        <v>19</v>
      </c>
      <c r="E361" t="s">
        <v>22</v>
      </c>
      <c r="F361" t="s">
        <v>13</v>
      </c>
      <c r="G361">
        <v>4</v>
      </c>
      <c r="H361" t="s">
        <v>195</v>
      </c>
      <c r="I361">
        <v>23</v>
      </c>
      <c r="J361">
        <v>2830.6</v>
      </c>
      <c r="K361">
        <f t="shared" si="7"/>
        <v>11322.4</v>
      </c>
    </row>
    <row r="362" spans="1:11" x14ac:dyDescent="0.35">
      <c r="A362" t="s">
        <v>563</v>
      </c>
      <c r="B362" s="1">
        <v>45134</v>
      </c>
      <c r="C362" t="s">
        <v>10</v>
      </c>
      <c r="D362" t="s">
        <v>11</v>
      </c>
      <c r="E362" t="s">
        <v>27</v>
      </c>
      <c r="F362" t="s">
        <v>35</v>
      </c>
      <c r="G362">
        <v>9</v>
      </c>
      <c r="H362" t="s">
        <v>14</v>
      </c>
      <c r="I362">
        <v>50</v>
      </c>
      <c r="J362">
        <v>1280.74</v>
      </c>
      <c r="K362">
        <f t="shared" si="7"/>
        <v>11526.66</v>
      </c>
    </row>
    <row r="363" spans="1:11" x14ac:dyDescent="0.35">
      <c r="A363" t="s">
        <v>564</v>
      </c>
      <c r="B363" s="1">
        <v>44975</v>
      </c>
      <c r="C363" t="s">
        <v>23</v>
      </c>
      <c r="D363" t="s">
        <v>24</v>
      </c>
      <c r="E363" t="s">
        <v>25</v>
      </c>
      <c r="F363" t="s">
        <v>18</v>
      </c>
      <c r="G363">
        <v>19</v>
      </c>
      <c r="H363" t="s">
        <v>33</v>
      </c>
      <c r="I363">
        <v>53</v>
      </c>
      <c r="J363">
        <v>609.63</v>
      </c>
      <c r="K363">
        <f t="shared" si="7"/>
        <v>11582.97</v>
      </c>
    </row>
    <row r="364" spans="1:11" x14ac:dyDescent="0.35">
      <c r="A364" t="s">
        <v>565</v>
      </c>
      <c r="B364" s="1">
        <v>45054</v>
      </c>
      <c r="C364" t="s">
        <v>10</v>
      </c>
      <c r="D364" t="s">
        <v>38</v>
      </c>
      <c r="E364" t="s">
        <v>39</v>
      </c>
      <c r="F364" t="s">
        <v>35</v>
      </c>
      <c r="G364">
        <v>3</v>
      </c>
      <c r="H364" t="s">
        <v>37</v>
      </c>
      <c r="I364">
        <v>35</v>
      </c>
      <c r="J364">
        <v>3861.09</v>
      </c>
      <c r="K364">
        <f t="shared" si="7"/>
        <v>11583.27</v>
      </c>
    </row>
    <row r="365" spans="1:11" x14ac:dyDescent="0.35">
      <c r="A365" t="s">
        <v>566</v>
      </c>
      <c r="B365" s="1">
        <v>45146</v>
      </c>
      <c r="C365" t="s">
        <v>10</v>
      </c>
      <c r="D365" t="s">
        <v>11</v>
      </c>
      <c r="E365" t="s">
        <v>41</v>
      </c>
      <c r="F365" t="s">
        <v>18</v>
      </c>
      <c r="G365">
        <v>8</v>
      </c>
      <c r="H365" t="s">
        <v>14</v>
      </c>
      <c r="I365">
        <v>42</v>
      </c>
      <c r="J365">
        <v>1461.31</v>
      </c>
      <c r="K365">
        <f t="shared" si="7"/>
        <v>11690.48</v>
      </c>
    </row>
    <row r="366" spans="1:11" x14ac:dyDescent="0.35">
      <c r="A366" t="s">
        <v>567</v>
      </c>
      <c r="B366" s="1">
        <v>45631</v>
      </c>
      <c r="C366" t="s">
        <v>10</v>
      </c>
      <c r="D366" t="s">
        <v>11</v>
      </c>
      <c r="E366" t="s">
        <v>41</v>
      </c>
      <c r="F366" t="s">
        <v>18</v>
      </c>
      <c r="G366">
        <v>8</v>
      </c>
      <c r="H366" t="s">
        <v>14</v>
      </c>
      <c r="I366">
        <v>42</v>
      </c>
      <c r="J366">
        <v>1461.31</v>
      </c>
      <c r="K366">
        <f t="shared" si="7"/>
        <v>11690.48</v>
      </c>
    </row>
    <row r="367" spans="1:11" x14ac:dyDescent="0.35">
      <c r="A367" t="s">
        <v>568</v>
      </c>
      <c r="B367" s="1">
        <v>45234</v>
      </c>
      <c r="C367" t="s">
        <v>10</v>
      </c>
      <c r="D367" t="s">
        <v>38</v>
      </c>
      <c r="E367" t="s">
        <v>42</v>
      </c>
      <c r="F367" t="s">
        <v>13</v>
      </c>
      <c r="G367">
        <v>18</v>
      </c>
      <c r="H367" t="s">
        <v>33</v>
      </c>
      <c r="I367">
        <v>21</v>
      </c>
      <c r="J367">
        <v>651.22</v>
      </c>
      <c r="K367">
        <f t="shared" si="7"/>
        <v>11721.960000000001</v>
      </c>
    </row>
    <row r="368" spans="1:11" x14ac:dyDescent="0.35">
      <c r="A368" t="s">
        <v>569</v>
      </c>
      <c r="B368" s="1">
        <v>45191</v>
      </c>
      <c r="C368" t="s">
        <v>23</v>
      </c>
      <c r="D368" t="s">
        <v>24</v>
      </c>
      <c r="E368" t="s">
        <v>44</v>
      </c>
      <c r="F368" t="s">
        <v>35</v>
      </c>
      <c r="G368">
        <v>11</v>
      </c>
      <c r="H368" t="s">
        <v>14</v>
      </c>
      <c r="I368">
        <v>53</v>
      </c>
      <c r="J368">
        <v>1065.6400000000001</v>
      </c>
      <c r="K368">
        <f t="shared" si="7"/>
        <v>11722.04</v>
      </c>
    </row>
    <row r="369" spans="1:11" x14ac:dyDescent="0.35">
      <c r="A369" t="s">
        <v>570</v>
      </c>
      <c r="B369" s="1">
        <v>45284</v>
      </c>
      <c r="C369" t="s">
        <v>15</v>
      </c>
      <c r="D369" t="s">
        <v>19</v>
      </c>
      <c r="E369" t="s">
        <v>32</v>
      </c>
      <c r="F369" t="s">
        <v>29</v>
      </c>
      <c r="G369">
        <v>9</v>
      </c>
      <c r="H369" t="s">
        <v>195</v>
      </c>
      <c r="I369">
        <v>47</v>
      </c>
      <c r="J369">
        <v>1302.45</v>
      </c>
      <c r="K369">
        <f t="shared" si="7"/>
        <v>11722.050000000001</v>
      </c>
    </row>
    <row r="370" spans="1:11" x14ac:dyDescent="0.35">
      <c r="A370" t="s">
        <v>571</v>
      </c>
      <c r="B370" s="1">
        <v>45013</v>
      </c>
      <c r="C370" t="s">
        <v>23</v>
      </c>
      <c r="D370" t="s">
        <v>24</v>
      </c>
      <c r="E370" t="s">
        <v>45</v>
      </c>
      <c r="F370" t="s">
        <v>35</v>
      </c>
      <c r="G370">
        <v>11</v>
      </c>
      <c r="H370" t="s">
        <v>37</v>
      </c>
      <c r="I370">
        <v>47</v>
      </c>
      <c r="J370">
        <v>1069.3900000000001</v>
      </c>
      <c r="K370">
        <f t="shared" si="7"/>
        <v>11763.29</v>
      </c>
    </row>
    <row r="371" spans="1:11" x14ac:dyDescent="0.35">
      <c r="A371" t="s">
        <v>572</v>
      </c>
      <c r="B371" s="1">
        <v>44977</v>
      </c>
      <c r="C371" t="s">
        <v>15</v>
      </c>
      <c r="D371" t="s">
        <v>19</v>
      </c>
      <c r="E371" t="s">
        <v>22</v>
      </c>
      <c r="F371" t="s">
        <v>18</v>
      </c>
      <c r="G371">
        <v>8</v>
      </c>
      <c r="H371" t="s">
        <v>37</v>
      </c>
      <c r="I371">
        <v>17</v>
      </c>
      <c r="J371">
        <v>1481.04</v>
      </c>
      <c r="K371">
        <f t="shared" si="7"/>
        <v>11848.32</v>
      </c>
    </row>
    <row r="372" spans="1:11" x14ac:dyDescent="0.35">
      <c r="A372" t="s">
        <v>573</v>
      </c>
      <c r="B372" s="1">
        <v>45150</v>
      </c>
      <c r="C372" t="s">
        <v>10</v>
      </c>
      <c r="D372" t="s">
        <v>11</v>
      </c>
      <c r="E372" t="s">
        <v>12</v>
      </c>
      <c r="F372" t="s">
        <v>29</v>
      </c>
      <c r="G372">
        <v>3</v>
      </c>
      <c r="H372" t="s">
        <v>26</v>
      </c>
      <c r="I372">
        <v>25</v>
      </c>
      <c r="J372">
        <v>3957.38</v>
      </c>
      <c r="K372">
        <f t="shared" si="7"/>
        <v>11872.14</v>
      </c>
    </row>
    <row r="373" spans="1:11" x14ac:dyDescent="0.35">
      <c r="A373" t="s">
        <v>574</v>
      </c>
      <c r="B373" s="1">
        <v>45015</v>
      </c>
      <c r="C373" t="s">
        <v>15</v>
      </c>
      <c r="D373" t="s">
        <v>19</v>
      </c>
      <c r="E373" t="s">
        <v>20</v>
      </c>
      <c r="F373" t="s">
        <v>13</v>
      </c>
      <c r="G373">
        <v>6</v>
      </c>
      <c r="H373" t="s">
        <v>30</v>
      </c>
      <c r="I373">
        <v>22</v>
      </c>
      <c r="J373">
        <v>1979</v>
      </c>
      <c r="K373">
        <f t="shared" si="7"/>
        <v>11874</v>
      </c>
    </row>
    <row r="374" spans="1:11" x14ac:dyDescent="0.35">
      <c r="A374" t="s">
        <v>575</v>
      </c>
      <c r="B374" s="1">
        <v>45113</v>
      </c>
      <c r="C374" t="s">
        <v>10</v>
      </c>
      <c r="D374" t="s">
        <v>38</v>
      </c>
      <c r="E374" t="s">
        <v>39</v>
      </c>
      <c r="F374" t="s">
        <v>21</v>
      </c>
      <c r="G374">
        <v>8</v>
      </c>
      <c r="H374" t="s">
        <v>33</v>
      </c>
      <c r="I374">
        <v>33</v>
      </c>
      <c r="J374">
        <v>1484.56</v>
      </c>
      <c r="K374">
        <f t="shared" si="7"/>
        <v>11876.48</v>
      </c>
    </row>
    <row r="375" spans="1:11" x14ac:dyDescent="0.35">
      <c r="A375" t="s">
        <v>576</v>
      </c>
      <c r="B375" s="1">
        <v>44931</v>
      </c>
      <c r="C375" t="s">
        <v>15</v>
      </c>
      <c r="D375" t="s">
        <v>16</v>
      </c>
      <c r="E375" t="s">
        <v>43</v>
      </c>
      <c r="F375" t="s">
        <v>29</v>
      </c>
      <c r="G375">
        <v>13</v>
      </c>
      <c r="H375" t="s">
        <v>36</v>
      </c>
      <c r="I375">
        <v>54</v>
      </c>
      <c r="J375">
        <v>914.82</v>
      </c>
      <c r="K375">
        <f t="shared" si="7"/>
        <v>11892.66</v>
      </c>
    </row>
    <row r="376" spans="1:11" x14ac:dyDescent="0.35">
      <c r="A376" t="s">
        <v>577</v>
      </c>
      <c r="B376" s="1">
        <v>45044</v>
      </c>
      <c r="C376" t="s">
        <v>10</v>
      </c>
      <c r="D376" t="s">
        <v>11</v>
      </c>
      <c r="E376" t="s">
        <v>27</v>
      </c>
      <c r="F376" t="s">
        <v>21</v>
      </c>
      <c r="G376">
        <v>12</v>
      </c>
      <c r="H376" t="s">
        <v>28</v>
      </c>
      <c r="I376">
        <v>26</v>
      </c>
      <c r="J376">
        <v>992.16</v>
      </c>
      <c r="K376">
        <f t="shared" si="7"/>
        <v>11905.92</v>
      </c>
    </row>
    <row r="377" spans="1:11" x14ac:dyDescent="0.35">
      <c r="A377" t="s">
        <v>578</v>
      </c>
      <c r="B377" s="1">
        <v>45124</v>
      </c>
      <c r="C377" t="s">
        <v>23</v>
      </c>
      <c r="D377" t="s">
        <v>24</v>
      </c>
      <c r="E377" t="s">
        <v>45</v>
      </c>
      <c r="F377" t="s">
        <v>13</v>
      </c>
      <c r="G377">
        <v>4</v>
      </c>
      <c r="H377" t="s">
        <v>36</v>
      </c>
      <c r="I377">
        <v>37</v>
      </c>
      <c r="J377">
        <v>2978.87</v>
      </c>
      <c r="K377">
        <f t="shared" si="7"/>
        <v>11915.48</v>
      </c>
    </row>
    <row r="378" spans="1:11" x14ac:dyDescent="0.35">
      <c r="A378" t="s">
        <v>579</v>
      </c>
      <c r="B378" s="1">
        <v>45104</v>
      </c>
      <c r="C378" t="s">
        <v>10</v>
      </c>
      <c r="D378" t="s">
        <v>38</v>
      </c>
      <c r="E378" t="s">
        <v>40</v>
      </c>
      <c r="F378" t="s">
        <v>21</v>
      </c>
      <c r="G378">
        <v>6</v>
      </c>
      <c r="H378" t="s">
        <v>31</v>
      </c>
      <c r="I378">
        <v>32</v>
      </c>
      <c r="J378">
        <v>1985.97</v>
      </c>
      <c r="K378">
        <f t="shared" si="7"/>
        <v>11915.82</v>
      </c>
    </row>
    <row r="379" spans="1:11" x14ac:dyDescent="0.35">
      <c r="A379" t="s">
        <v>580</v>
      </c>
      <c r="B379" s="1">
        <v>45109</v>
      </c>
      <c r="C379" t="s">
        <v>23</v>
      </c>
      <c r="D379" t="s">
        <v>24</v>
      </c>
      <c r="E379" t="s">
        <v>44</v>
      </c>
      <c r="F379" t="s">
        <v>18</v>
      </c>
      <c r="G379">
        <v>4</v>
      </c>
      <c r="H379" t="s">
        <v>30</v>
      </c>
      <c r="I379">
        <v>47</v>
      </c>
      <c r="J379">
        <v>2984.27</v>
      </c>
      <c r="K379">
        <f t="shared" si="7"/>
        <v>11937.08</v>
      </c>
    </row>
    <row r="380" spans="1:11" x14ac:dyDescent="0.35">
      <c r="A380" t="s">
        <v>581</v>
      </c>
      <c r="B380" s="1">
        <v>45280</v>
      </c>
      <c r="C380" t="s">
        <v>10</v>
      </c>
      <c r="D380" t="s">
        <v>11</v>
      </c>
      <c r="E380" t="s">
        <v>41</v>
      </c>
      <c r="F380" t="s">
        <v>13</v>
      </c>
      <c r="G380">
        <v>7</v>
      </c>
      <c r="H380" t="s">
        <v>33</v>
      </c>
      <c r="I380">
        <v>31</v>
      </c>
      <c r="J380">
        <v>1711.81</v>
      </c>
      <c r="K380">
        <f t="shared" si="7"/>
        <v>11982.67</v>
      </c>
    </row>
    <row r="381" spans="1:11" x14ac:dyDescent="0.35">
      <c r="A381" t="s">
        <v>582</v>
      </c>
      <c r="B381" s="1">
        <v>44979</v>
      </c>
      <c r="C381" t="s">
        <v>23</v>
      </c>
      <c r="D381" t="s">
        <v>24</v>
      </c>
      <c r="E381" t="s">
        <v>45</v>
      </c>
      <c r="F381" t="s">
        <v>35</v>
      </c>
      <c r="G381">
        <v>3</v>
      </c>
      <c r="H381" t="s">
        <v>195</v>
      </c>
      <c r="I381">
        <v>22</v>
      </c>
      <c r="J381">
        <v>4020.68</v>
      </c>
      <c r="K381">
        <f t="shared" si="7"/>
        <v>12062.039999999999</v>
      </c>
    </row>
    <row r="382" spans="1:11" x14ac:dyDescent="0.35">
      <c r="A382" t="s">
        <v>583</v>
      </c>
      <c r="B382" s="1">
        <v>45107</v>
      </c>
      <c r="C382" t="s">
        <v>15</v>
      </c>
      <c r="D382" t="s">
        <v>16</v>
      </c>
      <c r="E382" t="s">
        <v>43</v>
      </c>
      <c r="F382" t="s">
        <v>29</v>
      </c>
      <c r="G382">
        <v>20</v>
      </c>
      <c r="H382" t="s">
        <v>97</v>
      </c>
      <c r="I382">
        <v>50</v>
      </c>
      <c r="J382">
        <v>603.49</v>
      </c>
      <c r="K382">
        <f t="shared" si="7"/>
        <v>12069.8</v>
      </c>
    </row>
    <row r="383" spans="1:11" x14ac:dyDescent="0.35">
      <c r="A383" t="s">
        <v>584</v>
      </c>
      <c r="B383" s="1">
        <v>44989</v>
      </c>
      <c r="C383" t="s">
        <v>15</v>
      </c>
      <c r="D383" t="s">
        <v>16</v>
      </c>
      <c r="E383" t="s">
        <v>43</v>
      </c>
      <c r="F383" t="s">
        <v>18</v>
      </c>
      <c r="G383">
        <v>19</v>
      </c>
      <c r="H383" t="s">
        <v>96</v>
      </c>
      <c r="I383">
        <v>44</v>
      </c>
      <c r="J383">
        <v>636.20000000000005</v>
      </c>
      <c r="K383">
        <f t="shared" si="7"/>
        <v>12087.800000000001</v>
      </c>
    </row>
    <row r="384" spans="1:11" x14ac:dyDescent="0.35">
      <c r="A384" t="s">
        <v>585</v>
      </c>
      <c r="B384" s="1">
        <v>45116</v>
      </c>
      <c r="C384" t="s">
        <v>15</v>
      </c>
      <c r="D384" t="s">
        <v>19</v>
      </c>
      <c r="E384" t="s">
        <v>20</v>
      </c>
      <c r="F384" t="s">
        <v>35</v>
      </c>
      <c r="G384">
        <v>4</v>
      </c>
      <c r="H384" t="s">
        <v>26</v>
      </c>
      <c r="I384">
        <v>49</v>
      </c>
      <c r="J384">
        <v>3022.72</v>
      </c>
      <c r="K384">
        <f t="shared" si="7"/>
        <v>12090.88</v>
      </c>
    </row>
    <row r="385" spans="1:11" x14ac:dyDescent="0.35">
      <c r="A385" t="s">
        <v>586</v>
      </c>
      <c r="B385" s="1">
        <v>45239</v>
      </c>
      <c r="C385" t="s">
        <v>10</v>
      </c>
      <c r="D385" t="s">
        <v>38</v>
      </c>
      <c r="E385" t="s">
        <v>40</v>
      </c>
      <c r="F385" t="s">
        <v>35</v>
      </c>
      <c r="G385">
        <v>7</v>
      </c>
      <c r="H385" t="s">
        <v>37</v>
      </c>
      <c r="I385">
        <v>35</v>
      </c>
      <c r="J385">
        <v>1729.24</v>
      </c>
      <c r="K385">
        <f t="shared" si="7"/>
        <v>12104.68</v>
      </c>
    </row>
    <row r="386" spans="1:11" x14ac:dyDescent="0.35">
      <c r="A386" t="s">
        <v>587</v>
      </c>
      <c r="B386" s="1">
        <v>45018</v>
      </c>
      <c r="C386" t="s">
        <v>23</v>
      </c>
      <c r="D386" t="s">
        <v>24</v>
      </c>
      <c r="E386" t="s">
        <v>45</v>
      </c>
      <c r="F386" t="s">
        <v>21</v>
      </c>
      <c r="G386">
        <v>20</v>
      </c>
      <c r="H386" t="s">
        <v>31</v>
      </c>
      <c r="I386">
        <v>43</v>
      </c>
      <c r="J386">
        <v>605.86</v>
      </c>
      <c r="K386">
        <f t="shared" ref="K386:K449" si="8">G386*J386</f>
        <v>12117.2</v>
      </c>
    </row>
    <row r="387" spans="1:11" x14ac:dyDescent="0.35">
      <c r="A387" t="s">
        <v>588</v>
      </c>
      <c r="B387" s="1">
        <v>45244</v>
      </c>
      <c r="C387" t="s">
        <v>23</v>
      </c>
      <c r="D387" t="s">
        <v>24</v>
      </c>
      <c r="E387" t="s">
        <v>25</v>
      </c>
      <c r="F387" t="s">
        <v>29</v>
      </c>
      <c r="G387">
        <v>5</v>
      </c>
      <c r="H387" t="s">
        <v>14</v>
      </c>
      <c r="I387">
        <v>32</v>
      </c>
      <c r="J387">
        <v>2423.83</v>
      </c>
      <c r="K387">
        <f t="shared" si="8"/>
        <v>12119.15</v>
      </c>
    </row>
    <row r="388" spans="1:11" x14ac:dyDescent="0.35">
      <c r="A388" t="s">
        <v>589</v>
      </c>
      <c r="B388" s="1">
        <v>45059</v>
      </c>
      <c r="C388" t="s">
        <v>10</v>
      </c>
      <c r="D388" t="s">
        <v>38</v>
      </c>
      <c r="E388" t="s">
        <v>40</v>
      </c>
      <c r="F388" t="s">
        <v>18</v>
      </c>
      <c r="G388">
        <v>3</v>
      </c>
      <c r="H388" t="s">
        <v>30</v>
      </c>
      <c r="I388">
        <v>20</v>
      </c>
      <c r="J388">
        <v>4059.76</v>
      </c>
      <c r="K388">
        <f t="shared" si="8"/>
        <v>12179.28</v>
      </c>
    </row>
    <row r="389" spans="1:11" x14ac:dyDescent="0.35">
      <c r="A389" t="s">
        <v>590</v>
      </c>
      <c r="B389" s="1">
        <v>45199</v>
      </c>
      <c r="C389" t="s">
        <v>15</v>
      </c>
      <c r="D389" t="s">
        <v>16</v>
      </c>
      <c r="E389" t="s">
        <v>34</v>
      </c>
      <c r="F389" t="s">
        <v>35</v>
      </c>
      <c r="G389">
        <v>18</v>
      </c>
      <c r="H389" t="s">
        <v>14</v>
      </c>
      <c r="I389">
        <v>23</v>
      </c>
      <c r="J389">
        <v>678.76</v>
      </c>
      <c r="K389">
        <f t="shared" si="8"/>
        <v>12217.68</v>
      </c>
    </row>
    <row r="390" spans="1:11" x14ac:dyDescent="0.35">
      <c r="A390" t="s">
        <v>591</v>
      </c>
      <c r="B390" s="1">
        <v>45000</v>
      </c>
      <c r="C390" t="s">
        <v>10</v>
      </c>
      <c r="D390" t="s">
        <v>38</v>
      </c>
      <c r="E390" t="s">
        <v>39</v>
      </c>
      <c r="F390" t="s">
        <v>35</v>
      </c>
      <c r="G390">
        <v>3</v>
      </c>
      <c r="H390" t="s">
        <v>14</v>
      </c>
      <c r="I390">
        <v>54</v>
      </c>
      <c r="J390">
        <v>4083.59</v>
      </c>
      <c r="K390">
        <f t="shared" si="8"/>
        <v>12250.77</v>
      </c>
    </row>
    <row r="391" spans="1:11" x14ac:dyDescent="0.35">
      <c r="A391" t="s">
        <v>592</v>
      </c>
      <c r="B391" s="1">
        <v>45129</v>
      </c>
      <c r="C391" t="s">
        <v>23</v>
      </c>
      <c r="D391" t="s">
        <v>24</v>
      </c>
      <c r="E391" t="s">
        <v>25</v>
      </c>
      <c r="F391" t="s">
        <v>18</v>
      </c>
      <c r="G391">
        <v>5</v>
      </c>
      <c r="H391" t="s">
        <v>97</v>
      </c>
      <c r="I391">
        <v>31</v>
      </c>
      <c r="J391">
        <v>2463.9499999999998</v>
      </c>
      <c r="K391">
        <f t="shared" si="8"/>
        <v>12319.75</v>
      </c>
    </row>
    <row r="392" spans="1:11" x14ac:dyDescent="0.35">
      <c r="A392" t="s">
        <v>593</v>
      </c>
      <c r="B392" s="1">
        <v>44986</v>
      </c>
      <c r="C392" t="s">
        <v>15</v>
      </c>
      <c r="D392" t="s">
        <v>19</v>
      </c>
      <c r="E392" t="s">
        <v>20</v>
      </c>
      <c r="F392" t="s">
        <v>35</v>
      </c>
      <c r="G392">
        <v>3</v>
      </c>
      <c r="H392" t="s">
        <v>14</v>
      </c>
      <c r="I392">
        <v>45</v>
      </c>
      <c r="J392">
        <v>4132.17</v>
      </c>
      <c r="K392">
        <f t="shared" si="8"/>
        <v>12396.51</v>
      </c>
    </row>
    <row r="393" spans="1:11" x14ac:dyDescent="0.35">
      <c r="A393" t="s">
        <v>594</v>
      </c>
      <c r="B393" s="1">
        <v>45634</v>
      </c>
      <c r="C393" t="s">
        <v>15</v>
      </c>
      <c r="D393" t="s">
        <v>19</v>
      </c>
      <c r="E393" t="s">
        <v>20</v>
      </c>
      <c r="F393" t="s">
        <v>35</v>
      </c>
      <c r="G393">
        <v>3</v>
      </c>
      <c r="H393" t="s">
        <v>195</v>
      </c>
      <c r="I393">
        <v>45</v>
      </c>
      <c r="J393">
        <v>4132.17</v>
      </c>
      <c r="K393">
        <f t="shared" si="8"/>
        <v>12396.51</v>
      </c>
    </row>
    <row r="394" spans="1:11" x14ac:dyDescent="0.35">
      <c r="A394" t="s">
        <v>595</v>
      </c>
      <c r="B394" s="1">
        <v>45254</v>
      </c>
      <c r="C394" t="s">
        <v>15</v>
      </c>
      <c r="D394" t="s">
        <v>19</v>
      </c>
      <c r="E394" t="s">
        <v>32</v>
      </c>
      <c r="F394" t="s">
        <v>29</v>
      </c>
      <c r="G394">
        <v>5</v>
      </c>
      <c r="H394" t="s">
        <v>14</v>
      </c>
      <c r="I394">
        <v>29</v>
      </c>
      <c r="J394">
        <v>2481.2199999999998</v>
      </c>
      <c r="K394">
        <f t="shared" si="8"/>
        <v>12406.099999999999</v>
      </c>
    </row>
    <row r="395" spans="1:11" x14ac:dyDescent="0.35">
      <c r="A395" t="s">
        <v>596</v>
      </c>
      <c r="B395" s="1">
        <v>45260</v>
      </c>
      <c r="C395" t="s">
        <v>15</v>
      </c>
      <c r="D395" t="s">
        <v>19</v>
      </c>
      <c r="E395" t="s">
        <v>22</v>
      </c>
      <c r="F395" t="s">
        <v>13</v>
      </c>
      <c r="G395">
        <v>9</v>
      </c>
      <c r="H395" t="s">
        <v>14</v>
      </c>
      <c r="I395">
        <v>41</v>
      </c>
      <c r="J395">
        <v>1378.65</v>
      </c>
      <c r="K395">
        <f t="shared" si="8"/>
        <v>12407.85</v>
      </c>
    </row>
    <row r="396" spans="1:11" x14ac:dyDescent="0.35">
      <c r="A396" t="s">
        <v>597</v>
      </c>
      <c r="B396" s="1">
        <v>45610</v>
      </c>
      <c r="C396" t="s">
        <v>15</v>
      </c>
      <c r="D396" t="s">
        <v>19</v>
      </c>
      <c r="E396" t="s">
        <v>22</v>
      </c>
      <c r="F396" t="s">
        <v>13</v>
      </c>
      <c r="G396">
        <v>9</v>
      </c>
      <c r="H396" t="s">
        <v>195</v>
      </c>
      <c r="I396">
        <v>41</v>
      </c>
      <c r="J396">
        <v>1378.65</v>
      </c>
      <c r="K396">
        <f t="shared" si="8"/>
        <v>12407.85</v>
      </c>
    </row>
    <row r="397" spans="1:11" x14ac:dyDescent="0.35">
      <c r="A397" t="s">
        <v>598</v>
      </c>
      <c r="B397" s="1">
        <v>45002</v>
      </c>
      <c r="C397" t="s">
        <v>15</v>
      </c>
      <c r="D397" t="s">
        <v>16</v>
      </c>
      <c r="E397" t="s">
        <v>43</v>
      </c>
      <c r="F397" t="s">
        <v>13</v>
      </c>
      <c r="G397">
        <v>7</v>
      </c>
      <c r="H397" t="s">
        <v>14</v>
      </c>
      <c r="I397">
        <v>36</v>
      </c>
      <c r="J397">
        <v>1774.74</v>
      </c>
      <c r="K397">
        <f t="shared" si="8"/>
        <v>12423.18</v>
      </c>
    </row>
    <row r="398" spans="1:11" x14ac:dyDescent="0.35">
      <c r="A398" t="s">
        <v>599</v>
      </c>
      <c r="B398" s="1">
        <v>45089</v>
      </c>
      <c r="C398" t="s">
        <v>23</v>
      </c>
      <c r="D398" t="s">
        <v>24</v>
      </c>
      <c r="E398" t="s">
        <v>45</v>
      </c>
      <c r="F398" t="s">
        <v>21</v>
      </c>
      <c r="G398">
        <v>3</v>
      </c>
      <c r="H398" t="s">
        <v>30</v>
      </c>
      <c r="I398">
        <v>26</v>
      </c>
      <c r="J398">
        <v>4171.91</v>
      </c>
      <c r="K398">
        <f t="shared" si="8"/>
        <v>12515.73</v>
      </c>
    </row>
    <row r="399" spans="1:11" x14ac:dyDescent="0.35">
      <c r="A399" t="s">
        <v>600</v>
      </c>
      <c r="B399" s="1">
        <v>45055</v>
      </c>
      <c r="C399" t="s">
        <v>15</v>
      </c>
      <c r="D399" t="s">
        <v>16</v>
      </c>
      <c r="E399" t="s">
        <v>34</v>
      </c>
      <c r="F399" t="s">
        <v>35</v>
      </c>
      <c r="G399">
        <v>18</v>
      </c>
      <c r="H399" t="s">
        <v>195</v>
      </c>
      <c r="I399">
        <v>27</v>
      </c>
      <c r="J399">
        <v>696.83</v>
      </c>
      <c r="K399">
        <f t="shared" si="8"/>
        <v>12542.94</v>
      </c>
    </row>
    <row r="400" spans="1:11" x14ac:dyDescent="0.35">
      <c r="A400" t="s">
        <v>601</v>
      </c>
      <c r="B400" s="1">
        <v>45138</v>
      </c>
      <c r="C400" t="s">
        <v>15</v>
      </c>
      <c r="D400" t="s">
        <v>16</v>
      </c>
      <c r="E400" t="s">
        <v>43</v>
      </c>
      <c r="F400" t="s">
        <v>18</v>
      </c>
      <c r="G400">
        <v>13</v>
      </c>
      <c r="H400" t="s">
        <v>97</v>
      </c>
      <c r="I400">
        <v>20</v>
      </c>
      <c r="J400">
        <v>968.18</v>
      </c>
      <c r="K400">
        <f t="shared" si="8"/>
        <v>12586.34</v>
      </c>
    </row>
    <row r="401" spans="1:11" x14ac:dyDescent="0.35">
      <c r="A401" t="s">
        <v>602</v>
      </c>
      <c r="B401" s="1">
        <v>45183</v>
      </c>
      <c r="C401" t="s">
        <v>10</v>
      </c>
      <c r="D401" t="s">
        <v>38</v>
      </c>
      <c r="E401" t="s">
        <v>42</v>
      </c>
      <c r="F401" t="s">
        <v>13</v>
      </c>
      <c r="G401">
        <v>3</v>
      </c>
      <c r="H401" t="s">
        <v>97</v>
      </c>
      <c r="I401">
        <v>20</v>
      </c>
      <c r="J401">
        <v>4195.66</v>
      </c>
      <c r="K401">
        <f t="shared" si="8"/>
        <v>12586.98</v>
      </c>
    </row>
    <row r="402" spans="1:11" x14ac:dyDescent="0.35">
      <c r="A402" t="s">
        <v>603</v>
      </c>
      <c r="B402" s="1">
        <v>45026</v>
      </c>
      <c r="C402" t="s">
        <v>23</v>
      </c>
      <c r="D402" t="s">
        <v>24</v>
      </c>
      <c r="E402" t="s">
        <v>25</v>
      </c>
      <c r="F402" t="s">
        <v>35</v>
      </c>
      <c r="G402">
        <v>3</v>
      </c>
      <c r="H402" t="s">
        <v>30</v>
      </c>
      <c r="I402">
        <v>51</v>
      </c>
      <c r="J402">
        <v>4201.09</v>
      </c>
      <c r="K402">
        <f t="shared" si="8"/>
        <v>12603.27</v>
      </c>
    </row>
    <row r="403" spans="1:11" x14ac:dyDescent="0.35">
      <c r="A403" t="s">
        <v>604</v>
      </c>
      <c r="B403" s="1">
        <v>45192</v>
      </c>
      <c r="C403" t="s">
        <v>10</v>
      </c>
      <c r="D403" t="s">
        <v>11</v>
      </c>
      <c r="E403" t="s">
        <v>27</v>
      </c>
      <c r="F403" t="s">
        <v>18</v>
      </c>
      <c r="G403">
        <v>7</v>
      </c>
      <c r="H403" t="s">
        <v>14</v>
      </c>
      <c r="I403">
        <v>18</v>
      </c>
      <c r="J403">
        <v>1801.74</v>
      </c>
      <c r="K403">
        <f t="shared" si="8"/>
        <v>12612.18</v>
      </c>
    </row>
    <row r="404" spans="1:11" x14ac:dyDescent="0.35">
      <c r="A404" t="s">
        <v>605</v>
      </c>
      <c r="B404" s="1">
        <v>45241</v>
      </c>
      <c r="C404" t="s">
        <v>10</v>
      </c>
      <c r="D404" t="s">
        <v>11</v>
      </c>
      <c r="E404" t="s">
        <v>12</v>
      </c>
      <c r="F404" t="s">
        <v>13</v>
      </c>
      <c r="G404">
        <v>3</v>
      </c>
      <c r="H404" t="s">
        <v>14</v>
      </c>
      <c r="I404">
        <v>43</v>
      </c>
      <c r="J404">
        <v>4210.7700000000004</v>
      </c>
      <c r="K404">
        <f t="shared" si="8"/>
        <v>12632.310000000001</v>
      </c>
    </row>
    <row r="405" spans="1:11" x14ac:dyDescent="0.35">
      <c r="A405" t="s">
        <v>606</v>
      </c>
      <c r="B405" s="1">
        <v>45607</v>
      </c>
      <c r="C405" t="s">
        <v>10</v>
      </c>
      <c r="D405" t="s">
        <v>11</v>
      </c>
      <c r="E405" t="s">
        <v>12</v>
      </c>
      <c r="F405" t="s">
        <v>13</v>
      </c>
      <c r="G405">
        <v>3</v>
      </c>
      <c r="H405" t="s">
        <v>14</v>
      </c>
      <c r="I405">
        <v>43</v>
      </c>
      <c r="J405">
        <v>4210.7700000000004</v>
      </c>
      <c r="K405">
        <f t="shared" si="8"/>
        <v>12632.310000000001</v>
      </c>
    </row>
    <row r="406" spans="1:11" x14ac:dyDescent="0.35">
      <c r="A406" t="s">
        <v>607</v>
      </c>
      <c r="B406" s="1">
        <v>44968</v>
      </c>
      <c r="C406" t="s">
        <v>10</v>
      </c>
      <c r="D406" t="s">
        <v>38</v>
      </c>
      <c r="E406" t="s">
        <v>40</v>
      </c>
      <c r="F406" t="s">
        <v>13</v>
      </c>
      <c r="G406">
        <v>20</v>
      </c>
      <c r="H406" t="s">
        <v>30</v>
      </c>
      <c r="I406">
        <v>41</v>
      </c>
      <c r="J406">
        <v>633.87</v>
      </c>
      <c r="K406">
        <f t="shared" si="8"/>
        <v>12677.4</v>
      </c>
    </row>
    <row r="407" spans="1:11" x14ac:dyDescent="0.35">
      <c r="A407" t="s">
        <v>608</v>
      </c>
      <c r="B407" s="1">
        <v>44995</v>
      </c>
      <c r="C407" t="s">
        <v>23</v>
      </c>
      <c r="D407" t="s">
        <v>24</v>
      </c>
      <c r="E407" t="s">
        <v>25</v>
      </c>
      <c r="F407" t="s">
        <v>35</v>
      </c>
      <c r="G407">
        <v>3</v>
      </c>
      <c r="H407" t="s">
        <v>14</v>
      </c>
      <c r="I407">
        <v>22</v>
      </c>
      <c r="J407">
        <v>4229.84</v>
      </c>
      <c r="K407">
        <f t="shared" si="8"/>
        <v>12689.52</v>
      </c>
    </row>
    <row r="408" spans="1:11" x14ac:dyDescent="0.35">
      <c r="A408" t="s">
        <v>609</v>
      </c>
      <c r="B408" s="1">
        <v>45622</v>
      </c>
      <c r="C408" t="s">
        <v>23</v>
      </c>
      <c r="D408" t="s">
        <v>24</v>
      </c>
      <c r="E408" t="s">
        <v>25</v>
      </c>
      <c r="F408" t="s">
        <v>35</v>
      </c>
      <c r="G408">
        <v>3</v>
      </c>
      <c r="H408" t="s">
        <v>195</v>
      </c>
      <c r="I408">
        <v>22</v>
      </c>
      <c r="J408">
        <v>4229.84</v>
      </c>
      <c r="K408">
        <f t="shared" si="8"/>
        <v>12689.52</v>
      </c>
    </row>
    <row r="409" spans="1:11" x14ac:dyDescent="0.35">
      <c r="A409" t="s">
        <v>610</v>
      </c>
      <c r="B409" s="1">
        <v>45257</v>
      </c>
      <c r="C409" t="s">
        <v>15</v>
      </c>
      <c r="D409" t="s">
        <v>16</v>
      </c>
      <c r="E409" t="s">
        <v>43</v>
      </c>
      <c r="F409" t="s">
        <v>21</v>
      </c>
      <c r="G409">
        <v>16</v>
      </c>
      <c r="H409" t="s">
        <v>28</v>
      </c>
      <c r="I409">
        <v>25</v>
      </c>
      <c r="J409">
        <v>795.17</v>
      </c>
      <c r="K409">
        <f t="shared" si="8"/>
        <v>12722.72</v>
      </c>
    </row>
    <row r="410" spans="1:11" x14ac:dyDescent="0.35">
      <c r="A410" t="s">
        <v>611</v>
      </c>
      <c r="B410" s="1">
        <v>45113</v>
      </c>
      <c r="C410" t="s">
        <v>10</v>
      </c>
      <c r="D410" t="s">
        <v>11</v>
      </c>
      <c r="E410" t="s">
        <v>27</v>
      </c>
      <c r="F410" t="s">
        <v>13</v>
      </c>
      <c r="G410">
        <v>5</v>
      </c>
      <c r="H410" t="s">
        <v>37</v>
      </c>
      <c r="I410">
        <v>52</v>
      </c>
      <c r="J410">
        <v>2545.9299999999998</v>
      </c>
      <c r="K410">
        <f t="shared" si="8"/>
        <v>12729.65</v>
      </c>
    </row>
    <row r="411" spans="1:11" x14ac:dyDescent="0.35">
      <c r="A411" t="s">
        <v>612</v>
      </c>
      <c r="B411" s="1">
        <v>44932</v>
      </c>
      <c r="C411" t="s">
        <v>15</v>
      </c>
      <c r="D411" t="s">
        <v>16</v>
      </c>
      <c r="E411" t="s">
        <v>34</v>
      </c>
      <c r="F411" t="s">
        <v>35</v>
      </c>
      <c r="G411">
        <v>12</v>
      </c>
      <c r="H411" t="s">
        <v>26</v>
      </c>
      <c r="I411">
        <v>17</v>
      </c>
      <c r="J411">
        <v>1061.49</v>
      </c>
      <c r="K411">
        <f t="shared" si="8"/>
        <v>12737.880000000001</v>
      </c>
    </row>
    <row r="412" spans="1:11" x14ac:dyDescent="0.35">
      <c r="A412" t="s">
        <v>613</v>
      </c>
      <c r="B412" s="1">
        <v>45162</v>
      </c>
      <c r="C412" t="s">
        <v>10</v>
      </c>
      <c r="D412" t="s">
        <v>38</v>
      </c>
      <c r="E412" t="s">
        <v>39</v>
      </c>
      <c r="F412" t="s">
        <v>35</v>
      </c>
      <c r="G412">
        <v>16</v>
      </c>
      <c r="H412" t="s">
        <v>31</v>
      </c>
      <c r="I412">
        <v>26</v>
      </c>
      <c r="J412">
        <v>796.69</v>
      </c>
      <c r="K412">
        <f t="shared" si="8"/>
        <v>12747.04</v>
      </c>
    </row>
    <row r="413" spans="1:11" x14ac:dyDescent="0.35">
      <c r="A413" t="s">
        <v>614</v>
      </c>
      <c r="B413" s="1">
        <v>45270</v>
      </c>
      <c r="C413" t="s">
        <v>15</v>
      </c>
      <c r="D413" t="s">
        <v>19</v>
      </c>
      <c r="E413" t="s">
        <v>22</v>
      </c>
      <c r="F413" t="s">
        <v>18</v>
      </c>
      <c r="G413">
        <v>8</v>
      </c>
      <c r="H413" t="s">
        <v>96</v>
      </c>
      <c r="I413">
        <v>54</v>
      </c>
      <c r="J413">
        <v>1595.76</v>
      </c>
      <c r="K413">
        <f t="shared" si="8"/>
        <v>12766.08</v>
      </c>
    </row>
    <row r="414" spans="1:11" x14ac:dyDescent="0.35">
      <c r="A414" t="s">
        <v>615</v>
      </c>
      <c r="B414" s="1">
        <v>45173</v>
      </c>
      <c r="C414" t="s">
        <v>15</v>
      </c>
      <c r="D414" t="s">
        <v>16</v>
      </c>
      <c r="E414" t="s">
        <v>17</v>
      </c>
      <c r="F414" t="s">
        <v>35</v>
      </c>
      <c r="G414">
        <v>11</v>
      </c>
      <c r="H414" t="s">
        <v>30</v>
      </c>
      <c r="I414">
        <v>29</v>
      </c>
      <c r="J414">
        <v>1169.3</v>
      </c>
      <c r="K414">
        <f t="shared" si="8"/>
        <v>12862.3</v>
      </c>
    </row>
    <row r="415" spans="1:11" x14ac:dyDescent="0.35">
      <c r="A415" t="s">
        <v>616</v>
      </c>
      <c r="B415" s="1">
        <v>45127</v>
      </c>
      <c r="C415" t="s">
        <v>23</v>
      </c>
      <c r="D415" t="s">
        <v>24</v>
      </c>
      <c r="E415" t="s">
        <v>25</v>
      </c>
      <c r="F415" t="s">
        <v>29</v>
      </c>
      <c r="G415">
        <v>17</v>
      </c>
      <c r="H415" t="s">
        <v>31</v>
      </c>
      <c r="I415">
        <v>42</v>
      </c>
      <c r="J415">
        <v>758.19</v>
      </c>
      <c r="K415">
        <f t="shared" si="8"/>
        <v>12889.230000000001</v>
      </c>
    </row>
    <row r="416" spans="1:11" x14ac:dyDescent="0.35">
      <c r="A416" t="s">
        <v>617</v>
      </c>
      <c r="B416" s="1">
        <v>45033</v>
      </c>
      <c r="C416" t="s">
        <v>23</v>
      </c>
      <c r="D416" t="s">
        <v>24</v>
      </c>
      <c r="E416" t="s">
        <v>44</v>
      </c>
      <c r="F416" t="s">
        <v>18</v>
      </c>
      <c r="G416">
        <v>13</v>
      </c>
      <c r="H416" t="s">
        <v>37</v>
      </c>
      <c r="I416">
        <v>44</v>
      </c>
      <c r="J416">
        <v>993.43</v>
      </c>
      <c r="K416">
        <f t="shared" si="8"/>
        <v>12914.59</v>
      </c>
    </row>
    <row r="417" spans="1:11" x14ac:dyDescent="0.35">
      <c r="A417" t="s">
        <v>618</v>
      </c>
      <c r="B417" s="1">
        <v>44996</v>
      </c>
      <c r="C417" t="s">
        <v>10</v>
      </c>
      <c r="D417" t="s">
        <v>11</v>
      </c>
      <c r="E417" t="s">
        <v>41</v>
      </c>
      <c r="F417" t="s">
        <v>21</v>
      </c>
      <c r="G417">
        <v>5</v>
      </c>
      <c r="H417" t="s">
        <v>14</v>
      </c>
      <c r="I417">
        <v>40</v>
      </c>
      <c r="J417">
        <v>2583.81</v>
      </c>
      <c r="K417">
        <f t="shared" si="8"/>
        <v>12919.05</v>
      </c>
    </row>
    <row r="418" spans="1:11" x14ac:dyDescent="0.35">
      <c r="A418" t="s">
        <v>619</v>
      </c>
      <c r="B418" s="1">
        <v>45023</v>
      </c>
      <c r="C418" t="s">
        <v>15</v>
      </c>
      <c r="D418" t="s">
        <v>16</v>
      </c>
      <c r="E418" t="s">
        <v>17</v>
      </c>
      <c r="F418" t="s">
        <v>18</v>
      </c>
      <c r="G418">
        <v>7</v>
      </c>
      <c r="H418" t="s">
        <v>28</v>
      </c>
      <c r="I418">
        <v>55</v>
      </c>
      <c r="J418">
        <v>1849.17</v>
      </c>
      <c r="K418">
        <f t="shared" si="8"/>
        <v>12944.19</v>
      </c>
    </row>
    <row r="419" spans="1:11" x14ac:dyDescent="0.35">
      <c r="A419" t="s">
        <v>620</v>
      </c>
      <c r="B419" s="1">
        <v>45043</v>
      </c>
      <c r="C419" t="s">
        <v>10</v>
      </c>
      <c r="D419" t="s">
        <v>38</v>
      </c>
      <c r="E419" t="s">
        <v>42</v>
      </c>
      <c r="F419" t="s">
        <v>13</v>
      </c>
      <c r="G419">
        <v>15</v>
      </c>
      <c r="H419" t="s">
        <v>96</v>
      </c>
      <c r="I419">
        <v>49</v>
      </c>
      <c r="J419">
        <v>866.62</v>
      </c>
      <c r="K419">
        <f t="shared" si="8"/>
        <v>12999.3</v>
      </c>
    </row>
    <row r="420" spans="1:11" x14ac:dyDescent="0.35">
      <c r="A420" t="s">
        <v>621</v>
      </c>
      <c r="B420" s="1">
        <v>45168</v>
      </c>
      <c r="C420" t="s">
        <v>15</v>
      </c>
      <c r="D420" t="s">
        <v>19</v>
      </c>
      <c r="E420" t="s">
        <v>22</v>
      </c>
      <c r="F420" t="s">
        <v>29</v>
      </c>
      <c r="G420">
        <v>3</v>
      </c>
      <c r="H420" t="s">
        <v>31</v>
      </c>
      <c r="I420">
        <v>50</v>
      </c>
      <c r="J420">
        <v>4363.3</v>
      </c>
      <c r="K420">
        <f t="shared" si="8"/>
        <v>13089.900000000001</v>
      </c>
    </row>
    <row r="421" spans="1:11" x14ac:dyDescent="0.35">
      <c r="A421" t="s">
        <v>622</v>
      </c>
      <c r="B421" s="1">
        <v>45181</v>
      </c>
      <c r="C421" t="s">
        <v>15</v>
      </c>
      <c r="D421" t="s">
        <v>16</v>
      </c>
      <c r="E421" t="s">
        <v>43</v>
      </c>
      <c r="F421" t="s">
        <v>21</v>
      </c>
      <c r="G421">
        <v>6</v>
      </c>
      <c r="H421" t="s">
        <v>97</v>
      </c>
      <c r="I421">
        <v>51</v>
      </c>
      <c r="J421">
        <v>2207.64</v>
      </c>
      <c r="K421">
        <f t="shared" si="8"/>
        <v>13245.84</v>
      </c>
    </row>
    <row r="422" spans="1:11" x14ac:dyDescent="0.35">
      <c r="A422" t="s">
        <v>623</v>
      </c>
      <c r="B422" s="1">
        <v>45044</v>
      </c>
      <c r="C422" t="s">
        <v>15</v>
      </c>
      <c r="D422" t="s">
        <v>16</v>
      </c>
      <c r="E422" t="s">
        <v>34</v>
      </c>
      <c r="F422" t="s">
        <v>35</v>
      </c>
      <c r="G422">
        <v>12</v>
      </c>
      <c r="H422" t="s">
        <v>36</v>
      </c>
      <c r="I422">
        <v>47</v>
      </c>
      <c r="J422">
        <v>1104.74</v>
      </c>
      <c r="K422">
        <f t="shared" si="8"/>
        <v>13256.880000000001</v>
      </c>
    </row>
    <row r="423" spans="1:11" x14ac:dyDescent="0.35">
      <c r="A423" t="s">
        <v>624</v>
      </c>
      <c r="B423" s="1">
        <v>44977</v>
      </c>
      <c r="C423" t="s">
        <v>10</v>
      </c>
      <c r="D423" t="s">
        <v>11</v>
      </c>
      <c r="E423" t="s">
        <v>27</v>
      </c>
      <c r="F423" t="s">
        <v>13</v>
      </c>
      <c r="G423">
        <v>9</v>
      </c>
      <c r="H423" t="s">
        <v>26</v>
      </c>
      <c r="I423">
        <v>35</v>
      </c>
      <c r="J423">
        <v>1474.56</v>
      </c>
      <c r="K423">
        <f t="shared" si="8"/>
        <v>13271.039999999999</v>
      </c>
    </row>
    <row r="424" spans="1:11" x14ac:dyDescent="0.35">
      <c r="A424" t="s">
        <v>625</v>
      </c>
      <c r="B424" s="1">
        <v>45138</v>
      </c>
      <c r="C424" t="s">
        <v>10</v>
      </c>
      <c r="D424" t="s">
        <v>38</v>
      </c>
      <c r="E424" t="s">
        <v>40</v>
      </c>
      <c r="F424" t="s">
        <v>29</v>
      </c>
      <c r="G424">
        <v>14</v>
      </c>
      <c r="H424" t="s">
        <v>37</v>
      </c>
      <c r="I424">
        <v>20</v>
      </c>
      <c r="J424">
        <v>948.05</v>
      </c>
      <c r="K424">
        <f t="shared" si="8"/>
        <v>13272.699999999999</v>
      </c>
    </row>
    <row r="425" spans="1:11" x14ac:dyDescent="0.35">
      <c r="A425" t="s">
        <v>626</v>
      </c>
      <c r="B425" s="1">
        <v>45040</v>
      </c>
      <c r="C425" t="s">
        <v>10</v>
      </c>
      <c r="D425" t="s">
        <v>11</v>
      </c>
      <c r="E425" t="s">
        <v>27</v>
      </c>
      <c r="F425" t="s">
        <v>29</v>
      </c>
      <c r="G425">
        <v>7</v>
      </c>
      <c r="H425" t="s">
        <v>33</v>
      </c>
      <c r="I425">
        <v>40</v>
      </c>
      <c r="J425">
        <v>1905.14</v>
      </c>
      <c r="K425">
        <f t="shared" si="8"/>
        <v>13335.980000000001</v>
      </c>
    </row>
    <row r="426" spans="1:11" x14ac:dyDescent="0.35">
      <c r="A426" t="s">
        <v>627</v>
      </c>
      <c r="B426" s="1">
        <v>45284</v>
      </c>
      <c r="C426" t="s">
        <v>15</v>
      </c>
      <c r="D426" t="s">
        <v>19</v>
      </c>
      <c r="E426" t="s">
        <v>22</v>
      </c>
      <c r="F426" t="s">
        <v>18</v>
      </c>
      <c r="G426">
        <v>8</v>
      </c>
      <c r="H426" t="s">
        <v>97</v>
      </c>
      <c r="I426">
        <v>42</v>
      </c>
      <c r="J426">
        <v>1670.31</v>
      </c>
      <c r="K426">
        <f t="shared" si="8"/>
        <v>13362.48</v>
      </c>
    </row>
    <row r="427" spans="1:11" x14ac:dyDescent="0.35">
      <c r="A427" t="s">
        <v>628</v>
      </c>
      <c r="B427" s="1">
        <v>44965</v>
      </c>
      <c r="C427" t="s">
        <v>15</v>
      </c>
      <c r="D427" t="s">
        <v>16</v>
      </c>
      <c r="E427" t="s">
        <v>34</v>
      </c>
      <c r="F427" t="s">
        <v>21</v>
      </c>
      <c r="G427">
        <v>13</v>
      </c>
      <c r="H427" t="s">
        <v>31</v>
      </c>
      <c r="I427">
        <v>19</v>
      </c>
      <c r="J427">
        <v>1030.9000000000001</v>
      </c>
      <c r="K427">
        <f t="shared" si="8"/>
        <v>13401.7</v>
      </c>
    </row>
    <row r="428" spans="1:11" x14ac:dyDescent="0.35">
      <c r="A428" t="s">
        <v>629</v>
      </c>
      <c r="B428" s="1">
        <v>45003</v>
      </c>
      <c r="C428" t="s">
        <v>23</v>
      </c>
      <c r="D428" t="s">
        <v>24</v>
      </c>
      <c r="E428" t="s">
        <v>45</v>
      </c>
      <c r="F428" t="s">
        <v>18</v>
      </c>
      <c r="G428">
        <v>5</v>
      </c>
      <c r="H428" t="s">
        <v>96</v>
      </c>
      <c r="I428">
        <v>19</v>
      </c>
      <c r="J428">
        <v>2681.34</v>
      </c>
      <c r="K428">
        <f t="shared" si="8"/>
        <v>13406.7</v>
      </c>
    </row>
    <row r="429" spans="1:11" x14ac:dyDescent="0.35">
      <c r="A429" t="s">
        <v>630</v>
      </c>
      <c r="B429" s="1">
        <v>45183</v>
      </c>
      <c r="C429" t="s">
        <v>10</v>
      </c>
      <c r="D429" t="s">
        <v>38</v>
      </c>
      <c r="E429" t="s">
        <v>39</v>
      </c>
      <c r="F429" t="s">
        <v>21</v>
      </c>
      <c r="G429">
        <v>4</v>
      </c>
      <c r="H429" t="s">
        <v>33</v>
      </c>
      <c r="I429">
        <v>39</v>
      </c>
      <c r="J429">
        <v>3377.27</v>
      </c>
      <c r="K429">
        <f t="shared" si="8"/>
        <v>13509.08</v>
      </c>
    </row>
    <row r="430" spans="1:11" x14ac:dyDescent="0.35">
      <c r="A430" t="s">
        <v>631</v>
      </c>
      <c r="B430" s="1">
        <v>45028</v>
      </c>
      <c r="C430" t="s">
        <v>10</v>
      </c>
      <c r="D430" t="s">
        <v>38</v>
      </c>
      <c r="E430" t="s">
        <v>42</v>
      </c>
      <c r="F430" t="s">
        <v>29</v>
      </c>
      <c r="G430">
        <v>19</v>
      </c>
      <c r="H430" t="s">
        <v>195</v>
      </c>
      <c r="I430">
        <v>46</v>
      </c>
      <c r="J430">
        <v>713.8</v>
      </c>
      <c r="K430">
        <f t="shared" si="8"/>
        <v>13562.199999999999</v>
      </c>
    </row>
    <row r="431" spans="1:11" x14ac:dyDescent="0.35">
      <c r="A431" t="s">
        <v>632</v>
      </c>
      <c r="B431" s="1">
        <v>45177</v>
      </c>
      <c r="C431" t="s">
        <v>10</v>
      </c>
      <c r="D431" t="s">
        <v>38</v>
      </c>
      <c r="E431" t="s">
        <v>42</v>
      </c>
      <c r="F431" t="s">
        <v>13</v>
      </c>
      <c r="G431">
        <v>15</v>
      </c>
      <c r="H431" t="s">
        <v>97</v>
      </c>
      <c r="I431">
        <v>38</v>
      </c>
      <c r="J431">
        <v>916.75</v>
      </c>
      <c r="K431">
        <f t="shared" si="8"/>
        <v>13751.25</v>
      </c>
    </row>
    <row r="432" spans="1:11" x14ac:dyDescent="0.35">
      <c r="A432" t="s">
        <v>633</v>
      </c>
      <c r="B432" s="1">
        <v>45015</v>
      </c>
      <c r="C432" t="s">
        <v>23</v>
      </c>
      <c r="D432" t="s">
        <v>24</v>
      </c>
      <c r="E432" t="s">
        <v>25</v>
      </c>
      <c r="F432" t="s">
        <v>35</v>
      </c>
      <c r="G432">
        <v>3</v>
      </c>
      <c r="H432" t="s">
        <v>97</v>
      </c>
      <c r="I432">
        <v>16</v>
      </c>
      <c r="J432">
        <v>4608.8900000000003</v>
      </c>
      <c r="K432">
        <f t="shared" si="8"/>
        <v>13826.670000000002</v>
      </c>
    </row>
    <row r="433" spans="1:11" x14ac:dyDescent="0.35">
      <c r="A433" t="s">
        <v>634</v>
      </c>
      <c r="B433" s="1">
        <v>45003</v>
      </c>
      <c r="C433" t="s">
        <v>15</v>
      </c>
      <c r="D433" t="s">
        <v>19</v>
      </c>
      <c r="E433" t="s">
        <v>22</v>
      </c>
      <c r="F433" t="s">
        <v>18</v>
      </c>
      <c r="G433">
        <v>16</v>
      </c>
      <c r="H433" t="s">
        <v>14</v>
      </c>
      <c r="I433">
        <v>41</v>
      </c>
      <c r="J433">
        <v>874.99</v>
      </c>
      <c r="K433">
        <f t="shared" si="8"/>
        <v>13999.84</v>
      </c>
    </row>
    <row r="434" spans="1:11" x14ac:dyDescent="0.35">
      <c r="A434" t="s">
        <v>635</v>
      </c>
      <c r="B434" s="1">
        <v>44956</v>
      </c>
      <c r="C434" t="s">
        <v>10</v>
      </c>
      <c r="D434" t="s">
        <v>38</v>
      </c>
      <c r="E434" t="s">
        <v>42</v>
      </c>
      <c r="F434" t="s">
        <v>18</v>
      </c>
      <c r="G434">
        <v>3</v>
      </c>
      <c r="H434" t="s">
        <v>37</v>
      </c>
      <c r="I434">
        <v>39</v>
      </c>
      <c r="J434">
        <v>4678.38</v>
      </c>
      <c r="K434">
        <f t="shared" si="8"/>
        <v>14035.14</v>
      </c>
    </row>
    <row r="435" spans="1:11" x14ac:dyDescent="0.35">
      <c r="A435" t="s">
        <v>636</v>
      </c>
      <c r="B435" s="1">
        <v>44929</v>
      </c>
      <c r="C435" t="s">
        <v>10</v>
      </c>
      <c r="D435" t="s">
        <v>38</v>
      </c>
      <c r="E435" t="s">
        <v>42</v>
      </c>
      <c r="F435" t="s">
        <v>18</v>
      </c>
      <c r="G435">
        <v>12</v>
      </c>
      <c r="H435" t="s">
        <v>96</v>
      </c>
      <c r="I435">
        <v>55</v>
      </c>
      <c r="J435">
        <v>1169.8399999999999</v>
      </c>
      <c r="K435">
        <f t="shared" si="8"/>
        <v>14038.079999999998</v>
      </c>
    </row>
    <row r="436" spans="1:11" x14ac:dyDescent="0.35">
      <c r="A436" t="s">
        <v>637</v>
      </c>
      <c r="B436" s="1">
        <v>44934</v>
      </c>
      <c r="C436" t="s">
        <v>10</v>
      </c>
      <c r="D436" t="s">
        <v>38</v>
      </c>
      <c r="E436" t="s">
        <v>42</v>
      </c>
      <c r="F436" t="s">
        <v>13</v>
      </c>
      <c r="G436">
        <v>11</v>
      </c>
      <c r="H436" t="s">
        <v>28</v>
      </c>
      <c r="I436">
        <v>44</v>
      </c>
      <c r="J436">
        <v>1278.32</v>
      </c>
      <c r="K436">
        <f t="shared" si="8"/>
        <v>14061.519999999999</v>
      </c>
    </row>
    <row r="437" spans="1:11" x14ac:dyDescent="0.35">
      <c r="A437" t="s">
        <v>638</v>
      </c>
      <c r="B437" s="1">
        <v>45114</v>
      </c>
      <c r="C437" t="s">
        <v>15</v>
      </c>
      <c r="D437" t="s">
        <v>16</v>
      </c>
      <c r="E437" t="s">
        <v>17</v>
      </c>
      <c r="F437" t="s">
        <v>13</v>
      </c>
      <c r="G437">
        <v>7</v>
      </c>
      <c r="H437" t="s">
        <v>37</v>
      </c>
      <c r="I437">
        <v>44</v>
      </c>
      <c r="J437">
        <v>2016.03</v>
      </c>
      <c r="K437">
        <f t="shared" si="8"/>
        <v>14112.21</v>
      </c>
    </row>
    <row r="438" spans="1:11" x14ac:dyDescent="0.35">
      <c r="A438" t="s">
        <v>639</v>
      </c>
      <c r="B438" s="1">
        <v>45016</v>
      </c>
      <c r="C438" t="s">
        <v>23</v>
      </c>
      <c r="D438" t="s">
        <v>24</v>
      </c>
      <c r="E438" t="s">
        <v>25</v>
      </c>
      <c r="F438" t="s">
        <v>18</v>
      </c>
      <c r="G438">
        <v>5</v>
      </c>
      <c r="H438" t="s">
        <v>96</v>
      </c>
      <c r="I438">
        <v>19</v>
      </c>
      <c r="J438">
        <v>2846.34</v>
      </c>
      <c r="K438">
        <f t="shared" si="8"/>
        <v>14231.7</v>
      </c>
    </row>
    <row r="439" spans="1:11" x14ac:dyDescent="0.35">
      <c r="A439" t="s">
        <v>640</v>
      </c>
      <c r="B439" s="1">
        <v>45097</v>
      </c>
      <c r="C439" t="s">
        <v>10</v>
      </c>
      <c r="D439" t="s">
        <v>38</v>
      </c>
      <c r="E439" t="s">
        <v>39</v>
      </c>
      <c r="F439" t="s">
        <v>35</v>
      </c>
      <c r="G439">
        <v>4</v>
      </c>
      <c r="H439" t="s">
        <v>97</v>
      </c>
      <c r="I439">
        <v>50</v>
      </c>
      <c r="J439">
        <v>3561.12</v>
      </c>
      <c r="K439">
        <f t="shared" si="8"/>
        <v>14244.48</v>
      </c>
    </row>
    <row r="440" spans="1:11" x14ac:dyDescent="0.35">
      <c r="A440" t="s">
        <v>641</v>
      </c>
      <c r="B440" s="1">
        <v>45220</v>
      </c>
      <c r="C440" t="s">
        <v>15</v>
      </c>
      <c r="D440" t="s">
        <v>16</v>
      </c>
      <c r="E440" t="s">
        <v>43</v>
      </c>
      <c r="F440" t="s">
        <v>21</v>
      </c>
      <c r="G440">
        <v>7</v>
      </c>
      <c r="H440" t="s">
        <v>36</v>
      </c>
      <c r="I440">
        <v>40</v>
      </c>
      <c r="J440">
        <v>2048.48</v>
      </c>
      <c r="K440">
        <f t="shared" si="8"/>
        <v>14339.36</v>
      </c>
    </row>
    <row r="441" spans="1:11" x14ac:dyDescent="0.35">
      <c r="A441" t="s">
        <v>642</v>
      </c>
      <c r="B441" s="1">
        <v>45274</v>
      </c>
      <c r="C441" t="s">
        <v>15</v>
      </c>
      <c r="D441" t="s">
        <v>16</v>
      </c>
      <c r="E441" t="s">
        <v>34</v>
      </c>
      <c r="F441" t="s">
        <v>18</v>
      </c>
      <c r="G441">
        <v>8</v>
      </c>
      <c r="H441" t="s">
        <v>37</v>
      </c>
      <c r="I441">
        <v>19</v>
      </c>
      <c r="J441">
        <v>1794.45</v>
      </c>
      <c r="K441">
        <f t="shared" si="8"/>
        <v>14355.6</v>
      </c>
    </row>
    <row r="442" spans="1:11" x14ac:dyDescent="0.35">
      <c r="A442" t="s">
        <v>643</v>
      </c>
      <c r="B442" s="1">
        <v>44994</v>
      </c>
      <c r="C442" t="s">
        <v>10</v>
      </c>
      <c r="D442" t="s">
        <v>38</v>
      </c>
      <c r="E442" t="s">
        <v>42</v>
      </c>
      <c r="F442" t="s">
        <v>29</v>
      </c>
      <c r="G442">
        <v>15</v>
      </c>
      <c r="H442" t="s">
        <v>26</v>
      </c>
      <c r="I442">
        <v>35</v>
      </c>
      <c r="J442">
        <v>961.23</v>
      </c>
      <c r="K442">
        <f t="shared" si="8"/>
        <v>14418.45</v>
      </c>
    </row>
    <row r="443" spans="1:11" x14ac:dyDescent="0.35">
      <c r="A443" t="s">
        <v>644</v>
      </c>
      <c r="B443" s="1">
        <v>45109</v>
      </c>
      <c r="C443" t="s">
        <v>15</v>
      </c>
      <c r="D443" t="s">
        <v>16</v>
      </c>
      <c r="E443" t="s">
        <v>34</v>
      </c>
      <c r="F443" t="s">
        <v>29</v>
      </c>
      <c r="G443">
        <v>20</v>
      </c>
      <c r="H443" t="s">
        <v>14</v>
      </c>
      <c r="I443">
        <v>39</v>
      </c>
      <c r="J443">
        <v>722.13</v>
      </c>
      <c r="K443">
        <f t="shared" si="8"/>
        <v>14442.6</v>
      </c>
    </row>
    <row r="444" spans="1:11" x14ac:dyDescent="0.35">
      <c r="A444" t="s">
        <v>645</v>
      </c>
      <c r="B444" s="1">
        <v>45202</v>
      </c>
      <c r="C444" t="s">
        <v>10</v>
      </c>
      <c r="D444" t="s">
        <v>11</v>
      </c>
      <c r="E444" t="s">
        <v>12</v>
      </c>
      <c r="F444" t="s">
        <v>13</v>
      </c>
      <c r="G444">
        <v>11</v>
      </c>
      <c r="H444" t="s">
        <v>37</v>
      </c>
      <c r="I444">
        <v>48</v>
      </c>
      <c r="J444">
        <v>1316.18</v>
      </c>
      <c r="K444">
        <f t="shared" si="8"/>
        <v>14477.980000000001</v>
      </c>
    </row>
    <row r="445" spans="1:11" x14ac:dyDescent="0.35">
      <c r="A445" t="s">
        <v>646</v>
      </c>
      <c r="B445" s="1">
        <v>45142</v>
      </c>
      <c r="C445" t="s">
        <v>15</v>
      </c>
      <c r="D445" t="s">
        <v>16</v>
      </c>
      <c r="E445" t="s">
        <v>43</v>
      </c>
      <c r="F445" t="s">
        <v>29</v>
      </c>
      <c r="G445">
        <v>3</v>
      </c>
      <c r="H445" t="s">
        <v>37</v>
      </c>
      <c r="I445">
        <v>38</v>
      </c>
      <c r="J445">
        <v>4876.51</v>
      </c>
      <c r="K445">
        <f t="shared" si="8"/>
        <v>14629.53</v>
      </c>
    </row>
    <row r="446" spans="1:11" x14ac:dyDescent="0.35">
      <c r="A446" t="s">
        <v>647</v>
      </c>
      <c r="B446" s="1">
        <v>45016</v>
      </c>
      <c r="C446" t="s">
        <v>10</v>
      </c>
      <c r="D446" t="s">
        <v>38</v>
      </c>
      <c r="E446" t="s">
        <v>42</v>
      </c>
      <c r="F446" t="s">
        <v>13</v>
      </c>
      <c r="G446">
        <v>3</v>
      </c>
      <c r="H446" t="s">
        <v>26</v>
      </c>
      <c r="I446">
        <v>18</v>
      </c>
      <c r="J446">
        <v>4888.03</v>
      </c>
      <c r="K446">
        <f t="shared" si="8"/>
        <v>14664.09</v>
      </c>
    </row>
    <row r="447" spans="1:11" x14ac:dyDescent="0.35">
      <c r="A447" t="s">
        <v>648</v>
      </c>
      <c r="B447" s="1">
        <v>44991</v>
      </c>
      <c r="C447" t="s">
        <v>10</v>
      </c>
      <c r="D447" t="s">
        <v>38</v>
      </c>
      <c r="E447" t="s">
        <v>39</v>
      </c>
      <c r="F447" t="s">
        <v>29</v>
      </c>
      <c r="G447">
        <v>18</v>
      </c>
      <c r="H447" t="s">
        <v>26</v>
      </c>
      <c r="I447">
        <v>38</v>
      </c>
      <c r="J447">
        <v>814.69</v>
      </c>
      <c r="K447">
        <f t="shared" si="8"/>
        <v>14664.420000000002</v>
      </c>
    </row>
    <row r="448" spans="1:11" x14ac:dyDescent="0.35">
      <c r="A448" t="s">
        <v>649</v>
      </c>
      <c r="B448" s="1">
        <v>44962</v>
      </c>
      <c r="C448" t="s">
        <v>15</v>
      </c>
      <c r="D448" t="s">
        <v>19</v>
      </c>
      <c r="E448" t="s">
        <v>32</v>
      </c>
      <c r="F448" t="s">
        <v>18</v>
      </c>
      <c r="G448">
        <v>6</v>
      </c>
      <c r="H448" t="s">
        <v>33</v>
      </c>
      <c r="I448">
        <v>25</v>
      </c>
      <c r="J448">
        <v>2463.6799999999998</v>
      </c>
      <c r="K448">
        <f t="shared" si="8"/>
        <v>14782.079999999998</v>
      </c>
    </row>
    <row r="449" spans="1:11" x14ac:dyDescent="0.35">
      <c r="A449" t="s">
        <v>650</v>
      </c>
      <c r="B449" s="1">
        <v>45615</v>
      </c>
      <c r="C449" t="s">
        <v>15</v>
      </c>
      <c r="D449" t="s">
        <v>19</v>
      </c>
      <c r="E449" t="s">
        <v>32</v>
      </c>
      <c r="F449" t="s">
        <v>18</v>
      </c>
      <c r="G449">
        <v>6</v>
      </c>
      <c r="H449" t="s">
        <v>195</v>
      </c>
      <c r="I449">
        <v>25</v>
      </c>
      <c r="J449">
        <v>2463.6799999999998</v>
      </c>
      <c r="K449">
        <f t="shared" si="8"/>
        <v>14782.079999999998</v>
      </c>
    </row>
    <row r="450" spans="1:11" x14ac:dyDescent="0.35">
      <c r="A450" t="s">
        <v>651</v>
      </c>
      <c r="B450" s="1">
        <v>45274</v>
      </c>
      <c r="C450" t="s">
        <v>23</v>
      </c>
      <c r="D450" t="s">
        <v>24</v>
      </c>
      <c r="E450" t="s">
        <v>25</v>
      </c>
      <c r="F450" t="s">
        <v>29</v>
      </c>
      <c r="G450">
        <v>5</v>
      </c>
      <c r="H450" t="s">
        <v>33</v>
      </c>
      <c r="I450">
        <v>36</v>
      </c>
      <c r="J450">
        <v>2957.2</v>
      </c>
      <c r="K450">
        <f t="shared" ref="K450:K513" si="9">G450*J450</f>
        <v>14786</v>
      </c>
    </row>
    <row r="451" spans="1:11" x14ac:dyDescent="0.35">
      <c r="A451" t="s">
        <v>652</v>
      </c>
      <c r="B451" s="1">
        <v>45177</v>
      </c>
      <c r="C451" t="s">
        <v>10</v>
      </c>
      <c r="D451" t="s">
        <v>11</v>
      </c>
      <c r="E451" t="s">
        <v>12</v>
      </c>
      <c r="F451" t="s">
        <v>35</v>
      </c>
      <c r="G451">
        <v>4</v>
      </c>
      <c r="H451" t="s">
        <v>195</v>
      </c>
      <c r="I451">
        <v>44</v>
      </c>
      <c r="J451">
        <v>3725.78</v>
      </c>
      <c r="K451">
        <f t="shared" si="9"/>
        <v>14903.12</v>
      </c>
    </row>
    <row r="452" spans="1:11" x14ac:dyDescent="0.35">
      <c r="A452" t="s">
        <v>653</v>
      </c>
      <c r="B452" s="1">
        <v>45110</v>
      </c>
      <c r="C452" t="s">
        <v>15</v>
      </c>
      <c r="D452" t="s">
        <v>19</v>
      </c>
      <c r="E452" t="s">
        <v>22</v>
      </c>
      <c r="F452" t="s">
        <v>18</v>
      </c>
      <c r="G452">
        <v>3</v>
      </c>
      <c r="H452" t="s">
        <v>14</v>
      </c>
      <c r="I452">
        <v>32</v>
      </c>
      <c r="J452">
        <v>4999.6899999999996</v>
      </c>
      <c r="K452">
        <f t="shared" si="9"/>
        <v>14999.07</v>
      </c>
    </row>
    <row r="453" spans="1:11" x14ac:dyDescent="0.35">
      <c r="A453" t="s">
        <v>654</v>
      </c>
      <c r="B453" s="1">
        <v>45012</v>
      </c>
      <c r="C453" t="s">
        <v>23</v>
      </c>
      <c r="D453" t="s">
        <v>24</v>
      </c>
      <c r="E453" t="s">
        <v>25</v>
      </c>
      <c r="F453" t="s">
        <v>13</v>
      </c>
      <c r="G453">
        <v>9</v>
      </c>
      <c r="H453" t="s">
        <v>30</v>
      </c>
      <c r="I453">
        <v>41</v>
      </c>
      <c r="J453">
        <v>1667.06</v>
      </c>
      <c r="K453">
        <f t="shared" si="9"/>
        <v>15003.539999999999</v>
      </c>
    </row>
    <row r="454" spans="1:11" x14ac:dyDescent="0.35">
      <c r="A454" t="s">
        <v>655</v>
      </c>
      <c r="B454" s="1">
        <v>45279</v>
      </c>
      <c r="C454" t="s">
        <v>15</v>
      </c>
      <c r="D454" t="s">
        <v>19</v>
      </c>
      <c r="E454" t="s">
        <v>22</v>
      </c>
      <c r="F454" t="s">
        <v>21</v>
      </c>
      <c r="G454">
        <v>11</v>
      </c>
      <c r="H454" t="s">
        <v>33</v>
      </c>
      <c r="I454">
        <v>28</v>
      </c>
      <c r="J454">
        <v>1389.59</v>
      </c>
      <c r="K454">
        <f t="shared" si="9"/>
        <v>15285.49</v>
      </c>
    </row>
    <row r="455" spans="1:11" x14ac:dyDescent="0.35">
      <c r="A455" t="s">
        <v>656</v>
      </c>
      <c r="B455" s="1">
        <v>45165</v>
      </c>
      <c r="C455" t="s">
        <v>23</v>
      </c>
      <c r="D455" t="s">
        <v>24</v>
      </c>
      <c r="E455" t="s">
        <v>44</v>
      </c>
      <c r="F455" t="s">
        <v>29</v>
      </c>
      <c r="G455">
        <v>14</v>
      </c>
      <c r="H455" t="s">
        <v>97</v>
      </c>
      <c r="I455">
        <v>24</v>
      </c>
      <c r="J455">
        <v>1094.1400000000001</v>
      </c>
      <c r="K455">
        <f t="shared" si="9"/>
        <v>15317.960000000001</v>
      </c>
    </row>
    <row r="456" spans="1:11" x14ac:dyDescent="0.35">
      <c r="A456" t="s">
        <v>657</v>
      </c>
      <c r="B456" s="1">
        <v>45107</v>
      </c>
      <c r="C456" t="s">
        <v>10</v>
      </c>
      <c r="D456" t="s">
        <v>38</v>
      </c>
      <c r="E456" t="s">
        <v>39</v>
      </c>
      <c r="F456" t="s">
        <v>35</v>
      </c>
      <c r="G456">
        <v>8</v>
      </c>
      <c r="H456" t="s">
        <v>26</v>
      </c>
      <c r="I456">
        <v>20</v>
      </c>
      <c r="J456">
        <v>1916.14</v>
      </c>
      <c r="K456">
        <f t="shared" si="9"/>
        <v>15329.12</v>
      </c>
    </row>
    <row r="457" spans="1:11" x14ac:dyDescent="0.35">
      <c r="A457" t="s">
        <v>658</v>
      </c>
      <c r="B457" s="1">
        <v>45146</v>
      </c>
      <c r="C457" t="s">
        <v>10</v>
      </c>
      <c r="D457" t="s">
        <v>38</v>
      </c>
      <c r="E457" t="s">
        <v>40</v>
      </c>
      <c r="F457" t="s">
        <v>21</v>
      </c>
      <c r="G457">
        <v>8</v>
      </c>
      <c r="H457" t="s">
        <v>37</v>
      </c>
      <c r="I457">
        <v>46</v>
      </c>
      <c r="J457">
        <v>1927.88</v>
      </c>
      <c r="K457">
        <f t="shared" si="9"/>
        <v>15423.04</v>
      </c>
    </row>
    <row r="458" spans="1:11" x14ac:dyDescent="0.35">
      <c r="A458" t="s">
        <v>659</v>
      </c>
      <c r="B458" s="1">
        <v>45174</v>
      </c>
      <c r="C458" t="s">
        <v>15</v>
      </c>
      <c r="D458" t="s">
        <v>19</v>
      </c>
      <c r="E458" t="s">
        <v>32</v>
      </c>
      <c r="F458" t="s">
        <v>35</v>
      </c>
      <c r="G458">
        <v>20</v>
      </c>
      <c r="H458" t="s">
        <v>14</v>
      </c>
      <c r="I458">
        <v>44</v>
      </c>
      <c r="J458">
        <v>774.07</v>
      </c>
      <c r="K458">
        <f t="shared" si="9"/>
        <v>15481.400000000001</v>
      </c>
    </row>
    <row r="459" spans="1:11" x14ac:dyDescent="0.35">
      <c r="A459" t="s">
        <v>660</v>
      </c>
      <c r="B459" s="1">
        <v>45229</v>
      </c>
      <c r="C459" t="s">
        <v>15</v>
      </c>
      <c r="D459" t="s">
        <v>16</v>
      </c>
      <c r="E459" t="s">
        <v>34</v>
      </c>
      <c r="F459" t="s">
        <v>29</v>
      </c>
      <c r="G459">
        <v>5</v>
      </c>
      <c r="H459" t="s">
        <v>14</v>
      </c>
      <c r="I459">
        <v>32</v>
      </c>
      <c r="J459">
        <v>3103.12</v>
      </c>
      <c r="K459">
        <f t="shared" si="9"/>
        <v>15515.599999999999</v>
      </c>
    </row>
    <row r="460" spans="1:11" x14ac:dyDescent="0.35">
      <c r="A460" t="s">
        <v>661</v>
      </c>
      <c r="B460" s="1">
        <v>45124</v>
      </c>
      <c r="C460" t="s">
        <v>15</v>
      </c>
      <c r="D460" t="s">
        <v>16</v>
      </c>
      <c r="E460" t="s">
        <v>43</v>
      </c>
      <c r="F460" t="s">
        <v>29</v>
      </c>
      <c r="G460">
        <v>16</v>
      </c>
      <c r="H460" t="s">
        <v>14</v>
      </c>
      <c r="I460">
        <v>25</v>
      </c>
      <c r="J460">
        <v>971.39</v>
      </c>
      <c r="K460">
        <f t="shared" si="9"/>
        <v>15542.24</v>
      </c>
    </row>
    <row r="461" spans="1:11" x14ac:dyDescent="0.35">
      <c r="A461" t="s">
        <v>662</v>
      </c>
      <c r="B461" s="1">
        <v>45251</v>
      </c>
      <c r="C461" t="s">
        <v>10</v>
      </c>
      <c r="D461" t="s">
        <v>11</v>
      </c>
      <c r="E461" t="s">
        <v>27</v>
      </c>
      <c r="F461" t="s">
        <v>18</v>
      </c>
      <c r="G461">
        <v>13</v>
      </c>
      <c r="H461" t="s">
        <v>14</v>
      </c>
      <c r="I461">
        <v>30</v>
      </c>
      <c r="J461">
        <v>1198.5</v>
      </c>
      <c r="K461">
        <f t="shared" si="9"/>
        <v>15580.5</v>
      </c>
    </row>
    <row r="462" spans="1:11" x14ac:dyDescent="0.35">
      <c r="A462" t="s">
        <v>663</v>
      </c>
      <c r="B462" s="1">
        <v>45203</v>
      </c>
      <c r="C462" t="s">
        <v>23</v>
      </c>
      <c r="D462" t="s">
        <v>24</v>
      </c>
      <c r="E462" t="s">
        <v>45</v>
      </c>
      <c r="F462" t="s">
        <v>21</v>
      </c>
      <c r="G462">
        <v>7</v>
      </c>
      <c r="H462" t="s">
        <v>33</v>
      </c>
      <c r="I462">
        <v>33</v>
      </c>
      <c r="J462">
        <v>2227.0700000000002</v>
      </c>
      <c r="K462">
        <f t="shared" si="9"/>
        <v>15589.490000000002</v>
      </c>
    </row>
    <row r="463" spans="1:11" x14ac:dyDescent="0.35">
      <c r="A463" t="s">
        <v>664</v>
      </c>
      <c r="B463" s="1">
        <v>45172</v>
      </c>
      <c r="C463" t="s">
        <v>23</v>
      </c>
      <c r="D463" t="s">
        <v>24</v>
      </c>
      <c r="E463" t="s">
        <v>45</v>
      </c>
      <c r="F463" t="s">
        <v>13</v>
      </c>
      <c r="G463">
        <v>11</v>
      </c>
      <c r="H463" t="s">
        <v>26</v>
      </c>
      <c r="I463">
        <v>28</v>
      </c>
      <c r="J463">
        <v>1418.67</v>
      </c>
      <c r="K463">
        <f t="shared" si="9"/>
        <v>15605.37</v>
      </c>
    </row>
    <row r="464" spans="1:11" x14ac:dyDescent="0.35">
      <c r="A464" t="s">
        <v>665</v>
      </c>
      <c r="B464" s="1">
        <v>45020</v>
      </c>
      <c r="C464" t="s">
        <v>23</v>
      </c>
      <c r="D464" t="s">
        <v>24</v>
      </c>
      <c r="E464" t="s">
        <v>25</v>
      </c>
      <c r="F464" t="s">
        <v>18</v>
      </c>
      <c r="G464">
        <v>14</v>
      </c>
      <c r="H464" t="s">
        <v>96</v>
      </c>
      <c r="I464">
        <v>55</v>
      </c>
      <c r="J464">
        <v>1116.79</v>
      </c>
      <c r="K464">
        <f t="shared" si="9"/>
        <v>15635.06</v>
      </c>
    </row>
    <row r="465" spans="1:11" x14ac:dyDescent="0.35">
      <c r="A465" t="s">
        <v>666</v>
      </c>
      <c r="B465" s="1">
        <v>45144</v>
      </c>
      <c r="C465" t="s">
        <v>23</v>
      </c>
      <c r="D465" t="s">
        <v>24</v>
      </c>
      <c r="E465" t="s">
        <v>44</v>
      </c>
      <c r="F465" t="s">
        <v>35</v>
      </c>
      <c r="G465">
        <v>12</v>
      </c>
      <c r="H465" t="s">
        <v>37</v>
      </c>
      <c r="I465">
        <v>16</v>
      </c>
      <c r="J465">
        <v>1304.81</v>
      </c>
      <c r="K465">
        <f t="shared" si="9"/>
        <v>15657.72</v>
      </c>
    </row>
    <row r="466" spans="1:11" x14ac:dyDescent="0.35">
      <c r="A466" t="s">
        <v>667</v>
      </c>
      <c r="B466" s="1">
        <v>44986</v>
      </c>
      <c r="C466" t="s">
        <v>10</v>
      </c>
      <c r="D466" t="s">
        <v>38</v>
      </c>
      <c r="E466" t="s">
        <v>40</v>
      </c>
      <c r="F466" t="s">
        <v>35</v>
      </c>
      <c r="G466">
        <v>6</v>
      </c>
      <c r="H466" t="s">
        <v>14</v>
      </c>
      <c r="I466">
        <v>44</v>
      </c>
      <c r="J466">
        <v>2609.65</v>
      </c>
      <c r="K466">
        <f t="shared" si="9"/>
        <v>15657.900000000001</v>
      </c>
    </row>
    <row r="467" spans="1:11" x14ac:dyDescent="0.35">
      <c r="A467" t="s">
        <v>668</v>
      </c>
      <c r="B467" s="1">
        <v>45025</v>
      </c>
      <c r="C467" t="s">
        <v>15</v>
      </c>
      <c r="D467" t="s">
        <v>16</v>
      </c>
      <c r="E467" t="s">
        <v>43</v>
      </c>
      <c r="F467" t="s">
        <v>13</v>
      </c>
      <c r="G467">
        <v>8</v>
      </c>
      <c r="H467" t="s">
        <v>31</v>
      </c>
      <c r="I467">
        <v>41</v>
      </c>
      <c r="J467">
        <v>1968.58</v>
      </c>
      <c r="K467">
        <f t="shared" si="9"/>
        <v>15748.64</v>
      </c>
    </row>
    <row r="468" spans="1:11" x14ac:dyDescent="0.35">
      <c r="A468" t="s">
        <v>669</v>
      </c>
      <c r="B468" s="1">
        <v>45128</v>
      </c>
      <c r="C468" t="s">
        <v>10</v>
      </c>
      <c r="D468" t="s">
        <v>11</v>
      </c>
      <c r="E468" t="s">
        <v>12</v>
      </c>
      <c r="F468" t="s">
        <v>18</v>
      </c>
      <c r="G468">
        <v>5</v>
      </c>
      <c r="H468" t="s">
        <v>97</v>
      </c>
      <c r="I468">
        <v>38</v>
      </c>
      <c r="J468">
        <v>3156.9</v>
      </c>
      <c r="K468">
        <f t="shared" si="9"/>
        <v>15784.5</v>
      </c>
    </row>
    <row r="469" spans="1:11" x14ac:dyDescent="0.35">
      <c r="A469" t="s">
        <v>670</v>
      </c>
      <c r="B469" s="1">
        <v>45009</v>
      </c>
      <c r="C469" t="s">
        <v>10</v>
      </c>
      <c r="D469" t="s">
        <v>38</v>
      </c>
      <c r="E469" t="s">
        <v>42</v>
      </c>
      <c r="F469" t="s">
        <v>21</v>
      </c>
      <c r="G469">
        <v>11</v>
      </c>
      <c r="H469" t="s">
        <v>26</v>
      </c>
      <c r="I469">
        <v>25</v>
      </c>
      <c r="J469">
        <v>1435.18</v>
      </c>
      <c r="K469">
        <f t="shared" si="9"/>
        <v>15786.980000000001</v>
      </c>
    </row>
    <row r="470" spans="1:11" x14ac:dyDescent="0.35">
      <c r="A470" t="s">
        <v>671</v>
      </c>
      <c r="B470" s="1">
        <v>45140</v>
      </c>
      <c r="C470" t="s">
        <v>15</v>
      </c>
      <c r="D470" t="s">
        <v>19</v>
      </c>
      <c r="E470" t="s">
        <v>22</v>
      </c>
      <c r="F470" t="s">
        <v>35</v>
      </c>
      <c r="G470">
        <v>13</v>
      </c>
      <c r="H470" t="s">
        <v>30</v>
      </c>
      <c r="I470">
        <v>55</v>
      </c>
      <c r="J470">
        <v>1220.76</v>
      </c>
      <c r="K470">
        <f t="shared" si="9"/>
        <v>15869.88</v>
      </c>
    </row>
    <row r="471" spans="1:11" x14ac:dyDescent="0.35">
      <c r="A471" t="s">
        <v>672</v>
      </c>
      <c r="B471" s="1">
        <v>45188</v>
      </c>
      <c r="C471" t="s">
        <v>15</v>
      </c>
      <c r="D471" t="s">
        <v>16</v>
      </c>
      <c r="E471" t="s">
        <v>34</v>
      </c>
      <c r="F471" t="s">
        <v>29</v>
      </c>
      <c r="G471">
        <v>18</v>
      </c>
      <c r="H471" t="s">
        <v>31</v>
      </c>
      <c r="I471">
        <v>35</v>
      </c>
      <c r="J471">
        <v>883.32</v>
      </c>
      <c r="K471">
        <f t="shared" si="9"/>
        <v>15899.76</v>
      </c>
    </row>
    <row r="472" spans="1:11" x14ac:dyDescent="0.35">
      <c r="A472" t="s">
        <v>673</v>
      </c>
      <c r="B472" s="1">
        <v>45037</v>
      </c>
      <c r="C472" t="s">
        <v>23</v>
      </c>
      <c r="D472" t="s">
        <v>24</v>
      </c>
      <c r="E472" t="s">
        <v>45</v>
      </c>
      <c r="F472" t="s">
        <v>18</v>
      </c>
      <c r="G472">
        <v>5</v>
      </c>
      <c r="H472" t="s">
        <v>36</v>
      </c>
      <c r="I472">
        <v>21</v>
      </c>
      <c r="J472">
        <v>3181.48</v>
      </c>
      <c r="K472">
        <f t="shared" si="9"/>
        <v>15907.4</v>
      </c>
    </row>
    <row r="473" spans="1:11" x14ac:dyDescent="0.35">
      <c r="A473" t="s">
        <v>674</v>
      </c>
      <c r="B473" s="1">
        <v>45134</v>
      </c>
      <c r="C473" t="s">
        <v>10</v>
      </c>
      <c r="D473" t="s">
        <v>11</v>
      </c>
      <c r="E473" t="s">
        <v>27</v>
      </c>
      <c r="F473" t="s">
        <v>35</v>
      </c>
      <c r="G473">
        <v>12</v>
      </c>
      <c r="H473" t="s">
        <v>14</v>
      </c>
      <c r="I473">
        <v>23</v>
      </c>
      <c r="J473">
        <v>1333.81</v>
      </c>
      <c r="K473">
        <f t="shared" si="9"/>
        <v>16005.72</v>
      </c>
    </row>
    <row r="474" spans="1:11" x14ac:dyDescent="0.35">
      <c r="A474" t="s">
        <v>675</v>
      </c>
      <c r="B474" s="1">
        <v>45265</v>
      </c>
      <c r="C474" t="s">
        <v>10</v>
      </c>
      <c r="D474" t="s">
        <v>11</v>
      </c>
      <c r="E474" t="s">
        <v>27</v>
      </c>
      <c r="F474" t="s">
        <v>18</v>
      </c>
      <c r="G474">
        <v>4</v>
      </c>
      <c r="H474" t="s">
        <v>36</v>
      </c>
      <c r="I474">
        <v>51</v>
      </c>
      <c r="J474">
        <v>4020.65</v>
      </c>
      <c r="K474">
        <f t="shared" si="9"/>
        <v>16082.6</v>
      </c>
    </row>
    <row r="475" spans="1:11" x14ac:dyDescent="0.35">
      <c r="A475" t="s">
        <v>676</v>
      </c>
      <c r="B475" s="1">
        <v>45068</v>
      </c>
      <c r="C475" t="s">
        <v>15</v>
      </c>
      <c r="D475" t="s">
        <v>19</v>
      </c>
      <c r="E475" t="s">
        <v>22</v>
      </c>
      <c r="F475" t="s">
        <v>29</v>
      </c>
      <c r="G475">
        <v>17</v>
      </c>
      <c r="H475" t="s">
        <v>14</v>
      </c>
      <c r="I475">
        <v>47</v>
      </c>
      <c r="J475">
        <v>947.7</v>
      </c>
      <c r="K475">
        <f t="shared" si="9"/>
        <v>16110.900000000001</v>
      </c>
    </row>
    <row r="476" spans="1:11" x14ac:dyDescent="0.35">
      <c r="A476" t="s">
        <v>677</v>
      </c>
      <c r="B476" s="1">
        <v>44945</v>
      </c>
      <c r="C476" t="s">
        <v>23</v>
      </c>
      <c r="D476" t="s">
        <v>24</v>
      </c>
      <c r="E476" t="s">
        <v>25</v>
      </c>
      <c r="F476" t="s">
        <v>35</v>
      </c>
      <c r="G476">
        <v>8</v>
      </c>
      <c r="H476" t="s">
        <v>37</v>
      </c>
      <c r="I476">
        <v>41</v>
      </c>
      <c r="J476">
        <v>2019.04</v>
      </c>
      <c r="K476">
        <f t="shared" si="9"/>
        <v>16152.32</v>
      </c>
    </row>
    <row r="477" spans="1:11" x14ac:dyDescent="0.35">
      <c r="A477" t="s">
        <v>678</v>
      </c>
      <c r="B477" s="1">
        <v>45238</v>
      </c>
      <c r="C477" t="s">
        <v>15</v>
      </c>
      <c r="D477" t="s">
        <v>19</v>
      </c>
      <c r="E477" t="s">
        <v>20</v>
      </c>
      <c r="F477" t="s">
        <v>29</v>
      </c>
      <c r="G477">
        <v>4</v>
      </c>
      <c r="H477" t="s">
        <v>33</v>
      </c>
      <c r="I477">
        <v>45</v>
      </c>
      <c r="J477">
        <v>4058.48</v>
      </c>
      <c r="K477">
        <f t="shared" si="9"/>
        <v>16233.92</v>
      </c>
    </row>
    <row r="478" spans="1:11" x14ac:dyDescent="0.35">
      <c r="A478" t="s">
        <v>679</v>
      </c>
      <c r="B478" s="1">
        <v>45199</v>
      </c>
      <c r="C478" t="s">
        <v>10</v>
      </c>
      <c r="D478" t="s">
        <v>11</v>
      </c>
      <c r="E478" t="s">
        <v>12</v>
      </c>
      <c r="F478" t="s">
        <v>13</v>
      </c>
      <c r="G478">
        <v>12</v>
      </c>
      <c r="H478" t="s">
        <v>195</v>
      </c>
      <c r="I478">
        <v>33</v>
      </c>
      <c r="J478">
        <v>1352.89</v>
      </c>
      <c r="K478">
        <f t="shared" si="9"/>
        <v>16234.68</v>
      </c>
    </row>
    <row r="479" spans="1:11" x14ac:dyDescent="0.35">
      <c r="A479" t="s">
        <v>680</v>
      </c>
      <c r="B479" s="1">
        <v>45001</v>
      </c>
      <c r="C479" t="s">
        <v>15</v>
      </c>
      <c r="D479" t="s">
        <v>19</v>
      </c>
      <c r="E479" t="s">
        <v>20</v>
      </c>
      <c r="F479" t="s">
        <v>29</v>
      </c>
      <c r="G479">
        <v>9</v>
      </c>
      <c r="H479" t="s">
        <v>28</v>
      </c>
      <c r="I479">
        <v>32</v>
      </c>
      <c r="J479">
        <v>1805.32</v>
      </c>
      <c r="K479">
        <f t="shared" si="9"/>
        <v>16247.88</v>
      </c>
    </row>
    <row r="480" spans="1:11" x14ac:dyDescent="0.35">
      <c r="A480" t="s">
        <v>681</v>
      </c>
      <c r="B480" s="1">
        <v>45233</v>
      </c>
      <c r="C480" t="s">
        <v>10</v>
      </c>
      <c r="D480" t="s">
        <v>11</v>
      </c>
      <c r="E480" t="s">
        <v>27</v>
      </c>
      <c r="F480" t="s">
        <v>13</v>
      </c>
      <c r="G480">
        <v>5</v>
      </c>
      <c r="H480" t="s">
        <v>96</v>
      </c>
      <c r="I480">
        <v>25</v>
      </c>
      <c r="J480">
        <v>3259.3</v>
      </c>
      <c r="K480">
        <f t="shared" si="9"/>
        <v>16296.5</v>
      </c>
    </row>
    <row r="481" spans="1:11" x14ac:dyDescent="0.35">
      <c r="A481" t="s">
        <v>682</v>
      </c>
      <c r="B481" s="1">
        <v>45241</v>
      </c>
      <c r="C481" t="s">
        <v>10</v>
      </c>
      <c r="D481" t="s">
        <v>38</v>
      </c>
      <c r="E481" t="s">
        <v>42</v>
      </c>
      <c r="F481" t="s">
        <v>29</v>
      </c>
      <c r="G481">
        <v>16</v>
      </c>
      <c r="H481" t="s">
        <v>33</v>
      </c>
      <c r="I481">
        <v>28</v>
      </c>
      <c r="J481">
        <v>1023.78</v>
      </c>
      <c r="K481">
        <f t="shared" si="9"/>
        <v>16380.48</v>
      </c>
    </row>
    <row r="482" spans="1:11" x14ac:dyDescent="0.35">
      <c r="A482" t="s">
        <v>683</v>
      </c>
      <c r="B482" s="1">
        <v>44992</v>
      </c>
      <c r="C482" t="s">
        <v>10</v>
      </c>
      <c r="D482" t="s">
        <v>38</v>
      </c>
      <c r="E482" t="s">
        <v>40</v>
      </c>
      <c r="F482" t="s">
        <v>18</v>
      </c>
      <c r="G482">
        <v>16</v>
      </c>
      <c r="H482" t="s">
        <v>14</v>
      </c>
      <c r="I482">
        <v>50</v>
      </c>
      <c r="J482">
        <v>1025.8</v>
      </c>
      <c r="K482">
        <f t="shared" si="9"/>
        <v>16412.8</v>
      </c>
    </row>
    <row r="483" spans="1:11" x14ac:dyDescent="0.35">
      <c r="A483" t="s">
        <v>684</v>
      </c>
      <c r="B483" s="1">
        <v>45222</v>
      </c>
      <c r="C483" t="s">
        <v>15</v>
      </c>
      <c r="D483" t="s">
        <v>19</v>
      </c>
      <c r="E483" t="s">
        <v>22</v>
      </c>
      <c r="F483" t="s">
        <v>18</v>
      </c>
      <c r="G483">
        <v>18</v>
      </c>
      <c r="H483" t="s">
        <v>195</v>
      </c>
      <c r="I483">
        <v>23</v>
      </c>
      <c r="J483">
        <v>913.13</v>
      </c>
      <c r="K483">
        <f t="shared" si="9"/>
        <v>16436.34</v>
      </c>
    </row>
    <row r="484" spans="1:11" x14ac:dyDescent="0.35">
      <c r="A484" t="s">
        <v>685</v>
      </c>
      <c r="B484" s="1">
        <v>45229</v>
      </c>
      <c r="C484" t="s">
        <v>10</v>
      </c>
      <c r="D484" t="s">
        <v>11</v>
      </c>
      <c r="E484" t="s">
        <v>12</v>
      </c>
      <c r="F484" t="s">
        <v>18</v>
      </c>
      <c r="G484">
        <v>5</v>
      </c>
      <c r="H484" t="s">
        <v>26</v>
      </c>
      <c r="I484">
        <v>19</v>
      </c>
      <c r="J484">
        <v>3288.58</v>
      </c>
      <c r="K484">
        <f t="shared" si="9"/>
        <v>16442.900000000001</v>
      </c>
    </row>
    <row r="485" spans="1:11" x14ac:dyDescent="0.35">
      <c r="A485" t="s">
        <v>686</v>
      </c>
      <c r="B485" s="1">
        <v>45012</v>
      </c>
      <c r="C485" t="s">
        <v>10</v>
      </c>
      <c r="D485" t="s">
        <v>38</v>
      </c>
      <c r="E485" t="s">
        <v>42</v>
      </c>
      <c r="F485" t="s">
        <v>13</v>
      </c>
      <c r="G485">
        <v>15</v>
      </c>
      <c r="H485" t="s">
        <v>36</v>
      </c>
      <c r="I485">
        <v>55</v>
      </c>
      <c r="J485">
        <v>1098.31</v>
      </c>
      <c r="K485">
        <f t="shared" si="9"/>
        <v>16474.649999999998</v>
      </c>
    </row>
    <row r="486" spans="1:11" x14ac:dyDescent="0.35">
      <c r="A486" t="s">
        <v>687</v>
      </c>
      <c r="B486" s="1">
        <v>45089</v>
      </c>
      <c r="C486" t="s">
        <v>23</v>
      </c>
      <c r="D486" t="s">
        <v>24</v>
      </c>
      <c r="E486" t="s">
        <v>25</v>
      </c>
      <c r="F486" t="s">
        <v>29</v>
      </c>
      <c r="G486">
        <v>12</v>
      </c>
      <c r="H486" t="s">
        <v>28</v>
      </c>
      <c r="I486">
        <v>16</v>
      </c>
      <c r="J486">
        <v>1377.41</v>
      </c>
      <c r="K486">
        <f t="shared" si="9"/>
        <v>16528.920000000002</v>
      </c>
    </row>
    <row r="487" spans="1:11" x14ac:dyDescent="0.35">
      <c r="A487" t="s">
        <v>688</v>
      </c>
      <c r="B487" s="1">
        <v>45636</v>
      </c>
      <c r="C487" t="s">
        <v>23</v>
      </c>
      <c r="D487" t="s">
        <v>24</v>
      </c>
      <c r="E487" t="s">
        <v>25</v>
      </c>
      <c r="F487" t="s">
        <v>29</v>
      </c>
      <c r="G487">
        <v>12</v>
      </c>
      <c r="H487" t="s">
        <v>28</v>
      </c>
      <c r="I487">
        <v>16</v>
      </c>
      <c r="J487">
        <v>1377.41</v>
      </c>
      <c r="K487">
        <f t="shared" si="9"/>
        <v>16528.920000000002</v>
      </c>
    </row>
    <row r="488" spans="1:11" x14ac:dyDescent="0.35">
      <c r="A488" t="s">
        <v>689</v>
      </c>
      <c r="B488" s="1">
        <v>44963</v>
      </c>
      <c r="C488" t="s">
        <v>23</v>
      </c>
      <c r="D488" t="s">
        <v>24</v>
      </c>
      <c r="E488" t="s">
        <v>44</v>
      </c>
      <c r="F488" t="s">
        <v>18</v>
      </c>
      <c r="G488">
        <v>6</v>
      </c>
      <c r="H488" t="s">
        <v>97</v>
      </c>
      <c r="I488">
        <v>26</v>
      </c>
      <c r="J488">
        <v>2772.51</v>
      </c>
      <c r="K488">
        <f t="shared" si="9"/>
        <v>16635.060000000001</v>
      </c>
    </row>
    <row r="489" spans="1:11" x14ac:dyDescent="0.35">
      <c r="A489" t="s">
        <v>690</v>
      </c>
      <c r="B489" s="1">
        <v>45179</v>
      </c>
      <c r="C489" t="s">
        <v>10</v>
      </c>
      <c r="D489" t="s">
        <v>11</v>
      </c>
      <c r="E489" t="s">
        <v>27</v>
      </c>
      <c r="F489" t="s">
        <v>18</v>
      </c>
      <c r="G489">
        <v>7</v>
      </c>
      <c r="H489" t="s">
        <v>28</v>
      </c>
      <c r="I489">
        <v>39</v>
      </c>
      <c r="J489">
        <v>2384.5100000000002</v>
      </c>
      <c r="K489">
        <f t="shared" si="9"/>
        <v>16691.57</v>
      </c>
    </row>
    <row r="490" spans="1:11" x14ac:dyDescent="0.35">
      <c r="A490" t="s">
        <v>691</v>
      </c>
      <c r="B490" s="1">
        <v>45229</v>
      </c>
      <c r="C490" t="s">
        <v>10</v>
      </c>
      <c r="D490" t="s">
        <v>11</v>
      </c>
      <c r="E490" t="s">
        <v>12</v>
      </c>
      <c r="F490" t="s">
        <v>35</v>
      </c>
      <c r="G490">
        <v>15</v>
      </c>
      <c r="H490" t="s">
        <v>14</v>
      </c>
      <c r="I490">
        <v>49</v>
      </c>
      <c r="J490">
        <v>1113.76</v>
      </c>
      <c r="K490">
        <f t="shared" si="9"/>
        <v>16706.400000000001</v>
      </c>
    </row>
    <row r="491" spans="1:11" x14ac:dyDescent="0.35">
      <c r="A491" t="s">
        <v>692</v>
      </c>
      <c r="B491" s="1">
        <v>45167</v>
      </c>
      <c r="C491" t="s">
        <v>10</v>
      </c>
      <c r="D491" t="s">
        <v>11</v>
      </c>
      <c r="E491" t="s">
        <v>27</v>
      </c>
      <c r="F491" t="s">
        <v>21</v>
      </c>
      <c r="G491">
        <v>5</v>
      </c>
      <c r="H491" t="s">
        <v>14</v>
      </c>
      <c r="I491">
        <v>37</v>
      </c>
      <c r="J491">
        <v>3342.48</v>
      </c>
      <c r="K491">
        <f t="shared" si="9"/>
        <v>16712.400000000001</v>
      </c>
    </row>
    <row r="492" spans="1:11" x14ac:dyDescent="0.35">
      <c r="A492" t="s">
        <v>693</v>
      </c>
      <c r="B492" s="1">
        <v>44963</v>
      </c>
      <c r="C492" t="s">
        <v>15</v>
      </c>
      <c r="D492" t="s">
        <v>16</v>
      </c>
      <c r="E492" t="s">
        <v>43</v>
      </c>
      <c r="F492" t="s">
        <v>13</v>
      </c>
      <c r="G492">
        <v>8</v>
      </c>
      <c r="H492" t="s">
        <v>195</v>
      </c>
      <c r="I492">
        <v>46</v>
      </c>
      <c r="J492">
        <v>2112.66</v>
      </c>
      <c r="K492">
        <f t="shared" si="9"/>
        <v>16901.28</v>
      </c>
    </row>
    <row r="493" spans="1:11" x14ac:dyDescent="0.35">
      <c r="A493" t="s">
        <v>694</v>
      </c>
      <c r="B493" s="1">
        <v>44980</v>
      </c>
      <c r="C493" t="s">
        <v>10</v>
      </c>
      <c r="D493" t="s">
        <v>11</v>
      </c>
      <c r="E493" t="s">
        <v>27</v>
      </c>
      <c r="F493" t="s">
        <v>29</v>
      </c>
      <c r="G493">
        <v>4</v>
      </c>
      <c r="H493" t="s">
        <v>96</v>
      </c>
      <c r="I493">
        <v>28</v>
      </c>
      <c r="J493">
        <v>4245.67</v>
      </c>
      <c r="K493">
        <f t="shared" si="9"/>
        <v>16982.68</v>
      </c>
    </row>
    <row r="494" spans="1:11" x14ac:dyDescent="0.35">
      <c r="A494" t="s">
        <v>695</v>
      </c>
      <c r="B494" s="1">
        <v>45283</v>
      </c>
      <c r="C494" t="s">
        <v>10</v>
      </c>
      <c r="D494" t="s">
        <v>38</v>
      </c>
      <c r="E494" t="s">
        <v>39</v>
      </c>
      <c r="F494" t="s">
        <v>35</v>
      </c>
      <c r="G494">
        <v>14</v>
      </c>
      <c r="H494" t="s">
        <v>37</v>
      </c>
      <c r="I494">
        <v>18</v>
      </c>
      <c r="J494">
        <v>1215.6199999999999</v>
      </c>
      <c r="K494">
        <f t="shared" si="9"/>
        <v>17018.68</v>
      </c>
    </row>
    <row r="495" spans="1:11" x14ac:dyDescent="0.35">
      <c r="A495" t="s">
        <v>696</v>
      </c>
      <c r="B495" s="1">
        <v>44980</v>
      </c>
      <c r="C495" t="s">
        <v>23</v>
      </c>
      <c r="D495" t="s">
        <v>24</v>
      </c>
      <c r="E495" t="s">
        <v>25</v>
      </c>
      <c r="F495" t="s">
        <v>29</v>
      </c>
      <c r="G495">
        <v>5</v>
      </c>
      <c r="H495" t="s">
        <v>33</v>
      </c>
      <c r="I495">
        <v>47</v>
      </c>
      <c r="J495">
        <v>3404.87</v>
      </c>
      <c r="K495">
        <f t="shared" si="9"/>
        <v>17024.349999999999</v>
      </c>
    </row>
    <row r="496" spans="1:11" x14ac:dyDescent="0.35">
      <c r="A496" t="s">
        <v>697</v>
      </c>
      <c r="B496" s="1">
        <v>45205</v>
      </c>
      <c r="C496" t="s">
        <v>10</v>
      </c>
      <c r="D496" t="s">
        <v>38</v>
      </c>
      <c r="E496" t="s">
        <v>40</v>
      </c>
      <c r="F496" t="s">
        <v>21</v>
      </c>
      <c r="G496">
        <v>4</v>
      </c>
      <c r="H496" t="s">
        <v>30</v>
      </c>
      <c r="I496">
        <v>50</v>
      </c>
      <c r="J496">
        <v>4317.2</v>
      </c>
      <c r="K496">
        <f t="shared" si="9"/>
        <v>17268.8</v>
      </c>
    </row>
    <row r="497" spans="1:11" x14ac:dyDescent="0.35">
      <c r="A497" t="s">
        <v>698</v>
      </c>
      <c r="B497" s="1">
        <v>44964</v>
      </c>
      <c r="C497" t="s">
        <v>15</v>
      </c>
      <c r="D497" t="s">
        <v>16</v>
      </c>
      <c r="E497" t="s">
        <v>43</v>
      </c>
      <c r="F497" t="s">
        <v>13</v>
      </c>
      <c r="G497">
        <v>4</v>
      </c>
      <c r="H497" t="s">
        <v>28</v>
      </c>
      <c r="I497">
        <v>51</v>
      </c>
      <c r="J497">
        <v>4337.09</v>
      </c>
      <c r="K497">
        <f t="shared" si="9"/>
        <v>17348.36</v>
      </c>
    </row>
    <row r="498" spans="1:11" x14ac:dyDescent="0.35">
      <c r="A498" t="s">
        <v>699</v>
      </c>
      <c r="B498" s="1">
        <v>45076</v>
      </c>
      <c r="C498" t="s">
        <v>10</v>
      </c>
      <c r="D498" t="s">
        <v>11</v>
      </c>
      <c r="E498" t="s">
        <v>41</v>
      </c>
      <c r="F498" t="s">
        <v>29</v>
      </c>
      <c r="G498">
        <v>4</v>
      </c>
      <c r="H498" t="s">
        <v>31</v>
      </c>
      <c r="I498">
        <v>32</v>
      </c>
      <c r="J498">
        <v>4368.46</v>
      </c>
      <c r="K498">
        <f t="shared" si="9"/>
        <v>17473.84</v>
      </c>
    </row>
    <row r="499" spans="1:11" x14ac:dyDescent="0.35">
      <c r="A499" t="s">
        <v>700</v>
      </c>
      <c r="B499" s="1">
        <v>45225</v>
      </c>
      <c r="C499" t="s">
        <v>10</v>
      </c>
      <c r="D499" t="s">
        <v>11</v>
      </c>
      <c r="E499" t="s">
        <v>12</v>
      </c>
      <c r="F499" t="s">
        <v>13</v>
      </c>
      <c r="G499">
        <v>4</v>
      </c>
      <c r="H499" t="s">
        <v>14</v>
      </c>
      <c r="I499">
        <v>18</v>
      </c>
      <c r="J499">
        <v>4386.54</v>
      </c>
      <c r="K499">
        <f t="shared" si="9"/>
        <v>17546.16</v>
      </c>
    </row>
    <row r="500" spans="1:11" x14ac:dyDescent="0.35">
      <c r="A500" t="s">
        <v>701</v>
      </c>
      <c r="B500" s="1">
        <v>44962</v>
      </c>
      <c r="C500" t="s">
        <v>15</v>
      </c>
      <c r="D500" t="s">
        <v>19</v>
      </c>
      <c r="E500" t="s">
        <v>32</v>
      </c>
      <c r="F500" t="s">
        <v>13</v>
      </c>
      <c r="G500">
        <v>14</v>
      </c>
      <c r="H500" t="s">
        <v>14</v>
      </c>
      <c r="I500">
        <v>50</v>
      </c>
      <c r="J500">
        <v>1273.8399999999999</v>
      </c>
      <c r="K500">
        <f t="shared" si="9"/>
        <v>17833.759999999998</v>
      </c>
    </row>
    <row r="501" spans="1:11" x14ac:dyDescent="0.35">
      <c r="A501" t="s">
        <v>702</v>
      </c>
      <c r="B501" s="1">
        <v>45286</v>
      </c>
      <c r="C501" t="s">
        <v>15</v>
      </c>
      <c r="D501" t="s">
        <v>19</v>
      </c>
      <c r="E501" t="s">
        <v>32</v>
      </c>
      <c r="F501" t="s">
        <v>29</v>
      </c>
      <c r="G501">
        <v>7</v>
      </c>
      <c r="H501" t="s">
        <v>37</v>
      </c>
      <c r="I501">
        <v>37</v>
      </c>
      <c r="J501">
        <v>2557.77</v>
      </c>
      <c r="K501">
        <f t="shared" si="9"/>
        <v>17904.39</v>
      </c>
    </row>
    <row r="502" spans="1:11" x14ac:dyDescent="0.35">
      <c r="A502" t="s">
        <v>703</v>
      </c>
      <c r="B502" s="1">
        <v>45158</v>
      </c>
      <c r="C502" t="s">
        <v>15</v>
      </c>
      <c r="D502" t="s">
        <v>16</v>
      </c>
      <c r="E502" t="s">
        <v>17</v>
      </c>
      <c r="F502" t="s">
        <v>21</v>
      </c>
      <c r="G502">
        <v>7</v>
      </c>
      <c r="H502" t="s">
        <v>96</v>
      </c>
      <c r="I502">
        <v>44</v>
      </c>
      <c r="J502">
        <v>2560.5</v>
      </c>
      <c r="K502">
        <f t="shared" si="9"/>
        <v>17923.5</v>
      </c>
    </row>
    <row r="503" spans="1:11" x14ac:dyDescent="0.35">
      <c r="A503" t="s">
        <v>704</v>
      </c>
      <c r="B503" s="1">
        <v>45245</v>
      </c>
      <c r="C503" t="s">
        <v>10</v>
      </c>
      <c r="D503" t="s">
        <v>38</v>
      </c>
      <c r="E503" t="s">
        <v>42</v>
      </c>
      <c r="F503" t="s">
        <v>35</v>
      </c>
      <c r="G503">
        <v>5</v>
      </c>
      <c r="H503" t="s">
        <v>31</v>
      </c>
      <c r="I503">
        <v>55</v>
      </c>
      <c r="J503">
        <v>3619.58</v>
      </c>
      <c r="K503">
        <f t="shared" si="9"/>
        <v>18097.900000000001</v>
      </c>
    </row>
    <row r="504" spans="1:11" x14ac:dyDescent="0.35">
      <c r="A504" t="s">
        <v>705</v>
      </c>
      <c r="B504" s="1">
        <v>44940</v>
      </c>
      <c r="C504" t="s">
        <v>15</v>
      </c>
      <c r="D504" t="s">
        <v>19</v>
      </c>
      <c r="E504" t="s">
        <v>20</v>
      </c>
      <c r="F504" t="s">
        <v>35</v>
      </c>
      <c r="G504">
        <v>14</v>
      </c>
      <c r="H504" t="s">
        <v>33</v>
      </c>
      <c r="I504">
        <v>16</v>
      </c>
      <c r="J504">
        <v>1293.27</v>
      </c>
      <c r="K504">
        <f t="shared" si="9"/>
        <v>18105.78</v>
      </c>
    </row>
    <row r="505" spans="1:11" x14ac:dyDescent="0.35">
      <c r="A505" t="s">
        <v>706</v>
      </c>
      <c r="B505" s="1">
        <v>44938</v>
      </c>
      <c r="C505" t="s">
        <v>10</v>
      </c>
      <c r="D505" t="s">
        <v>38</v>
      </c>
      <c r="E505" t="s">
        <v>40</v>
      </c>
      <c r="F505" t="s">
        <v>13</v>
      </c>
      <c r="G505">
        <v>5</v>
      </c>
      <c r="H505" t="s">
        <v>96</v>
      </c>
      <c r="I505">
        <v>25</v>
      </c>
      <c r="J505">
        <v>3631.01</v>
      </c>
      <c r="K505">
        <f t="shared" si="9"/>
        <v>18155.050000000003</v>
      </c>
    </row>
    <row r="506" spans="1:11" x14ac:dyDescent="0.35">
      <c r="A506" t="s">
        <v>707</v>
      </c>
      <c r="B506" s="1">
        <v>45037</v>
      </c>
      <c r="C506" t="s">
        <v>15</v>
      </c>
      <c r="D506" t="s">
        <v>16</v>
      </c>
      <c r="E506" t="s">
        <v>34</v>
      </c>
      <c r="F506" t="s">
        <v>13</v>
      </c>
      <c r="G506">
        <v>17</v>
      </c>
      <c r="H506" t="s">
        <v>195</v>
      </c>
      <c r="I506">
        <v>49</v>
      </c>
      <c r="J506">
        <v>1071.3</v>
      </c>
      <c r="K506">
        <f t="shared" si="9"/>
        <v>18212.099999999999</v>
      </c>
    </row>
    <row r="507" spans="1:11" x14ac:dyDescent="0.35">
      <c r="A507" t="s">
        <v>708</v>
      </c>
      <c r="B507" s="1">
        <v>45083</v>
      </c>
      <c r="C507" t="s">
        <v>10</v>
      </c>
      <c r="D507" t="s">
        <v>38</v>
      </c>
      <c r="E507" t="s">
        <v>40</v>
      </c>
      <c r="F507" t="s">
        <v>29</v>
      </c>
      <c r="G507">
        <v>6</v>
      </c>
      <c r="H507" t="s">
        <v>37</v>
      </c>
      <c r="I507">
        <v>55</v>
      </c>
      <c r="J507">
        <v>3051.1</v>
      </c>
      <c r="K507">
        <f t="shared" si="9"/>
        <v>18306.599999999999</v>
      </c>
    </row>
    <row r="508" spans="1:11" x14ac:dyDescent="0.35">
      <c r="A508" t="s">
        <v>709</v>
      </c>
      <c r="B508" s="1">
        <v>45090</v>
      </c>
      <c r="C508" t="s">
        <v>15</v>
      </c>
      <c r="D508" t="s">
        <v>16</v>
      </c>
      <c r="E508" t="s">
        <v>17</v>
      </c>
      <c r="F508" t="s">
        <v>13</v>
      </c>
      <c r="G508">
        <v>5</v>
      </c>
      <c r="H508" t="s">
        <v>33</v>
      </c>
      <c r="I508">
        <v>16</v>
      </c>
      <c r="J508">
        <v>3701.17</v>
      </c>
      <c r="K508">
        <f t="shared" si="9"/>
        <v>18505.849999999999</v>
      </c>
    </row>
    <row r="509" spans="1:11" x14ac:dyDescent="0.35">
      <c r="A509" t="s">
        <v>710</v>
      </c>
      <c r="B509" s="1">
        <v>44996</v>
      </c>
      <c r="C509" t="s">
        <v>10</v>
      </c>
      <c r="D509" t="s">
        <v>11</v>
      </c>
      <c r="E509" t="s">
        <v>27</v>
      </c>
      <c r="F509" t="s">
        <v>18</v>
      </c>
      <c r="G509">
        <v>5</v>
      </c>
      <c r="H509" t="s">
        <v>28</v>
      </c>
      <c r="I509">
        <v>40</v>
      </c>
      <c r="J509">
        <v>3732.82</v>
      </c>
      <c r="K509">
        <f t="shared" si="9"/>
        <v>18664.100000000002</v>
      </c>
    </row>
    <row r="510" spans="1:11" x14ac:dyDescent="0.35">
      <c r="A510" t="s">
        <v>711</v>
      </c>
      <c r="B510" s="1">
        <v>45612</v>
      </c>
      <c r="C510" t="s">
        <v>10</v>
      </c>
      <c r="D510" t="s">
        <v>11</v>
      </c>
      <c r="E510" t="s">
        <v>27</v>
      </c>
      <c r="F510" t="s">
        <v>18</v>
      </c>
      <c r="G510">
        <v>5</v>
      </c>
      <c r="H510" t="s">
        <v>28</v>
      </c>
      <c r="I510">
        <v>40</v>
      </c>
      <c r="J510">
        <v>3732.82</v>
      </c>
      <c r="K510">
        <f t="shared" si="9"/>
        <v>18664.100000000002</v>
      </c>
    </row>
    <row r="511" spans="1:11" x14ac:dyDescent="0.35">
      <c r="A511" t="s">
        <v>712</v>
      </c>
      <c r="B511" s="1">
        <v>44958</v>
      </c>
      <c r="C511" t="s">
        <v>15</v>
      </c>
      <c r="D511" t="s">
        <v>16</v>
      </c>
      <c r="E511" t="s">
        <v>43</v>
      </c>
      <c r="F511" t="s">
        <v>21</v>
      </c>
      <c r="G511">
        <v>6</v>
      </c>
      <c r="H511" t="s">
        <v>14</v>
      </c>
      <c r="I511">
        <v>19</v>
      </c>
      <c r="J511">
        <v>3116.12</v>
      </c>
      <c r="K511">
        <f t="shared" si="9"/>
        <v>18696.72</v>
      </c>
    </row>
    <row r="512" spans="1:11" x14ac:dyDescent="0.35">
      <c r="A512" t="s">
        <v>713</v>
      </c>
      <c r="B512" s="1">
        <v>45081</v>
      </c>
      <c r="C512" t="s">
        <v>15</v>
      </c>
      <c r="D512" t="s">
        <v>19</v>
      </c>
      <c r="E512" t="s">
        <v>22</v>
      </c>
      <c r="F512" t="s">
        <v>18</v>
      </c>
      <c r="G512">
        <v>11</v>
      </c>
      <c r="H512" t="s">
        <v>28</v>
      </c>
      <c r="I512">
        <v>42</v>
      </c>
      <c r="J512">
        <v>1703.12</v>
      </c>
      <c r="K512">
        <f t="shared" si="9"/>
        <v>18734.32</v>
      </c>
    </row>
    <row r="513" spans="1:11" x14ac:dyDescent="0.35">
      <c r="A513" t="s">
        <v>714</v>
      </c>
      <c r="B513" s="1">
        <v>45111</v>
      </c>
      <c r="C513" t="s">
        <v>15</v>
      </c>
      <c r="D513" t="s">
        <v>16</v>
      </c>
      <c r="E513" t="s">
        <v>43</v>
      </c>
      <c r="F513" t="s">
        <v>21</v>
      </c>
      <c r="G513">
        <v>8</v>
      </c>
      <c r="H513" t="s">
        <v>33</v>
      </c>
      <c r="I513">
        <v>23</v>
      </c>
      <c r="J513">
        <v>2342.02</v>
      </c>
      <c r="K513">
        <f t="shared" si="9"/>
        <v>18736.16</v>
      </c>
    </row>
    <row r="514" spans="1:11" x14ac:dyDescent="0.35">
      <c r="A514" t="s">
        <v>715</v>
      </c>
      <c r="B514" s="1">
        <v>45639</v>
      </c>
      <c r="C514" t="s">
        <v>15</v>
      </c>
      <c r="D514" t="s">
        <v>16</v>
      </c>
      <c r="E514" t="s">
        <v>43</v>
      </c>
      <c r="F514" t="s">
        <v>21</v>
      </c>
      <c r="G514">
        <v>8</v>
      </c>
      <c r="H514" t="s">
        <v>195</v>
      </c>
      <c r="I514">
        <v>23</v>
      </c>
      <c r="J514">
        <v>2342.02</v>
      </c>
      <c r="K514">
        <f t="shared" ref="K514:K577" si="10">G514*J514</f>
        <v>18736.16</v>
      </c>
    </row>
    <row r="515" spans="1:11" x14ac:dyDescent="0.35">
      <c r="A515" t="s">
        <v>716</v>
      </c>
      <c r="B515" s="1">
        <v>45010</v>
      </c>
      <c r="C515" t="s">
        <v>23</v>
      </c>
      <c r="D515" t="s">
        <v>24</v>
      </c>
      <c r="E515" t="s">
        <v>45</v>
      </c>
      <c r="F515" t="s">
        <v>18</v>
      </c>
      <c r="G515">
        <v>6</v>
      </c>
      <c r="H515" t="s">
        <v>30</v>
      </c>
      <c r="I515">
        <v>26</v>
      </c>
      <c r="J515">
        <v>3125.31</v>
      </c>
      <c r="K515">
        <f t="shared" si="10"/>
        <v>18751.86</v>
      </c>
    </row>
    <row r="516" spans="1:11" x14ac:dyDescent="0.35">
      <c r="A516" t="s">
        <v>717</v>
      </c>
      <c r="B516" s="1">
        <v>45195</v>
      </c>
      <c r="C516" t="s">
        <v>10</v>
      </c>
      <c r="D516" t="s">
        <v>38</v>
      </c>
      <c r="E516" t="s">
        <v>40</v>
      </c>
      <c r="F516" t="s">
        <v>18</v>
      </c>
      <c r="G516">
        <v>4</v>
      </c>
      <c r="H516" t="s">
        <v>96</v>
      </c>
      <c r="I516">
        <v>17</v>
      </c>
      <c r="J516">
        <v>4697.07</v>
      </c>
      <c r="K516">
        <f t="shared" si="10"/>
        <v>18788.28</v>
      </c>
    </row>
    <row r="517" spans="1:11" x14ac:dyDescent="0.35">
      <c r="A517" t="s">
        <v>718</v>
      </c>
      <c r="B517" s="1">
        <v>45026</v>
      </c>
      <c r="C517" t="s">
        <v>10</v>
      </c>
      <c r="D517" t="s">
        <v>11</v>
      </c>
      <c r="E517" t="s">
        <v>12</v>
      </c>
      <c r="F517" t="s">
        <v>35</v>
      </c>
      <c r="G517">
        <v>11</v>
      </c>
      <c r="H517" t="s">
        <v>26</v>
      </c>
      <c r="I517">
        <v>53</v>
      </c>
      <c r="J517">
        <v>1708.99</v>
      </c>
      <c r="K517">
        <f t="shared" si="10"/>
        <v>18798.89</v>
      </c>
    </row>
    <row r="518" spans="1:11" x14ac:dyDescent="0.35">
      <c r="A518" t="s">
        <v>719</v>
      </c>
      <c r="B518" s="1">
        <v>44960</v>
      </c>
      <c r="C518" t="s">
        <v>10</v>
      </c>
      <c r="D518" t="s">
        <v>38</v>
      </c>
      <c r="E518" t="s">
        <v>42</v>
      </c>
      <c r="F518" t="s">
        <v>21</v>
      </c>
      <c r="G518">
        <v>5</v>
      </c>
      <c r="H518" t="s">
        <v>28</v>
      </c>
      <c r="I518">
        <v>29</v>
      </c>
      <c r="J518">
        <v>3770.46</v>
      </c>
      <c r="K518">
        <f t="shared" si="10"/>
        <v>18852.3</v>
      </c>
    </row>
    <row r="519" spans="1:11" x14ac:dyDescent="0.35">
      <c r="A519" t="s">
        <v>720</v>
      </c>
      <c r="B519" s="1">
        <v>45189</v>
      </c>
      <c r="C519" t="s">
        <v>15</v>
      </c>
      <c r="D519" t="s">
        <v>16</v>
      </c>
      <c r="E519" t="s">
        <v>17</v>
      </c>
      <c r="F519" t="s">
        <v>21</v>
      </c>
      <c r="G519">
        <v>15</v>
      </c>
      <c r="H519" t="s">
        <v>195</v>
      </c>
      <c r="I519">
        <v>21</v>
      </c>
      <c r="J519">
        <v>1259.1600000000001</v>
      </c>
      <c r="K519">
        <f t="shared" si="10"/>
        <v>18887.400000000001</v>
      </c>
    </row>
    <row r="520" spans="1:11" x14ac:dyDescent="0.35">
      <c r="A520" t="s">
        <v>721</v>
      </c>
      <c r="B520" s="1">
        <v>45026</v>
      </c>
      <c r="C520" t="s">
        <v>15</v>
      </c>
      <c r="D520" t="s">
        <v>19</v>
      </c>
      <c r="E520" t="s">
        <v>32</v>
      </c>
      <c r="F520" t="s">
        <v>18</v>
      </c>
      <c r="G520">
        <v>5</v>
      </c>
      <c r="H520" t="s">
        <v>195</v>
      </c>
      <c r="I520">
        <v>28</v>
      </c>
      <c r="J520">
        <v>3786.28</v>
      </c>
      <c r="K520">
        <f t="shared" si="10"/>
        <v>18931.400000000001</v>
      </c>
    </row>
    <row r="521" spans="1:11" x14ac:dyDescent="0.35">
      <c r="A521" t="s">
        <v>722</v>
      </c>
      <c r="B521" s="1">
        <v>45187</v>
      </c>
      <c r="C521" t="s">
        <v>15</v>
      </c>
      <c r="D521" t="s">
        <v>19</v>
      </c>
      <c r="E521" t="s">
        <v>22</v>
      </c>
      <c r="F521" t="s">
        <v>29</v>
      </c>
      <c r="G521">
        <v>7</v>
      </c>
      <c r="H521" t="s">
        <v>37</v>
      </c>
      <c r="I521">
        <v>50</v>
      </c>
      <c r="J521">
        <v>2706.33</v>
      </c>
      <c r="K521">
        <f t="shared" si="10"/>
        <v>18944.309999999998</v>
      </c>
    </row>
    <row r="522" spans="1:11" x14ac:dyDescent="0.35">
      <c r="A522" t="s">
        <v>723</v>
      </c>
      <c r="B522" s="1">
        <v>45245</v>
      </c>
      <c r="C522" t="s">
        <v>23</v>
      </c>
      <c r="D522" t="s">
        <v>24</v>
      </c>
      <c r="E522" t="s">
        <v>44</v>
      </c>
      <c r="F522" t="s">
        <v>18</v>
      </c>
      <c r="G522">
        <v>6</v>
      </c>
      <c r="H522" t="s">
        <v>26</v>
      </c>
      <c r="I522">
        <v>36</v>
      </c>
      <c r="J522">
        <v>3175.44</v>
      </c>
      <c r="K522">
        <f t="shared" si="10"/>
        <v>19052.64</v>
      </c>
    </row>
    <row r="523" spans="1:11" x14ac:dyDescent="0.35">
      <c r="A523" t="s">
        <v>724</v>
      </c>
      <c r="B523" s="1">
        <v>45031</v>
      </c>
      <c r="C523" t="s">
        <v>15</v>
      </c>
      <c r="D523" t="s">
        <v>19</v>
      </c>
      <c r="E523" t="s">
        <v>22</v>
      </c>
      <c r="F523" t="s">
        <v>29</v>
      </c>
      <c r="G523">
        <v>13</v>
      </c>
      <c r="H523" t="s">
        <v>36</v>
      </c>
      <c r="I523">
        <v>39</v>
      </c>
      <c r="J523">
        <v>1466.66</v>
      </c>
      <c r="K523">
        <f t="shared" si="10"/>
        <v>19066.580000000002</v>
      </c>
    </row>
    <row r="524" spans="1:11" x14ac:dyDescent="0.35">
      <c r="A524" t="s">
        <v>725</v>
      </c>
      <c r="B524" s="1">
        <v>45121</v>
      </c>
      <c r="C524" t="s">
        <v>23</v>
      </c>
      <c r="D524" t="s">
        <v>24</v>
      </c>
      <c r="E524" t="s">
        <v>25</v>
      </c>
      <c r="F524" t="s">
        <v>35</v>
      </c>
      <c r="G524">
        <v>16</v>
      </c>
      <c r="H524" t="s">
        <v>36</v>
      </c>
      <c r="I524">
        <v>54</v>
      </c>
      <c r="J524">
        <v>1192.3800000000001</v>
      </c>
      <c r="K524">
        <f t="shared" si="10"/>
        <v>19078.080000000002</v>
      </c>
    </row>
    <row r="525" spans="1:11" x14ac:dyDescent="0.35">
      <c r="A525" t="s">
        <v>726</v>
      </c>
      <c r="B525" s="1">
        <v>45038</v>
      </c>
      <c r="C525" t="s">
        <v>15</v>
      </c>
      <c r="D525" t="s">
        <v>19</v>
      </c>
      <c r="E525" t="s">
        <v>32</v>
      </c>
      <c r="F525" t="s">
        <v>35</v>
      </c>
      <c r="G525">
        <v>4</v>
      </c>
      <c r="H525" t="s">
        <v>31</v>
      </c>
      <c r="I525">
        <v>24</v>
      </c>
      <c r="J525">
        <v>4782.74</v>
      </c>
      <c r="K525">
        <f t="shared" si="10"/>
        <v>19130.96</v>
      </c>
    </row>
    <row r="526" spans="1:11" x14ac:dyDescent="0.35">
      <c r="A526" t="s">
        <v>727</v>
      </c>
      <c r="B526" s="1">
        <v>44965</v>
      </c>
      <c r="C526" t="s">
        <v>15</v>
      </c>
      <c r="D526" t="s">
        <v>19</v>
      </c>
      <c r="E526" t="s">
        <v>20</v>
      </c>
      <c r="F526" t="s">
        <v>21</v>
      </c>
      <c r="G526">
        <v>12</v>
      </c>
      <c r="H526" t="s">
        <v>33</v>
      </c>
      <c r="I526">
        <v>31</v>
      </c>
      <c r="J526">
        <v>1608.11</v>
      </c>
      <c r="K526">
        <f t="shared" si="10"/>
        <v>19297.32</v>
      </c>
    </row>
    <row r="527" spans="1:11" x14ac:dyDescent="0.35">
      <c r="A527" t="s">
        <v>728</v>
      </c>
      <c r="B527" s="1">
        <v>45095</v>
      </c>
      <c r="C527" t="s">
        <v>10</v>
      </c>
      <c r="D527" t="s">
        <v>38</v>
      </c>
      <c r="E527" t="s">
        <v>40</v>
      </c>
      <c r="F527" t="s">
        <v>18</v>
      </c>
      <c r="G527">
        <v>5</v>
      </c>
      <c r="H527" t="s">
        <v>33</v>
      </c>
      <c r="I527">
        <v>25</v>
      </c>
      <c r="J527">
        <v>3860.73</v>
      </c>
      <c r="K527">
        <f t="shared" si="10"/>
        <v>19303.650000000001</v>
      </c>
    </row>
    <row r="528" spans="1:11" x14ac:dyDescent="0.35">
      <c r="A528" t="s">
        <v>729</v>
      </c>
      <c r="B528" s="1">
        <v>45627</v>
      </c>
      <c r="C528" t="s">
        <v>10</v>
      </c>
      <c r="D528" t="s">
        <v>38</v>
      </c>
      <c r="E528" t="s">
        <v>40</v>
      </c>
      <c r="F528" t="s">
        <v>18</v>
      </c>
      <c r="G528">
        <v>5</v>
      </c>
      <c r="H528" t="s">
        <v>195</v>
      </c>
      <c r="I528">
        <v>25</v>
      </c>
      <c r="J528">
        <v>3860.73</v>
      </c>
      <c r="K528">
        <f t="shared" si="10"/>
        <v>19303.650000000001</v>
      </c>
    </row>
    <row r="529" spans="1:11" x14ac:dyDescent="0.35">
      <c r="A529" t="s">
        <v>730</v>
      </c>
      <c r="B529" s="1">
        <v>44932</v>
      </c>
      <c r="C529" t="s">
        <v>15</v>
      </c>
      <c r="D529" t="s">
        <v>16</v>
      </c>
      <c r="E529" t="s">
        <v>17</v>
      </c>
      <c r="F529" t="s">
        <v>21</v>
      </c>
      <c r="G529">
        <v>18</v>
      </c>
      <c r="H529" t="s">
        <v>30</v>
      </c>
      <c r="I529">
        <v>28</v>
      </c>
      <c r="J529">
        <v>1073</v>
      </c>
      <c r="K529">
        <f t="shared" si="10"/>
        <v>19314</v>
      </c>
    </row>
    <row r="530" spans="1:11" x14ac:dyDescent="0.35">
      <c r="A530" t="s">
        <v>731</v>
      </c>
      <c r="B530" s="1">
        <v>45049</v>
      </c>
      <c r="C530" t="s">
        <v>15</v>
      </c>
      <c r="D530" t="s">
        <v>16</v>
      </c>
      <c r="E530" t="s">
        <v>34</v>
      </c>
      <c r="F530" t="s">
        <v>21</v>
      </c>
      <c r="G530">
        <v>5</v>
      </c>
      <c r="H530" t="s">
        <v>14</v>
      </c>
      <c r="I530">
        <v>32</v>
      </c>
      <c r="J530">
        <v>3898.88</v>
      </c>
      <c r="K530">
        <f t="shared" si="10"/>
        <v>19494.400000000001</v>
      </c>
    </row>
    <row r="531" spans="1:11" x14ac:dyDescent="0.35">
      <c r="A531" t="s">
        <v>732</v>
      </c>
      <c r="B531" s="1">
        <v>45253</v>
      </c>
      <c r="C531" t="s">
        <v>23</v>
      </c>
      <c r="D531" t="s">
        <v>24</v>
      </c>
      <c r="E531" t="s">
        <v>45</v>
      </c>
      <c r="F531" t="s">
        <v>29</v>
      </c>
      <c r="G531">
        <v>5</v>
      </c>
      <c r="H531" t="s">
        <v>37</v>
      </c>
      <c r="I531">
        <v>50</v>
      </c>
      <c r="J531">
        <v>3900.9</v>
      </c>
      <c r="K531">
        <f t="shared" si="10"/>
        <v>19504.5</v>
      </c>
    </row>
    <row r="532" spans="1:11" x14ac:dyDescent="0.35">
      <c r="A532" t="s">
        <v>733</v>
      </c>
      <c r="B532" s="1">
        <v>44978</v>
      </c>
      <c r="C532" t="s">
        <v>15</v>
      </c>
      <c r="D532" t="s">
        <v>19</v>
      </c>
      <c r="E532" t="s">
        <v>32</v>
      </c>
      <c r="F532" t="s">
        <v>21</v>
      </c>
      <c r="G532">
        <v>4</v>
      </c>
      <c r="H532" t="s">
        <v>26</v>
      </c>
      <c r="I532">
        <v>31</v>
      </c>
      <c r="J532">
        <v>4878.16</v>
      </c>
      <c r="K532">
        <f t="shared" si="10"/>
        <v>19512.64</v>
      </c>
    </row>
    <row r="533" spans="1:11" x14ac:dyDescent="0.35">
      <c r="A533" t="s">
        <v>734</v>
      </c>
      <c r="B533" s="1">
        <v>44982</v>
      </c>
      <c r="C533" t="s">
        <v>10</v>
      </c>
      <c r="D533" t="s">
        <v>11</v>
      </c>
      <c r="E533" t="s">
        <v>12</v>
      </c>
      <c r="F533" t="s">
        <v>18</v>
      </c>
      <c r="G533">
        <v>5</v>
      </c>
      <c r="H533" t="s">
        <v>195</v>
      </c>
      <c r="I533">
        <v>26</v>
      </c>
      <c r="J533">
        <v>3926.26</v>
      </c>
      <c r="K533">
        <f t="shared" si="10"/>
        <v>19631.300000000003</v>
      </c>
    </row>
    <row r="534" spans="1:11" x14ac:dyDescent="0.35">
      <c r="A534" t="s">
        <v>735</v>
      </c>
      <c r="B534" s="1">
        <v>44965</v>
      </c>
      <c r="C534" t="s">
        <v>15</v>
      </c>
      <c r="D534" t="s">
        <v>16</v>
      </c>
      <c r="E534" t="s">
        <v>43</v>
      </c>
      <c r="F534" t="s">
        <v>13</v>
      </c>
      <c r="G534">
        <v>6</v>
      </c>
      <c r="H534" t="s">
        <v>97</v>
      </c>
      <c r="I534">
        <v>52</v>
      </c>
      <c r="J534">
        <v>3277.95</v>
      </c>
      <c r="K534">
        <f t="shared" si="10"/>
        <v>19667.699999999997</v>
      </c>
    </row>
    <row r="535" spans="1:11" x14ac:dyDescent="0.35">
      <c r="A535" t="s">
        <v>736</v>
      </c>
      <c r="B535" s="1">
        <v>45182</v>
      </c>
      <c r="C535" t="s">
        <v>10</v>
      </c>
      <c r="D535" t="s">
        <v>11</v>
      </c>
      <c r="E535" t="s">
        <v>27</v>
      </c>
      <c r="F535" t="s">
        <v>18</v>
      </c>
      <c r="G535">
        <v>6</v>
      </c>
      <c r="H535" t="s">
        <v>30</v>
      </c>
      <c r="I535">
        <v>36</v>
      </c>
      <c r="J535">
        <v>3279.45</v>
      </c>
      <c r="K535">
        <f t="shared" si="10"/>
        <v>19676.699999999997</v>
      </c>
    </row>
    <row r="536" spans="1:11" x14ac:dyDescent="0.35">
      <c r="A536" t="s">
        <v>737</v>
      </c>
      <c r="B536" s="1">
        <v>45137</v>
      </c>
      <c r="C536" t="s">
        <v>10</v>
      </c>
      <c r="D536" t="s">
        <v>38</v>
      </c>
      <c r="E536" t="s">
        <v>42</v>
      </c>
      <c r="F536" t="s">
        <v>35</v>
      </c>
      <c r="G536">
        <v>11</v>
      </c>
      <c r="H536" t="s">
        <v>26</v>
      </c>
      <c r="I536">
        <v>19</v>
      </c>
      <c r="J536">
        <v>1798.54</v>
      </c>
      <c r="K536">
        <f t="shared" si="10"/>
        <v>19783.939999999999</v>
      </c>
    </row>
    <row r="537" spans="1:11" x14ac:dyDescent="0.35">
      <c r="A537" t="s">
        <v>738</v>
      </c>
      <c r="B537" s="1">
        <v>45092</v>
      </c>
      <c r="C537" t="s">
        <v>10</v>
      </c>
      <c r="D537" t="s">
        <v>38</v>
      </c>
      <c r="E537" t="s">
        <v>40</v>
      </c>
      <c r="F537" t="s">
        <v>21</v>
      </c>
      <c r="G537">
        <v>10</v>
      </c>
      <c r="H537" t="s">
        <v>31</v>
      </c>
      <c r="I537">
        <v>30</v>
      </c>
      <c r="J537">
        <v>1979.32</v>
      </c>
      <c r="K537">
        <f t="shared" si="10"/>
        <v>19793.2</v>
      </c>
    </row>
    <row r="538" spans="1:11" x14ac:dyDescent="0.35">
      <c r="A538" t="s">
        <v>739</v>
      </c>
      <c r="B538" s="1">
        <v>45185</v>
      </c>
      <c r="C538" t="s">
        <v>15</v>
      </c>
      <c r="D538" t="s">
        <v>19</v>
      </c>
      <c r="E538" t="s">
        <v>32</v>
      </c>
      <c r="F538" t="s">
        <v>18</v>
      </c>
      <c r="G538">
        <v>4</v>
      </c>
      <c r="H538" t="s">
        <v>31</v>
      </c>
      <c r="I538">
        <v>38</v>
      </c>
      <c r="J538">
        <v>4961.01</v>
      </c>
      <c r="K538">
        <f t="shared" si="10"/>
        <v>19844.04</v>
      </c>
    </row>
    <row r="539" spans="1:11" x14ac:dyDescent="0.35">
      <c r="A539" t="s">
        <v>740</v>
      </c>
      <c r="B539" s="1">
        <v>45187</v>
      </c>
      <c r="C539" t="s">
        <v>23</v>
      </c>
      <c r="D539" t="s">
        <v>24</v>
      </c>
      <c r="E539" t="s">
        <v>45</v>
      </c>
      <c r="F539" t="s">
        <v>35</v>
      </c>
      <c r="G539">
        <v>12</v>
      </c>
      <c r="H539" t="s">
        <v>14</v>
      </c>
      <c r="I539">
        <v>39</v>
      </c>
      <c r="J539">
        <v>1673.01</v>
      </c>
      <c r="K539">
        <f t="shared" si="10"/>
        <v>20076.12</v>
      </c>
    </row>
    <row r="540" spans="1:11" x14ac:dyDescent="0.35">
      <c r="A540" t="s">
        <v>741</v>
      </c>
      <c r="B540" s="1">
        <v>44959</v>
      </c>
      <c r="C540" t="s">
        <v>10</v>
      </c>
      <c r="D540" t="s">
        <v>38</v>
      </c>
      <c r="E540" t="s">
        <v>42</v>
      </c>
      <c r="F540" t="s">
        <v>35</v>
      </c>
      <c r="G540">
        <v>6</v>
      </c>
      <c r="H540" t="s">
        <v>26</v>
      </c>
      <c r="I540">
        <v>25</v>
      </c>
      <c r="J540">
        <v>3350.51</v>
      </c>
      <c r="K540">
        <f t="shared" si="10"/>
        <v>20103.060000000001</v>
      </c>
    </row>
    <row r="541" spans="1:11" x14ac:dyDescent="0.35">
      <c r="A541" t="s">
        <v>742</v>
      </c>
      <c r="B541" s="1">
        <v>45121</v>
      </c>
      <c r="C541" t="s">
        <v>10</v>
      </c>
      <c r="D541" t="s">
        <v>11</v>
      </c>
      <c r="E541" t="s">
        <v>27</v>
      </c>
      <c r="F541" t="s">
        <v>13</v>
      </c>
      <c r="G541">
        <v>5</v>
      </c>
      <c r="H541" t="s">
        <v>30</v>
      </c>
      <c r="I541">
        <v>45</v>
      </c>
      <c r="J541">
        <v>4035.07</v>
      </c>
      <c r="K541">
        <f t="shared" si="10"/>
        <v>20175.350000000002</v>
      </c>
    </row>
    <row r="542" spans="1:11" x14ac:dyDescent="0.35">
      <c r="A542" t="s">
        <v>743</v>
      </c>
      <c r="B542" s="1">
        <v>45144</v>
      </c>
      <c r="C542" t="s">
        <v>10</v>
      </c>
      <c r="D542" t="s">
        <v>11</v>
      </c>
      <c r="E542" t="s">
        <v>12</v>
      </c>
      <c r="F542" t="s">
        <v>13</v>
      </c>
      <c r="G542">
        <v>6</v>
      </c>
      <c r="H542" t="s">
        <v>26</v>
      </c>
      <c r="I542">
        <v>29</v>
      </c>
      <c r="J542">
        <v>3363.77</v>
      </c>
      <c r="K542">
        <f t="shared" si="10"/>
        <v>20182.62</v>
      </c>
    </row>
    <row r="543" spans="1:11" x14ac:dyDescent="0.35">
      <c r="A543" t="s">
        <v>744</v>
      </c>
      <c r="B543" s="1">
        <v>45016</v>
      </c>
      <c r="C543" t="s">
        <v>23</v>
      </c>
      <c r="D543" t="s">
        <v>24</v>
      </c>
      <c r="E543" t="s">
        <v>44</v>
      </c>
      <c r="F543" t="s">
        <v>13</v>
      </c>
      <c r="G543">
        <v>10</v>
      </c>
      <c r="H543" t="s">
        <v>14</v>
      </c>
      <c r="I543">
        <v>35</v>
      </c>
      <c r="J543">
        <v>2027.97</v>
      </c>
      <c r="K543">
        <f t="shared" si="10"/>
        <v>20279.7</v>
      </c>
    </row>
    <row r="544" spans="1:11" x14ac:dyDescent="0.35">
      <c r="A544" t="s">
        <v>745</v>
      </c>
      <c r="B544" s="1">
        <v>44980</v>
      </c>
      <c r="C544" t="s">
        <v>10</v>
      </c>
      <c r="D544" t="s">
        <v>38</v>
      </c>
      <c r="E544" t="s">
        <v>42</v>
      </c>
      <c r="F544" t="s">
        <v>21</v>
      </c>
      <c r="G544">
        <v>19</v>
      </c>
      <c r="H544" t="s">
        <v>30</v>
      </c>
      <c r="I544">
        <v>20</v>
      </c>
      <c r="J544">
        <v>1067.6199999999999</v>
      </c>
      <c r="K544">
        <f t="shared" si="10"/>
        <v>20284.78</v>
      </c>
    </row>
    <row r="545" spans="1:11" x14ac:dyDescent="0.35">
      <c r="A545" t="s">
        <v>746</v>
      </c>
      <c r="B545" s="1">
        <v>45202</v>
      </c>
      <c r="C545" t="s">
        <v>15</v>
      </c>
      <c r="D545" t="s">
        <v>16</v>
      </c>
      <c r="E545" t="s">
        <v>17</v>
      </c>
      <c r="F545" t="s">
        <v>35</v>
      </c>
      <c r="G545">
        <v>17</v>
      </c>
      <c r="H545" t="s">
        <v>36</v>
      </c>
      <c r="I545">
        <v>32</v>
      </c>
      <c r="J545">
        <v>1194.33</v>
      </c>
      <c r="K545">
        <f t="shared" si="10"/>
        <v>20303.61</v>
      </c>
    </row>
    <row r="546" spans="1:11" x14ac:dyDescent="0.35">
      <c r="A546" t="s">
        <v>747</v>
      </c>
      <c r="B546" s="1">
        <v>45225</v>
      </c>
      <c r="C546" t="s">
        <v>15</v>
      </c>
      <c r="D546" t="s">
        <v>16</v>
      </c>
      <c r="E546" t="s">
        <v>43</v>
      </c>
      <c r="F546" t="s">
        <v>29</v>
      </c>
      <c r="G546">
        <v>18</v>
      </c>
      <c r="H546" t="s">
        <v>14</v>
      </c>
      <c r="I546">
        <v>50</v>
      </c>
      <c r="J546">
        <v>1132.04</v>
      </c>
      <c r="K546">
        <f t="shared" si="10"/>
        <v>20376.72</v>
      </c>
    </row>
    <row r="547" spans="1:11" x14ac:dyDescent="0.35">
      <c r="A547" t="s">
        <v>748</v>
      </c>
      <c r="B547" s="1">
        <v>44962</v>
      </c>
      <c r="C547" t="s">
        <v>10</v>
      </c>
      <c r="D547" t="s">
        <v>11</v>
      </c>
      <c r="E547" t="s">
        <v>41</v>
      </c>
      <c r="F547" t="s">
        <v>13</v>
      </c>
      <c r="G547">
        <v>9</v>
      </c>
      <c r="H547" t="s">
        <v>37</v>
      </c>
      <c r="I547">
        <v>25</v>
      </c>
      <c r="J547">
        <v>2267.7199999999998</v>
      </c>
      <c r="K547">
        <f t="shared" si="10"/>
        <v>20409.48</v>
      </c>
    </row>
    <row r="548" spans="1:11" x14ac:dyDescent="0.35">
      <c r="A548" t="s">
        <v>749</v>
      </c>
      <c r="B548" s="1">
        <v>44942</v>
      </c>
      <c r="C548" t="s">
        <v>15</v>
      </c>
      <c r="D548" t="s">
        <v>19</v>
      </c>
      <c r="E548" t="s">
        <v>20</v>
      </c>
      <c r="F548" t="s">
        <v>13</v>
      </c>
      <c r="G548">
        <v>18</v>
      </c>
      <c r="H548" t="s">
        <v>195</v>
      </c>
      <c r="I548">
        <v>52</v>
      </c>
      <c r="J548">
        <v>1134.8800000000001</v>
      </c>
      <c r="K548">
        <f t="shared" si="10"/>
        <v>20427.840000000004</v>
      </c>
    </row>
    <row r="549" spans="1:11" x14ac:dyDescent="0.35">
      <c r="A549" t="s">
        <v>750</v>
      </c>
      <c r="B549" s="1">
        <v>45011</v>
      </c>
      <c r="C549" t="s">
        <v>10</v>
      </c>
      <c r="D549" t="s">
        <v>38</v>
      </c>
      <c r="E549" t="s">
        <v>39</v>
      </c>
      <c r="F549" t="s">
        <v>29</v>
      </c>
      <c r="G549">
        <v>18</v>
      </c>
      <c r="H549" t="s">
        <v>28</v>
      </c>
      <c r="I549">
        <v>54</v>
      </c>
      <c r="J549">
        <v>1137.05</v>
      </c>
      <c r="K549">
        <f t="shared" si="10"/>
        <v>20466.899999999998</v>
      </c>
    </row>
    <row r="550" spans="1:11" x14ac:dyDescent="0.35">
      <c r="A550" t="s">
        <v>751</v>
      </c>
      <c r="B550" s="1">
        <v>45034</v>
      </c>
      <c r="C550" t="s">
        <v>15</v>
      </c>
      <c r="D550" t="s">
        <v>16</v>
      </c>
      <c r="E550" t="s">
        <v>17</v>
      </c>
      <c r="F550" t="s">
        <v>13</v>
      </c>
      <c r="G550">
        <v>6</v>
      </c>
      <c r="H550" t="s">
        <v>96</v>
      </c>
      <c r="I550">
        <v>53</v>
      </c>
      <c r="J550">
        <v>3439.83</v>
      </c>
      <c r="K550">
        <f t="shared" si="10"/>
        <v>20638.98</v>
      </c>
    </row>
    <row r="551" spans="1:11" x14ac:dyDescent="0.35">
      <c r="A551" t="s">
        <v>752</v>
      </c>
      <c r="B551" s="1">
        <v>45158</v>
      </c>
      <c r="C551" t="s">
        <v>10</v>
      </c>
      <c r="D551" t="s">
        <v>38</v>
      </c>
      <c r="E551" t="s">
        <v>42</v>
      </c>
      <c r="F551" t="s">
        <v>21</v>
      </c>
      <c r="G551">
        <v>17</v>
      </c>
      <c r="H551" t="s">
        <v>30</v>
      </c>
      <c r="I551">
        <v>17</v>
      </c>
      <c r="J551">
        <v>1217.48</v>
      </c>
      <c r="K551">
        <f t="shared" si="10"/>
        <v>20697.16</v>
      </c>
    </row>
    <row r="552" spans="1:11" x14ac:dyDescent="0.35">
      <c r="A552" t="s">
        <v>753</v>
      </c>
      <c r="B552" s="1">
        <v>45021</v>
      </c>
      <c r="C552" t="s">
        <v>15</v>
      </c>
      <c r="D552" t="s">
        <v>16</v>
      </c>
      <c r="E552" t="s">
        <v>34</v>
      </c>
      <c r="F552" t="s">
        <v>21</v>
      </c>
      <c r="G552">
        <v>6</v>
      </c>
      <c r="H552" t="s">
        <v>26</v>
      </c>
      <c r="I552">
        <v>32</v>
      </c>
      <c r="J552">
        <v>3457.43</v>
      </c>
      <c r="K552">
        <f t="shared" si="10"/>
        <v>20744.579999999998</v>
      </c>
    </row>
    <row r="553" spans="1:11" x14ac:dyDescent="0.35">
      <c r="A553" t="s">
        <v>754</v>
      </c>
      <c r="B553" s="1">
        <v>45000</v>
      </c>
      <c r="C553" t="s">
        <v>23</v>
      </c>
      <c r="D553" t="s">
        <v>24</v>
      </c>
      <c r="E553" t="s">
        <v>44</v>
      </c>
      <c r="F553" t="s">
        <v>13</v>
      </c>
      <c r="G553">
        <v>19</v>
      </c>
      <c r="H553" t="s">
        <v>96</v>
      </c>
      <c r="I553">
        <v>20</v>
      </c>
      <c r="J553">
        <v>1093.8900000000001</v>
      </c>
      <c r="K553">
        <f t="shared" si="10"/>
        <v>20783.910000000003</v>
      </c>
    </row>
    <row r="554" spans="1:11" x14ac:dyDescent="0.35">
      <c r="A554" t="s">
        <v>755</v>
      </c>
      <c r="B554" s="1">
        <v>45019</v>
      </c>
      <c r="C554" t="s">
        <v>15</v>
      </c>
      <c r="D554" t="s">
        <v>16</v>
      </c>
      <c r="E554" t="s">
        <v>34</v>
      </c>
      <c r="F554" t="s">
        <v>21</v>
      </c>
      <c r="G554">
        <v>6</v>
      </c>
      <c r="H554" t="s">
        <v>96</v>
      </c>
      <c r="I554">
        <v>40</v>
      </c>
      <c r="J554">
        <v>3466.7</v>
      </c>
      <c r="K554">
        <f t="shared" si="10"/>
        <v>20800.199999999997</v>
      </c>
    </row>
    <row r="555" spans="1:11" x14ac:dyDescent="0.35">
      <c r="A555" t="s">
        <v>756</v>
      </c>
      <c r="B555" s="1">
        <v>45043</v>
      </c>
      <c r="C555" t="s">
        <v>15</v>
      </c>
      <c r="D555" t="s">
        <v>16</v>
      </c>
      <c r="E555" t="s">
        <v>17</v>
      </c>
      <c r="F555" t="s">
        <v>13</v>
      </c>
      <c r="G555">
        <v>18</v>
      </c>
      <c r="H555" t="s">
        <v>96</v>
      </c>
      <c r="I555">
        <v>38</v>
      </c>
      <c r="J555">
        <v>1156.17</v>
      </c>
      <c r="K555">
        <f t="shared" si="10"/>
        <v>20811.060000000001</v>
      </c>
    </row>
    <row r="556" spans="1:11" x14ac:dyDescent="0.35">
      <c r="A556" t="s">
        <v>757</v>
      </c>
      <c r="B556" s="1">
        <v>44947</v>
      </c>
      <c r="C556" t="s">
        <v>15</v>
      </c>
      <c r="D556" t="s">
        <v>19</v>
      </c>
      <c r="E556" t="s">
        <v>22</v>
      </c>
      <c r="F556" t="s">
        <v>13</v>
      </c>
      <c r="G556">
        <v>14</v>
      </c>
      <c r="H556" t="s">
        <v>97</v>
      </c>
      <c r="I556">
        <v>40</v>
      </c>
      <c r="J556">
        <v>1487.12</v>
      </c>
      <c r="K556">
        <f t="shared" si="10"/>
        <v>20819.68</v>
      </c>
    </row>
    <row r="557" spans="1:11" x14ac:dyDescent="0.35">
      <c r="A557" t="s">
        <v>758</v>
      </c>
      <c r="B557" s="1">
        <v>45172</v>
      </c>
      <c r="C557" t="s">
        <v>23</v>
      </c>
      <c r="D557" t="s">
        <v>24</v>
      </c>
      <c r="E557" t="s">
        <v>45</v>
      </c>
      <c r="F557" t="s">
        <v>35</v>
      </c>
      <c r="G557">
        <v>5</v>
      </c>
      <c r="H557" t="s">
        <v>26</v>
      </c>
      <c r="I557">
        <v>33</v>
      </c>
      <c r="J557">
        <v>4165.41</v>
      </c>
      <c r="K557">
        <f t="shared" si="10"/>
        <v>20827.05</v>
      </c>
    </row>
    <row r="558" spans="1:11" x14ac:dyDescent="0.35">
      <c r="A558" t="s">
        <v>759</v>
      </c>
      <c r="B558" s="1">
        <v>45117</v>
      </c>
      <c r="C558" t="s">
        <v>23</v>
      </c>
      <c r="D558" t="s">
        <v>24</v>
      </c>
      <c r="E558" t="s">
        <v>25</v>
      </c>
      <c r="F558" t="s">
        <v>35</v>
      </c>
      <c r="G558">
        <v>8</v>
      </c>
      <c r="H558" t="s">
        <v>14</v>
      </c>
      <c r="I558">
        <v>22</v>
      </c>
      <c r="J558">
        <v>2606.36</v>
      </c>
      <c r="K558">
        <f t="shared" si="10"/>
        <v>20850.88</v>
      </c>
    </row>
    <row r="559" spans="1:11" x14ac:dyDescent="0.35">
      <c r="A559" t="s">
        <v>760</v>
      </c>
      <c r="B559" s="1">
        <v>45025</v>
      </c>
      <c r="C559" t="s">
        <v>10</v>
      </c>
      <c r="D559" t="s">
        <v>38</v>
      </c>
      <c r="E559" t="s">
        <v>40</v>
      </c>
      <c r="F559" t="s">
        <v>18</v>
      </c>
      <c r="G559">
        <v>5</v>
      </c>
      <c r="H559" t="s">
        <v>37</v>
      </c>
      <c r="I559">
        <v>16</v>
      </c>
      <c r="J559">
        <v>4182.07</v>
      </c>
      <c r="K559">
        <f t="shared" si="10"/>
        <v>20910.349999999999</v>
      </c>
    </row>
    <row r="560" spans="1:11" x14ac:dyDescent="0.35">
      <c r="A560" t="s">
        <v>761</v>
      </c>
      <c r="B560" s="1">
        <v>44987</v>
      </c>
      <c r="C560" t="s">
        <v>10</v>
      </c>
      <c r="D560" t="s">
        <v>38</v>
      </c>
      <c r="E560" t="s">
        <v>39</v>
      </c>
      <c r="F560" t="s">
        <v>18</v>
      </c>
      <c r="G560">
        <v>18</v>
      </c>
      <c r="H560" t="s">
        <v>36</v>
      </c>
      <c r="I560">
        <v>48</v>
      </c>
      <c r="J560">
        <v>1164.29</v>
      </c>
      <c r="K560">
        <f t="shared" si="10"/>
        <v>20957.22</v>
      </c>
    </row>
    <row r="561" spans="1:11" x14ac:dyDescent="0.35">
      <c r="A561" t="s">
        <v>762</v>
      </c>
      <c r="B561" s="1">
        <v>45264</v>
      </c>
      <c r="C561" t="s">
        <v>15</v>
      </c>
      <c r="D561" t="s">
        <v>16</v>
      </c>
      <c r="E561" t="s">
        <v>17</v>
      </c>
      <c r="F561" t="s">
        <v>29</v>
      </c>
      <c r="G561">
        <v>11</v>
      </c>
      <c r="H561" t="s">
        <v>31</v>
      </c>
      <c r="I561">
        <v>47</v>
      </c>
      <c r="J561">
        <v>1905.7</v>
      </c>
      <c r="K561">
        <f t="shared" si="10"/>
        <v>20962.7</v>
      </c>
    </row>
    <row r="562" spans="1:11" x14ac:dyDescent="0.35">
      <c r="A562" t="s">
        <v>763</v>
      </c>
      <c r="B562" s="1">
        <v>45253</v>
      </c>
      <c r="C562" t="s">
        <v>15</v>
      </c>
      <c r="D562" t="s">
        <v>16</v>
      </c>
      <c r="E562" t="s">
        <v>34</v>
      </c>
      <c r="F562" t="s">
        <v>21</v>
      </c>
      <c r="G562">
        <v>12</v>
      </c>
      <c r="H562" t="s">
        <v>14</v>
      </c>
      <c r="I562">
        <v>30</v>
      </c>
      <c r="J562">
        <v>1748.6</v>
      </c>
      <c r="K562">
        <f t="shared" si="10"/>
        <v>20983.199999999997</v>
      </c>
    </row>
    <row r="563" spans="1:11" x14ac:dyDescent="0.35">
      <c r="A563" t="s">
        <v>764</v>
      </c>
      <c r="B563" s="1">
        <v>45150</v>
      </c>
      <c r="C563" t="s">
        <v>10</v>
      </c>
      <c r="D563" t="s">
        <v>11</v>
      </c>
      <c r="E563" t="s">
        <v>41</v>
      </c>
      <c r="F563" t="s">
        <v>29</v>
      </c>
      <c r="G563">
        <v>5</v>
      </c>
      <c r="H563" t="s">
        <v>97</v>
      </c>
      <c r="I563">
        <v>29</v>
      </c>
      <c r="J563">
        <v>4198.97</v>
      </c>
      <c r="K563">
        <f t="shared" si="10"/>
        <v>20994.850000000002</v>
      </c>
    </row>
    <row r="564" spans="1:11" x14ac:dyDescent="0.35">
      <c r="A564" t="s">
        <v>765</v>
      </c>
      <c r="B564" s="1">
        <v>45152</v>
      </c>
      <c r="C564" t="s">
        <v>23</v>
      </c>
      <c r="D564" t="s">
        <v>24</v>
      </c>
      <c r="E564" t="s">
        <v>45</v>
      </c>
      <c r="F564" t="s">
        <v>18</v>
      </c>
      <c r="G564">
        <v>8</v>
      </c>
      <c r="H564" t="s">
        <v>97</v>
      </c>
      <c r="I564">
        <v>45</v>
      </c>
      <c r="J564">
        <v>2628.31</v>
      </c>
      <c r="K564">
        <f t="shared" si="10"/>
        <v>21026.48</v>
      </c>
    </row>
    <row r="565" spans="1:11" x14ac:dyDescent="0.35">
      <c r="A565" t="s">
        <v>766</v>
      </c>
      <c r="B565" s="1">
        <v>44946</v>
      </c>
      <c r="C565" t="s">
        <v>15</v>
      </c>
      <c r="D565" t="s">
        <v>19</v>
      </c>
      <c r="E565" t="s">
        <v>32</v>
      </c>
      <c r="F565" t="s">
        <v>29</v>
      </c>
      <c r="G565">
        <v>14</v>
      </c>
      <c r="H565" t="s">
        <v>31</v>
      </c>
      <c r="I565">
        <v>38</v>
      </c>
      <c r="J565">
        <v>1507.19</v>
      </c>
      <c r="K565">
        <f t="shared" si="10"/>
        <v>21100.66</v>
      </c>
    </row>
    <row r="566" spans="1:11" x14ac:dyDescent="0.35">
      <c r="A566" t="s">
        <v>767</v>
      </c>
      <c r="B566" s="1">
        <v>45116</v>
      </c>
      <c r="C566" t="s">
        <v>10</v>
      </c>
      <c r="D566" t="s">
        <v>11</v>
      </c>
      <c r="E566" t="s">
        <v>41</v>
      </c>
      <c r="F566" t="s">
        <v>35</v>
      </c>
      <c r="G566">
        <v>18</v>
      </c>
      <c r="H566" t="s">
        <v>37</v>
      </c>
      <c r="I566">
        <v>23</v>
      </c>
      <c r="J566">
        <v>1177.8</v>
      </c>
      <c r="K566">
        <f t="shared" si="10"/>
        <v>21200.399999999998</v>
      </c>
    </row>
    <row r="567" spans="1:11" x14ac:dyDescent="0.35">
      <c r="A567" t="s">
        <v>768</v>
      </c>
      <c r="B567" s="1">
        <v>45276</v>
      </c>
      <c r="C567" t="s">
        <v>15</v>
      </c>
      <c r="D567" t="s">
        <v>16</v>
      </c>
      <c r="E567" t="s">
        <v>34</v>
      </c>
      <c r="F567" t="s">
        <v>29</v>
      </c>
      <c r="G567">
        <v>7</v>
      </c>
      <c r="H567" t="s">
        <v>33</v>
      </c>
      <c r="I567">
        <v>24</v>
      </c>
      <c r="J567">
        <v>3052.99</v>
      </c>
      <c r="K567">
        <f t="shared" si="10"/>
        <v>21370.93</v>
      </c>
    </row>
    <row r="568" spans="1:11" x14ac:dyDescent="0.35">
      <c r="A568" t="s">
        <v>769</v>
      </c>
      <c r="B568" s="1">
        <v>45027</v>
      </c>
      <c r="C568" t="s">
        <v>10</v>
      </c>
      <c r="D568" t="s">
        <v>11</v>
      </c>
      <c r="E568" t="s">
        <v>12</v>
      </c>
      <c r="F568" t="s">
        <v>13</v>
      </c>
      <c r="G568">
        <v>9</v>
      </c>
      <c r="H568" t="s">
        <v>14</v>
      </c>
      <c r="I568">
        <v>53</v>
      </c>
      <c r="J568">
        <v>2376.12</v>
      </c>
      <c r="K568">
        <f t="shared" si="10"/>
        <v>21385.079999999998</v>
      </c>
    </row>
    <row r="569" spans="1:11" x14ac:dyDescent="0.35">
      <c r="A569" t="s">
        <v>770</v>
      </c>
      <c r="B569" s="1">
        <v>45133</v>
      </c>
      <c r="C569" t="s">
        <v>15</v>
      </c>
      <c r="D569" t="s">
        <v>19</v>
      </c>
      <c r="E569" t="s">
        <v>32</v>
      </c>
      <c r="F569" t="s">
        <v>18</v>
      </c>
      <c r="G569">
        <v>5</v>
      </c>
      <c r="H569" t="s">
        <v>37</v>
      </c>
      <c r="I569">
        <v>38</v>
      </c>
      <c r="J569">
        <v>4281.1499999999996</v>
      </c>
      <c r="K569">
        <f t="shared" si="10"/>
        <v>21405.75</v>
      </c>
    </row>
    <row r="570" spans="1:11" x14ac:dyDescent="0.35">
      <c r="A570" t="s">
        <v>771</v>
      </c>
      <c r="B570" s="1">
        <v>45291</v>
      </c>
      <c r="C570" t="s">
        <v>15</v>
      </c>
      <c r="D570" t="s">
        <v>19</v>
      </c>
      <c r="E570" t="s">
        <v>32</v>
      </c>
      <c r="F570" t="s">
        <v>35</v>
      </c>
      <c r="G570">
        <v>13</v>
      </c>
      <c r="H570" t="s">
        <v>195</v>
      </c>
      <c r="I570">
        <v>40</v>
      </c>
      <c r="J570">
        <v>1647.87</v>
      </c>
      <c r="K570">
        <f t="shared" si="10"/>
        <v>21422.309999999998</v>
      </c>
    </row>
    <row r="571" spans="1:11" x14ac:dyDescent="0.35">
      <c r="A571" t="s">
        <v>772</v>
      </c>
      <c r="B571" s="1">
        <v>45186</v>
      </c>
      <c r="C571" t="s">
        <v>23</v>
      </c>
      <c r="D571" t="s">
        <v>24</v>
      </c>
      <c r="E571" t="s">
        <v>25</v>
      </c>
      <c r="F571" t="s">
        <v>18</v>
      </c>
      <c r="G571">
        <v>7</v>
      </c>
      <c r="H571" t="s">
        <v>33</v>
      </c>
      <c r="I571">
        <v>28</v>
      </c>
      <c r="J571">
        <v>3063.53</v>
      </c>
      <c r="K571">
        <f t="shared" si="10"/>
        <v>21444.710000000003</v>
      </c>
    </row>
    <row r="572" spans="1:11" x14ac:dyDescent="0.35">
      <c r="A572" t="s">
        <v>773</v>
      </c>
      <c r="B572" s="1">
        <v>44941</v>
      </c>
      <c r="C572" t="s">
        <v>15</v>
      </c>
      <c r="D572" t="s">
        <v>16</v>
      </c>
      <c r="E572" t="s">
        <v>34</v>
      </c>
      <c r="F572" t="s">
        <v>18</v>
      </c>
      <c r="G572">
        <v>7</v>
      </c>
      <c r="H572" t="s">
        <v>97</v>
      </c>
      <c r="I572">
        <v>16</v>
      </c>
      <c r="J572">
        <v>3070.09</v>
      </c>
      <c r="K572">
        <f t="shared" si="10"/>
        <v>21490.63</v>
      </c>
    </row>
    <row r="573" spans="1:11" x14ac:dyDescent="0.35">
      <c r="A573" t="s">
        <v>774</v>
      </c>
      <c r="B573" s="1">
        <v>44995</v>
      </c>
      <c r="C573" t="s">
        <v>15</v>
      </c>
      <c r="D573" t="s">
        <v>16</v>
      </c>
      <c r="E573" t="s">
        <v>43</v>
      </c>
      <c r="F573" t="s">
        <v>13</v>
      </c>
      <c r="G573">
        <v>5</v>
      </c>
      <c r="H573" t="s">
        <v>97</v>
      </c>
      <c r="I573">
        <v>16</v>
      </c>
      <c r="J573">
        <v>4300.7</v>
      </c>
      <c r="K573">
        <f t="shared" si="10"/>
        <v>21503.5</v>
      </c>
    </row>
    <row r="574" spans="1:11" x14ac:dyDescent="0.35">
      <c r="A574" t="s">
        <v>775</v>
      </c>
      <c r="B574" s="1">
        <v>45119</v>
      </c>
      <c r="C574" t="s">
        <v>15</v>
      </c>
      <c r="D574" t="s">
        <v>19</v>
      </c>
      <c r="E574" t="s">
        <v>22</v>
      </c>
      <c r="F574" t="s">
        <v>35</v>
      </c>
      <c r="G574">
        <v>9</v>
      </c>
      <c r="H574" t="s">
        <v>33</v>
      </c>
      <c r="I574">
        <v>40</v>
      </c>
      <c r="J574">
        <v>2427.88</v>
      </c>
      <c r="K574">
        <f t="shared" si="10"/>
        <v>21850.920000000002</v>
      </c>
    </row>
    <row r="575" spans="1:11" x14ac:dyDescent="0.35">
      <c r="A575" t="s">
        <v>776</v>
      </c>
      <c r="B575" s="1">
        <v>45160</v>
      </c>
      <c r="C575" t="s">
        <v>10</v>
      </c>
      <c r="D575" t="s">
        <v>11</v>
      </c>
      <c r="E575" t="s">
        <v>27</v>
      </c>
      <c r="F575" t="s">
        <v>29</v>
      </c>
      <c r="G575">
        <v>5</v>
      </c>
      <c r="H575" t="s">
        <v>96</v>
      </c>
      <c r="I575">
        <v>24</v>
      </c>
      <c r="J575">
        <v>4386.2</v>
      </c>
      <c r="K575">
        <f t="shared" si="10"/>
        <v>21931</v>
      </c>
    </row>
    <row r="576" spans="1:11" x14ac:dyDescent="0.35">
      <c r="A576" t="s">
        <v>777</v>
      </c>
      <c r="B576" s="1">
        <v>45083</v>
      </c>
      <c r="C576" t="s">
        <v>15</v>
      </c>
      <c r="D576" t="s">
        <v>16</v>
      </c>
      <c r="E576" t="s">
        <v>17</v>
      </c>
      <c r="F576" t="s">
        <v>18</v>
      </c>
      <c r="G576">
        <v>9</v>
      </c>
      <c r="H576" t="s">
        <v>30</v>
      </c>
      <c r="I576">
        <v>52</v>
      </c>
      <c r="J576">
        <v>2438.9899999999998</v>
      </c>
      <c r="K576">
        <f t="shared" si="10"/>
        <v>21950.909999999996</v>
      </c>
    </row>
    <row r="577" spans="1:11" x14ac:dyDescent="0.35">
      <c r="A577" t="s">
        <v>778</v>
      </c>
      <c r="B577" s="1">
        <v>45161</v>
      </c>
      <c r="C577" t="s">
        <v>10</v>
      </c>
      <c r="D577" t="s">
        <v>11</v>
      </c>
      <c r="E577" t="s">
        <v>12</v>
      </c>
      <c r="F577" t="s">
        <v>21</v>
      </c>
      <c r="G577">
        <v>20</v>
      </c>
      <c r="H577" t="s">
        <v>26</v>
      </c>
      <c r="I577">
        <v>45</v>
      </c>
      <c r="J577">
        <v>1100.3800000000001</v>
      </c>
      <c r="K577">
        <f t="shared" si="10"/>
        <v>22007.600000000002</v>
      </c>
    </row>
    <row r="578" spans="1:11" x14ac:dyDescent="0.35">
      <c r="A578" t="s">
        <v>779</v>
      </c>
      <c r="B578" s="1">
        <v>44943</v>
      </c>
      <c r="C578" t="s">
        <v>23</v>
      </c>
      <c r="D578" t="s">
        <v>24</v>
      </c>
      <c r="E578" t="s">
        <v>25</v>
      </c>
      <c r="F578" t="s">
        <v>29</v>
      </c>
      <c r="G578">
        <v>6</v>
      </c>
      <c r="H578" t="s">
        <v>14</v>
      </c>
      <c r="I578">
        <v>30</v>
      </c>
      <c r="J578">
        <v>3671.84</v>
      </c>
      <c r="K578">
        <f t="shared" ref="K578:K641" si="11">G578*J578</f>
        <v>22031.040000000001</v>
      </c>
    </row>
    <row r="579" spans="1:11" x14ac:dyDescent="0.35">
      <c r="A579" t="s">
        <v>780</v>
      </c>
      <c r="B579" s="1">
        <v>45647</v>
      </c>
      <c r="C579" t="s">
        <v>10</v>
      </c>
      <c r="D579" t="s">
        <v>11</v>
      </c>
      <c r="E579" t="s">
        <v>12</v>
      </c>
      <c r="F579" t="s">
        <v>13</v>
      </c>
      <c r="G579">
        <v>7</v>
      </c>
      <c r="H579" t="s">
        <v>31</v>
      </c>
      <c r="I579">
        <v>33</v>
      </c>
      <c r="J579">
        <v>3163.37</v>
      </c>
      <c r="K579">
        <f t="shared" si="11"/>
        <v>22143.59</v>
      </c>
    </row>
    <row r="580" spans="1:11" x14ac:dyDescent="0.35">
      <c r="A580" t="s">
        <v>781</v>
      </c>
      <c r="B580" s="1">
        <v>44941</v>
      </c>
      <c r="C580" t="s">
        <v>10</v>
      </c>
      <c r="D580" t="s">
        <v>11</v>
      </c>
      <c r="E580" t="s">
        <v>12</v>
      </c>
      <c r="F580" t="s">
        <v>13</v>
      </c>
      <c r="G580">
        <v>7</v>
      </c>
      <c r="H580" t="s">
        <v>26</v>
      </c>
      <c r="I580">
        <v>33</v>
      </c>
      <c r="J580">
        <v>3163.37</v>
      </c>
      <c r="K580">
        <f t="shared" si="11"/>
        <v>22143.59</v>
      </c>
    </row>
    <row r="581" spans="1:11" x14ac:dyDescent="0.35">
      <c r="A581" t="s">
        <v>782</v>
      </c>
      <c r="B581" s="1">
        <v>45214</v>
      </c>
      <c r="C581" t="s">
        <v>10</v>
      </c>
      <c r="D581" t="s">
        <v>11</v>
      </c>
      <c r="E581" t="s">
        <v>41</v>
      </c>
      <c r="F581" t="s">
        <v>18</v>
      </c>
      <c r="G581">
        <v>17</v>
      </c>
      <c r="H581" t="s">
        <v>31</v>
      </c>
      <c r="I581">
        <v>19</v>
      </c>
      <c r="J581">
        <v>1307.24</v>
      </c>
      <c r="K581">
        <f t="shared" si="11"/>
        <v>22223.08</v>
      </c>
    </row>
    <row r="582" spans="1:11" x14ac:dyDescent="0.35">
      <c r="A582" t="s">
        <v>783</v>
      </c>
      <c r="B582" s="1">
        <v>45230</v>
      </c>
      <c r="C582" t="s">
        <v>23</v>
      </c>
      <c r="D582" t="s">
        <v>24</v>
      </c>
      <c r="E582" t="s">
        <v>25</v>
      </c>
      <c r="F582" t="s">
        <v>29</v>
      </c>
      <c r="G582">
        <v>14</v>
      </c>
      <c r="H582" t="s">
        <v>28</v>
      </c>
      <c r="I582">
        <v>26</v>
      </c>
      <c r="J582">
        <v>1598.93</v>
      </c>
      <c r="K582">
        <f t="shared" si="11"/>
        <v>22385.02</v>
      </c>
    </row>
    <row r="583" spans="1:11" x14ac:dyDescent="0.35">
      <c r="A583" t="s">
        <v>784</v>
      </c>
      <c r="B583" s="1">
        <v>45195</v>
      </c>
      <c r="C583" t="s">
        <v>15</v>
      </c>
      <c r="D583" t="s">
        <v>19</v>
      </c>
      <c r="E583" t="s">
        <v>20</v>
      </c>
      <c r="F583" t="s">
        <v>21</v>
      </c>
      <c r="G583">
        <v>5</v>
      </c>
      <c r="H583" t="s">
        <v>33</v>
      </c>
      <c r="I583">
        <v>34</v>
      </c>
      <c r="J583">
        <v>4499.88</v>
      </c>
      <c r="K583">
        <f t="shared" si="11"/>
        <v>22499.4</v>
      </c>
    </row>
    <row r="584" spans="1:11" x14ac:dyDescent="0.35">
      <c r="A584" t="s">
        <v>785</v>
      </c>
      <c r="B584" s="1">
        <v>45257</v>
      </c>
      <c r="C584" t="s">
        <v>10</v>
      </c>
      <c r="D584" t="s">
        <v>11</v>
      </c>
      <c r="E584" t="s">
        <v>41</v>
      </c>
      <c r="F584" t="s">
        <v>29</v>
      </c>
      <c r="G584">
        <v>17</v>
      </c>
      <c r="H584" t="s">
        <v>14</v>
      </c>
      <c r="I584">
        <v>47</v>
      </c>
      <c r="J584">
        <v>1333.71</v>
      </c>
      <c r="K584">
        <f t="shared" si="11"/>
        <v>22673.07</v>
      </c>
    </row>
    <row r="585" spans="1:11" x14ac:dyDescent="0.35">
      <c r="A585" t="s">
        <v>786</v>
      </c>
      <c r="B585" s="1">
        <v>45643</v>
      </c>
      <c r="C585" t="s">
        <v>10</v>
      </c>
      <c r="D585" t="s">
        <v>11</v>
      </c>
      <c r="E585" t="s">
        <v>41</v>
      </c>
      <c r="F585" t="s">
        <v>29</v>
      </c>
      <c r="G585">
        <v>17</v>
      </c>
      <c r="H585" t="s">
        <v>14</v>
      </c>
      <c r="I585">
        <v>47</v>
      </c>
      <c r="J585">
        <v>1333.71</v>
      </c>
      <c r="K585">
        <f t="shared" si="11"/>
        <v>22673.07</v>
      </c>
    </row>
    <row r="586" spans="1:11" x14ac:dyDescent="0.35">
      <c r="A586" t="s">
        <v>787</v>
      </c>
      <c r="B586" s="1">
        <v>44987</v>
      </c>
      <c r="C586" t="s">
        <v>10</v>
      </c>
      <c r="D586" t="s">
        <v>38</v>
      </c>
      <c r="E586" t="s">
        <v>39</v>
      </c>
      <c r="F586" t="s">
        <v>21</v>
      </c>
      <c r="G586">
        <v>19</v>
      </c>
      <c r="H586" t="s">
        <v>96</v>
      </c>
      <c r="I586">
        <v>44</v>
      </c>
      <c r="J586">
        <v>1199.24</v>
      </c>
      <c r="K586">
        <f t="shared" si="11"/>
        <v>22785.56</v>
      </c>
    </row>
    <row r="587" spans="1:11" x14ac:dyDescent="0.35">
      <c r="A587" t="s">
        <v>788</v>
      </c>
      <c r="B587" s="1">
        <v>44952</v>
      </c>
      <c r="C587" t="s">
        <v>10</v>
      </c>
      <c r="D587" t="s">
        <v>38</v>
      </c>
      <c r="E587" t="s">
        <v>39</v>
      </c>
      <c r="F587" t="s">
        <v>35</v>
      </c>
      <c r="G587">
        <v>13</v>
      </c>
      <c r="H587" t="s">
        <v>96</v>
      </c>
      <c r="I587">
        <v>51</v>
      </c>
      <c r="J587">
        <v>1753.48</v>
      </c>
      <c r="K587">
        <f t="shared" si="11"/>
        <v>22795.24</v>
      </c>
    </row>
    <row r="588" spans="1:11" x14ac:dyDescent="0.35">
      <c r="A588" t="s">
        <v>789</v>
      </c>
      <c r="B588" s="1">
        <v>45032</v>
      </c>
      <c r="C588" t="s">
        <v>10</v>
      </c>
      <c r="D588" t="s">
        <v>38</v>
      </c>
      <c r="E588" t="s">
        <v>40</v>
      </c>
      <c r="F588" t="s">
        <v>21</v>
      </c>
      <c r="G588">
        <v>17</v>
      </c>
      <c r="H588" t="s">
        <v>26</v>
      </c>
      <c r="I588">
        <v>21</v>
      </c>
      <c r="J588">
        <v>1340.98</v>
      </c>
      <c r="K588">
        <f t="shared" si="11"/>
        <v>22796.66</v>
      </c>
    </row>
    <row r="589" spans="1:11" x14ac:dyDescent="0.35">
      <c r="A589" t="s">
        <v>790</v>
      </c>
      <c r="B589" s="1">
        <v>45096</v>
      </c>
      <c r="C589" t="s">
        <v>10</v>
      </c>
      <c r="D589" t="s">
        <v>38</v>
      </c>
      <c r="E589" t="s">
        <v>42</v>
      </c>
      <c r="F589" t="s">
        <v>13</v>
      </c>
      <c r="G589">
        <v>13</v>
      </c>
      <c r="H589" t="s">
        <v>195</v>
      </c>
      <c r="I589">
        <v>40</v>
      </c>
      <c r="J589">
        <v>1767.86</v>
      </c>
      <c r="K589">
        <f t="shared" si="11"/>
        <v>22982.18</v>
      </c>
    </row>
    <row r="590" spans="1:11" x14ac:dyDescent="0.35">
      <c r="A590" t="s">
        <v>791</v>
      </c>
      <c r="B590" s="1">
        <v>45285</v>
      </c>
      <c r="C590" t="s">
        <v>15</v>
      </c>
      <c r="D590" t="s">
        <v>19</v>
      </c>
      <c r="E590" t="s">
        <v>20</v>
      </c>
      <c r="F590" t="s">
        <v>35</v>
      </c>
      <c r="G590">
        <v>18</v>
      </c>
      <c r="H590" t="s">
        <v>96</v>
      </c>
      <c r="I590">
        <v>23</v>
      </c>
      <c r="J590">
        <v>1279.4100000000001</v>
      </c>
      <c r="K590">
        <f t="shared" si="11"/>
        <v>23029.38</v>
      </c>
    </row>
    <row r="591" spans="1:11" x14ac:dyDescent="0.35">
      <c r="A591" t="s">
        <v>792</v>
      </c>
      <c r="B591" s="1">
        <v>44958</v>
      </c>
      <c r="C591" t="s">
        <v>10</v>
      </c>
      <c r="D591" t="s">
        <v>38</v>
      </c>
      <c r="E591" t="s">
        <v>39</v>
      </c>
      <c r="F591" t="s">
        <v>29</v>
      </c>
      <c r="G591">
        <v>17</v>
      </c>
      <c r="H591" t="s">
        <v>195</v>
      </c>
      <c r="I591">
        <v>24</v>
      </c>
      <c r="J591">
        <v>1356.25</v>
      </c>
      <c r="K591">
        <f t="shared" si="11"/>
        <v>23056.25</v>
      </c>
    </row>
    <row r="592" spans="1:11" x14ac:dyDescent="0.35">
      <c r="A592" t="s">
        <v>793</v>
      </c>
      <c r="B592" s="1">
        <v>45273</v>
      </c>
      <c r="C592" t="s">
        <v>10</v>
      </c>
      <c r="D592" t="s">
        <v>11</v>
      </c>
      <c r="E592" t="s">
        <v>12</v>
      </c>
      <c r="F592" t="s">
        <v>18</v>
      </c>
      <c r="G592">
        <v>11</v>
      </c>
      <c r="H592" t="s">
        <v>26</v>
      </c>
      <c r="I592">
        <v>47</v>
      </c>
      <c r="J592">
        <v>2097.48</v>
      </c>
      <c r="K592">
        <f t="shared" si="11"/>
        <v>23072.28</v>
      </c>
    </row>
    <row r="593" spans="1:11" x14ac:dyDescent="0.35">
      <c r="A593" t="s">
        <v>794</v>
      </c>
      <c r="B593" s="1">
        <v>45062</v>
      </c>
      <c r="C593" t="s">
        <v>15</v>
      </c>
      <c r="D593" t="s">
        <v>19</v>
      </c>
      <c r="E593" t="s">
        <v>20</v>
      </c>
      <c r="F593" t="s">
        <v>13</v>
      </c>
      <c r="G593">
        <v>5</v>
      </c>
      <c r="H593" t="s">
        <v>14</v>
      </c>
      <c r="I593">
        <v>25</v>
      </c>
      <c r="J593">
        <v>4619.16</v>
      </c>
      <c r="K593">
        <f t="shared" si="11"/>
        <v>23095.8</v>
      </c>
    </row>
    <row r="594" spans="1:11" x14ac:dyDescent="0.35">
      <c r="A594" t="s">
        <v>795</v>
      </c>
      <c r="B594" s="1">
        <v>45238</v>
      </c>
      <c r="C594" t="s">
        <v>23</v>
      </c>
      <c r="D594" t="s">
        <v>24</v>
      </c>
      <c r="E594" t="s">
        <v>25</v>
      </c>
      <c r="F594" t="s">
        <v>35</v>
      </c>
      <c r="G594">
        <v>15</v>
      </c>
      <c r="H594" t="s">
        <v>195</v>
      </c>
      <c r="I594">
        <v>39</v>
      </c>
      <c r="J594">
        <v>1543.85</v>
      </c>
      <c r="K594">
        <f t="shared" si="11"/>
        <v>23157.75</v>
      </c>
    </row>
    <row r="595" spans="1:11" x14ac:dyDescent="0.35">
      <c r="A595" t="s">
        <v>796</v>
      </c>
      <c r="B595" s="1">
        <v>45019</v>
      </c>
      <c r="C595" t="s">
        <v>15</v>
      </c>
      <c r="D595" t="s">
        <v>16</v>
      </c>
      <c r="E595" t="s">
        <v>34</v>
      </c>
      <c r="F595" t="s">
        <v>29</v>
      </c>
      <c r="G595">
        <v>14</v>
      </c>
      <c r="H595" t="s">
        <v>28</v>
      </c>
      <c r="I595">
        <v>35</v>
      </c>
      <c r="J595">
        <v>1658.39</v>
      </c>
      <c r="K595">
        <f t="shared" si="11"/>
        <v>23217.460000000003</v>
      </c>
    </row>
    <row r="596" spans="1:11" x14ac:dyDescent="0.35">
      <c r="A596" t="s">
        <v>797</v>
      </c>
      <c r="B596" s="1">
        <v>45187</v>
      </c>
      <c r="C596" t="s">
        <v>15</v>
      </c>
      <c r="D596" t="s">
        <v>19</v>
      </c>
      <c r="E596" t="s">
        <v>22</v>
      </c>
      <c r="F596" t="s">
        <v>21</v>
      </c>
      <c r="G596">
        <v>12</v>
      </c>
      <c r="H596" t="s">
        <v>14</v>
      </c>
      <c r="I596">
        <v>27</v>
      </c>
      <c r="J596">
        <v>1947.14</v>
      </c>
      <c r="K596">
        <f t="shared" si="11"/>
        <v>23365.68</v>
      </c>
    </row>
    <row r="597" spans="1:11" x14ac:dyDescent="0.35">
      <c r="A597" t="s">
        <v>798</v>
      </c>
      <c r="B597" s="1">
        <v>45164</v>
      </c>
      <c r="C597" t="s">
        <v>15</v>
      </c>
      <c r="D597" t="s">
        <v>19</v>
      </c>
      <c r="E597" t="s">
        <v>20</v>
      </c>
      <c r="F597" t="s">
        <v>29</v>
      </c>
      <c r="G597">
        <v>10</v>
      </c>
      <c r="H597" t="s">
        <v>37</v>
      </c>
      <c r="I597">
        <v>34</v>
      </c>
      <c r="J597">
        <v>2349.2399999999998</v>
      </c>
      <c r="K597">
        <f t="shared" si="11"/>
        <v>23492.399999999998</v>
      </c>
    </row>
    <row r="598" spans="1:11" x14ac:dyDescent="0.35">
      <c r="A598" t="s">
        <v>799</v>
      </c>
      <c r="B598" s="1">
        <v>44987</v>
      </c>
      <c r="C598" t="s">
        <v>10</v>
      </c>
      <c r="D598" t="s">
        <v>11</v>
      </c>
      <c r="E598" t="s">
        <v>27</v>
      </c>
      <c r="F598" t="s">
        <v>21</v>
      </c>
      <c r="G598">
        <v>18</v>
      </c>
      <c r="H598" t="s">
        <v>31</v>
      </c>
      <c r="I598">
        <v>31</v>
      </c>
      <c r="J598">
        <v>1306.19</v>
      </c>
      <c r="K598">
        <f t="shared" si="11"/>
        <v>23511.420000000002</v>
      </c>
    </row>
    <row r="599" spans="1:11" x14ac:dyDescent="0.35">
      <c r="A599" t="s">
        <v>800</v>
      </c>
      <c r="B599" s="1">
        <v>45110</v>
      </c>
      <c r="C599" t="s">
        <v>10</v>
      </c>
      <c r="D599" t="s">
        <v>11</v>
      </c>
      <c r="E599" t="s">
        <v>41</v>
      </c>
      <c r="F599" t="s">
        <v>13</v>
      </c>
      <c r="G599">
        <v>5</v>
      </c>
      <c r="H599" t="s">
        <v>30</v>
      </c>
      <c r="I599">
        <v>21</v>
      </c>
      <c r="J599">
        <v>4716.38</v>
      </c>
      <c r="K599">
        <f t="shared" si="11"/>
        <v>23581.9</v>
      </c>
    </row>
    <row r="600" spans="1:11" x14ac:dyDescent="0.35">
      <c r="A600" t="s">
        <v>801</v>
      </c>
      <c r="B600" s="1">
        <v>45172</v>
      </c>
      <c r="C600" t="s">
        <v>23</v>
      </c>
      <c r="D600" t="s">
        <v>24</v>
      </c>
      <c r="E600" t="s">
        <v>25</v>
      </c>
      <c r="F600" t="s">
        <v>13</v>
      </c>
      <c r="G600">
        <v>12</v>
      </c>
      <c r="H600" t="s">
        <v>28</v>
      </c>
      <c r="I600">
        <v>39</v>
      </c>
      <c r="J600">
        <v>1973.14</v>
      </c>
      <c r="K600">
        <f t="shared" si="11"/>
        <v>23677.68</v>
      </c>
    </row>
    <row r="601" spans="1:11" x14ac:dyDescent="0.35">
      <c r="A601" t="s">
        <v>802</v>
      </c>
      <c r="B601" s="1">
        <v>45248</v>
      </c>
      <c r="C601" t="s">
        <v>15</v>
      </c>
      <c r="D601" t="s">
        <v>19</v>
      </c>
      <c r="E601" t="s">
        <v>22</v>
      </c>
      <c r="F601" t="s">
        <v>13</v>
      </c>
      <c r="G601">
        <v>16</v>
      </c>
      <c r="H601" t="s">
        <v>28</v>
      </c>
      <c r="I601">
        <v>54</v>
      </c>
      <c r="J601">
        <v>1480.7</v>
      </c>
      <c r="K601">
        <f t="shared" si="11"/>
        <v>23691.200000000001</v>
      </c>
    </row>
    <row r="602" spans="1:11" x14ac:dyDescent="0.35">
      <c r="A602" t="s">
        <v>803</v>
      </c>
      <c r="B602" s="1">
        <v>44993</v>
      </c>
      <c r="C602" t="s">
        <v>10</v>
      </c>
      <c r="D602" t="s">
        <v>11</v>
      </c>
      <c r="E602" t="s">
        <v>27</v>
      </c>
      <c r="F602" t="s">
        <v>21</v>
      </c>
      <c r="G602">
        <v>14</v>
      </c>
      <c r="H602" t="s">
        <v>36</v>
      </c>
      <c r="I602">
        <v>38</v>
      </c>
      <c r="J602">
        <v>1694.59</v>
      </c>
      <c r="K602">
        <f t="shared" si="11"/>
        <v>23724.26</v>
      </c>
    </row>
    <row r="603" spans="1:11" x14ac:dyDescent="0.35">
      <c r="A603" t="s">
        <v>804</v>
      </c>
      <c r="B603" s="1">
        <v>45260</v>
      </c>
      <c r="C603" t="s">
        <v>15</v>
      </c>
      <c r="D603" t="s">
        <v>16</v>
      </c>
      <c r="E603" t="s">
        <v>34</v>
      </c>
      <c r="F603" t="s">
        <v>29</v>
      </c>
      <c r="G603">
        <v>7</v>
      </c>
      <c r="H603" t="s">
        <v>31</v>
      </c>
      <c r="I603">
        <v>20</v>
      </c>
      <c r="J603">
        <v>3402.48</v>
      </c>
      <c r="K603">
        <f t="shared" si="11"/>
        <v>23817.360000000001</v>
      </c>
    </row>
    <row r="604" spans="1:11" x14ac:dyDescent="0.35">
      <c r="A604" t="s">
        <v>805</v>
      </c>
      <c r="B604" s="1">
        <v>45228</v>
      </c>
      <c r="C604" t="s">
        <v>23</v>
      </c>
      <c r="D604" t="s">
        <v>24</v>
      </c>
      <c r="E604" t="s">
        <v>44</v>
      </c>
      <c r="F604" t="s">
        <v>18</v>
      </c>
      <c r="G604">
        <v>7</v>
      </c>
      <c r="H604" t="s">
        <v>96</v>
      </c>
      <c r="I604">
        <v>24</v>
      </c>
      <c r="J604">
        <v>3415.15</v>
      </c>
      <c r="K604">
        <f t="shared" si="11"/>
        <v>23906.05</v>
      </c>
    </row>
    <row r="605" spans="1:11" x14ac:dyDescent="0.35">
      <c r="A605" t="s">
        <v>806</v>
      </c>
      <c r="B605" s="1">
        <v>45180</v>
      </c>
      <c r="C605" t="s">
        <v>10</v>
      </c>
      <c r="D605" t="s">
        <v>11</v>
      </c>
      <c r="E605" t="s">
        <v>41</v>
      </c>
      <c r="F605" t="s">
        <v>21</v>
      </c>
      <c r="G605">
        <v>9</v>
      </c>
      <c r="H605" t="s">
        <v>26</v>
      </c>
      <c r="I605">
        <v>24</v>
      </c>
      <c r="J605">
        <v>2660.79</v>
      </c>
      <c r="K605">
        <f t="shared" si="11"/>
        <v>23947.11</v>
      </c>
    </row>
    <row r="606" spans="1:11" x14ac:dyDescent="0.35">
      <c r="A606" t="s">
        <v>807</v>
      </c>
      <c r="B606" s="1">
        <v>45289</v>
      </c>
      <c r="C606" t="s">
        <v>10</v>
      </c>
      <c r="D606" t="s">
        <v>38</v>
      </c>
      <c r="E606" t="s">
        <v>42</v>
      </c>
      <c r="F606" t="s">
        <v>13</v>
      </c>
      <c r="G606">
        <v>14</v>
      </c>
      <c r="H606" t="s">
        <v>37</v>
      </c>
      <c r="I606">
        <v>24</v>
      </c>
      <c r="J606">
        <v>1720</v>
      </c>
      <c r="K606">
        <f t="shared" si="11"/>
        <v>24080</v>
      </c>
    </row>
    <row r="607" spans="1:11" x14ac:dyDescent="0.35">
      <c r="A607" t="s">
        <v>808</v>
      </c>
      <c r="B607" s="1">
        <v>44975</v>
      </c>
      <c r="C607" t="s">
        <v>10</v>
      </c>
      <c r="D607" t="s">
        <v>38</v>
      </c>
      <c r="E607" t="s">
        <v>39</v>
      </c>
      <c r="F607" t="s">
        <v>13</v>
      </c>
      <c r="G607">
        <v>9</v>
      </c>
      <c r="H607" t="s">
        <v>33</v>
      </c>
      <c r="I607">
        <v>35</v>
      </c>
      <c r="J607">
        <v>2677.7</v>
      </c>
      <c r="K607">
        <f t="shared" si="11"/>
        <v>24099.3</v>
      </c>
    </row>
    <row r="608" spans="1:11" x14ac:dyDescent="0.35">
      <c r="A608" t="s">
        <v>809</v>
      </c>
      <c r="B608" s="1">
        <v>44976</v>
      </c>
      <c r="C608" t="s">
        <v>10</v>
      </c>
      <c r="D608" t="s">
        <v>38</v>
      </c>
      <c r="E608" t="s">
        <v>39</v>
      </c>
      <c r="F608" t="s">
        <v>21</v>
      </c>
      <c r="G608">
        <v>16</v>
      </c>
      <c r="H608" t="s">
        <v>33</v>
      </c>
      <c r="I608">
        <v>49</v>
      </c>
      <c r="J608">
        <v>1514.31</v>
      </c>
      <c r="K608">
        <f t="shared" si="11"/>
        <v>24228.959999999999</v>
      </c>
    </row>
    <row r="609" spans="1:11" x14ac:dyDescent="0.35">
      <c r="A609" t="s">
        <v>810</v>
      </c>
      <c r="B609" s="1">
        <v>45027</v>
      </c>
      <c r="C609" t="s">
        <v>10</v>
      </c>
      <c r="D609" t="s">
        <v>38</v>
      </c>
      <c r="E609" t="s">
        <v>40</v>
      </c>
      <c r="F609" t="s">
        <v>21</v>
      </c>
      <c r="G609">
        <v>6</v>
      </c>
      <c r="H609" t="s">
        <v>14</v>
      </c>
      <c r="I609">
        <v>52</v>
      </c>
      <c r="J609">
        <v>4042.16</v>
      </c>
      <c r="K609">
        <f t="shared" si="11"/>
        <v>24252.959999999999</v>
      </c>
    </row>
    <row r="610" spans="1:11" x14ac:dyDescent="0.35">
      <c r="A610" t="s">
        <v>811</v>
      </c>
      <c r="B610" s="1">
        <v>44996</v>
      </c>
      <c r="C610" t="s">
        <v>10</v>
      </c>
      <c r="D610" t="s">
        <v>11</v>
      </c>
      <c r="E610" t="s">
        <v>12</v>
      </c>
      <c r="F610" t="s">
        <v>18</v>
      </c>
      <c r="G610">
        <v>20</v>
      </c>
      <c r="H610" t="s">
        <v>97</v>
      </c>
      <c r="I610">
        <v>19</v>
      </c>
      <c r="J610">
        <v>1222.92</v>
      </c>
      <c r="K610">
        <f t="shared" si="11"/>
        <v>24458.400000000001</v>
      </c>
    </row>
    <row r="611" spans="1:11" x14ac:dyDescent="0.35">
      <c r="A611" t="s">
        <v>812</v>
      </c>
      <c r="B611" s="1">
        <v>45134</v>
      </c>
      <c r="C611" t="s">
        <v>23</v>
      </c>
      <c r="D611" t="s">
        <v>24</v>
      </c>
      <c r="E611" t="s">
        <v>25</v>
      </c>
      <c r="F611" t="s">
        <v>18</v>
      </c>
      <c r="G611">
        <v>6</v>
      </c>
      <c r="H611" t="s">
        <v>36</v>
      </c>
      <c r="I611">
        <v>26</v>
      </c>
      <c r="J611">
        <v>4100.9799999999996</v>
      </c>
      <c r="K611">
        <f t="shared" si="11"/>
        <v>24605.879999999997</v>
      </c>
    </row>
    <row r="612" spans="1:11" x14ac:dyDescent="0.35">
      <c r="A612" t="s">
        <v>813</v>
      </c>
      <c r="B612" s="1">
        <v>44955</v>
      </c>
      <c r="C612" t="s">
        <v>10</v>
      </c>
      <c r="D612" t="s">
        <v>11</v>
      </c>
      <c r="E612" t="s">
        <v>27</v>
      </c>
      <c r="F612" t="s">
        <v>35</v>
      </c>
      <c r="G612">
        <v>17</v>
      </c>
      <c r="H612" t="s">
        <v>31</v>
      </c>
      <c r="I612">
        <v>38</v>
      </c>
      <c r="J612">
        <v>1457.07</v>
      </c>
      <c r="K612">
        <f t="shared" si="11"/>
        <v>24770.19</v>
      </c>
    </row>
    <row r="613" spans="1:11" x14ac:dyDescent="0.35">
      <c r="A613" t="s">
        <v>814</v>
      </c>
      <c r="B613" s="1">
        <v>45177</v>
      </c>
      <c r="C613" t="s">
        <v>10</v>
      </c>
      <c r="D613" t="s">
        <v>38</v>
      </c>
      <c r="E613" t="s">
        <v>39</v>
      </c>
      <c r="F613" t="s">
        <v>29</v>
      </c>
      <c r="G613">
        <v>18</v>
      </c>
      <c r="H613" t="s">
        <v>26</v>
      </c>
      <c r="I613">
        <v>30</v>
      </c>
      <c r="J613">
        <v>1376.52</v>
      </c>
      <c r="K613">
        <f t="shared" si="11"/>
        <v>24777.360000000001</v>
      </c>
    </row>
    <row r="614" spans="1:11" x14ac:dyDescent="0.35">
      <c r="A614" t="s">
        <v>815</v>
      </c>
      <c r="B614" s="1">
        <v>45112</v>
      </c>
      <c r="C614" t="s">
        <v>15</v>
      </c>
      <c r="D614" t="s">
        <v>19</v>
      </c>
      <c r="E614" t="s">
        <v>32</v>
      </c>
      <c r="F614" t="s">
        <v>18</v>
      </c>
      <c r="G614">
        <v>14</v>
      </c>
      <c r="H614" t="s">
        <v>33</v>
      </c>
      <c r="I614">
        <v>29</v>
      </c>
      <c r="J614">
        <v>1770.36</v>
      </c>
      <c r="K614">
        <f t="shared" si="11"/>
        <v>24785.039999999997</v>
      </c>
    </row>
    <row r="615" spans="1:11" x14ac:dyDescent="0.35">
      <c r="A615" t="s">
        <v>816</v>
      </c>
      <c r="B615" s="1">
        <v>45149</v>
      </c>
      <c r="C615" t="s">
        <v>15</v>
      </c>
      <c r="D615" t="s">
        <v>19</v>
      </c>
      <c r="E615" t="s">
        <v>22</v>
      </c>
      <c r="F615" t="s">
        <v>18</v>
      </c>
      <c r="G615">
        <v>19</v>
      </c>
      <c r="H615" t="s">
        <v>96</v>
      </c>
      <c r="I615">
        <v>31</v>
      </c>
      <c r="J615">
        <v>1309.6500000000001</v>
      </c>
      <c r="K615">
        <f t="shared" si="11"/>
        <v>24883.350000000002</v>
      </c>
    </row>
    <row r="616" spans="1:11" x14ac:dyDescent="0.35">
      <c r="A616" t="s">
        <v>817</v>
      </c>
      <c r="B616" s="1">
        <v>45208</v>
      </c>
      <c r="C616" t="s">
        <v>15</v>
      </c>
      <c r="D616" t="s">
        <v>16</v>
      </c>
      <c r="E616" t="s">
        <v>34</v>
      </c>
      <c r="F616" t="s">
        <v>18</v>
      </c>
      <c r="G616">
        <v>9</v>
      </c>
      <c r="H616" t="s">
        <v>31</v>
      </c>
      <c r="I616">
        <v>48</v>
      </c>
      <c r="J616">
        <v>2770.27</v>
      </c>
      <c r="K616">
        <f t="shared" si="11"/>
        <v>24932.43</v>
      </c>
    </row>
    <row r="617" spans="1:11" x14ac:dyDescent="0.35">
      <c r="A617" t="s">
        <v>818</v>
      </c>
      <c r="B617" s="1">
        <v>44998</v>
      </c>
      <c r="C617" t="s">
        <v>10</v>
      </c>
      <c r="D617" t="s">
        <v>11</v>
      </c>
      <c r="E617" t="s">
        <v>12</v>
      </c>
      <c r="F617" t="s">
        <v>13</v>
      </c>
      <c r="G617">
        <v>5</v>
      </c>
      <c r="H617" t="s">
        <v>31</v>
      </c>
      <c r="I617">
        <v>21</v>
      </c>
      <c r="J617">
        <v>4987.7</v>
      </c>
      <c r="K617">
        <f t="shared" si="11"/>
        <v>24938.5</v>
      </c>
    </row>
    <row r="618" spans="1:11" x14ac:dyDescent="0.35">
      <c r="A618" t="s">
        <v>819</v>
      </c>
      <c r="B618" s="1">
        <v>45626</v>
      </c>
      <c r="C618" t="s">
        <v>10</v>
      </c>
      <c r="D618" t="s">
        <v>11</v>
      </c>
      <c r="E618" t="s">
        <v>12</v>
      </c>
      <c r="F618" t="s">
        <v>13</v>
      </c>
      <c r="G618">
        <v>5</v>
      </c>
      <c r="H618" t="s">
        <v>28</v>
      </c>
      <c r="I618">
        <v>21</v>
      </c>
      <c r="J618">
        <v>4987.7</v>
      </c>
      <c r="K618">
        <f t="shared" si="11"/>
        <v>24938.5</v>
      </c>
    </row>
    <row r="619" spans="1:11" x14ac:dyDescent="0.35">
      <c r="A619" t="s">
        <v>820</v>
      </c>
      <c r="B619" s="1">
        <v>45266</v>
      </c>
      <c r="C619" t="s">
        <v>15</v>
      </c>
      <c r="D619" t="s">
        <v>19</v>
      </c>
      <c r="E619" t="s">
        <v>32</v>
      </c>
      <c r="F619" t="s">
        <v>13</v>
      </c>
      <c r="G619">
        <v>5</v>
      </c>
      <c r="H619" t="s">
        <v>30</v>
      </c>
      <c r="I619">
        <v>51</v>
      </c>
      <c r="J619">
        <v>4987.84</v>
      </c>
      <c r="K619">
        <f t="shared" si="11"/>
        <v>24939.200000000001</v>
      </c>
    </row>
    <row r="620" spans="1:11" x14ac:dyDescent="0.35">
      <c r="A620" t="s">
        <v>821</v>
      </c>
      <c r="B620" s="1">
        <v>45257</v>
      </c>
      <c r="C620" t="s">
        <v>15</v>
      </c>
      <c r="D620" t="s">
        <v>16</v>
      </c>
      <c r="E620" t="s">
        <v>17</v>
      </c>
      <c r="F620" t="s">
        <v>18</v>
      </c>
      <c r="G620">
        <v>8</v>
      </c>
      <c r="H620" t="s">
        <v>14</v>
      </c>
      <c r="I620">
        <v>55</v>
      </c>
      <c r="J620">
        <v>3120.6</v>
      </c>
      <c r="K620">
        <f t="shared" si="11"/>
        <v>24964.799999999999</v>
      </c>
    </row>
    <row r="621" spans="1:11" x14ac:dyDescent="0.35">
      <c r="A621" t="s">
        <v>822</v>
      </c>
      <c r="B621" s="1">
        <v>45226</v>
      </c>
      <c r="C621" t="s">
        <v>23</v>
      </c>
      <c r="D621" t="s">
        <v>24</v>
      </c>
      <c r="E621" t="s">
        <v>25</v>
      </c>
      <c r="F621" t="s">
        <v>18</v>
      </c>
      <c r="G621">
        <v>5</v>
      </c>
      <c r="H621" t="s">
        <v>26</v>
      </c>
      <c r="I621">
        <v>50</v>
      </c>
      <c r="J621">
        <v>4993.87</v>
      </c>
      <c r="K621">
        <f t="shared" si="11"/>
        <v>24969.35</v>
      </c>
    </row>
    <row r="622" spans="1:11" x14ac:dyDescent="0.35">
      <c r="A622" t="s">
        <v>823</v>
      </c>
      <c r="B622" s="1">
        <v>45289</v>
      </c>
      <c r="C622" t="s">
        <v>15</v>
      </c>
      <c r="D622" t="s">
        <v>16</v>
      </c>
      <c r="E622" t="s">
        <v>34</v>
      </c>
      <c r="F622" t="s">
        <v>18</v>
      </c>
      <c r="G622">
        <v>13</v>
      </c>
      <c r="H622" t="s">
        <v>97</v>
      </c>
      <c r="I622">
        <v>31</v>
      </c>
      <c r="J622">
        <v>1929.55</v>
      </c>
      <c r="K622">
        <f t="shared" si="11"/>
        <v>25084.149999999998</v>
      </c>
    </row>
    <row r="623" spans="1:11" x14ac:dyDescent="0.35">
      <c r="A623" t="s">
        <v>824</v>
      </c>
      <c r="B623" s="1">
        <v>45256</v>
      </c>
      <c r="C623" t="s">
        <v>10</v>
      </c>
      <c r="D623" t="s">
        <v>11</v>
      </c>
      <c r="E623" t="s">
        <v>27</v>
      </c>
      <c r="F623" t="s">
        <v>35</v>
      </c>
      <c r="G623">
        <v>20</v>
      </c>
      <c r="H623" t="s">
        <v>37</v>
      </c>
      <c r="I623">
        <v>43</v>
      </c>
      <c r="J623">
        <v>1260.25</v>
      </c>
      <c r="K623">
        <f t="shared" si="11"/>
        <v>25205</v>
      </c>
    </row>
    <row r="624" spans="1:11" x14ac:dyDescent="0.35">
      <c r="A624" t="s">
        <v>825</v>
      </c>
      <c r="B624" s="1">
        <v>45131</v>
      </c>
      <c r="C624" t="s">
        <v>10</v>
      </c>
      <c r="D624" t="s">
        <v>11</v>
      </c>
      <c r="E624" t="s">
        <v>41</v>
      </c>
      <c r="F624" t="s">
        <v>21</v>
      </c>
      <c r="G624">
        <v>16</v>
      </c>
      <c r="H624" t="s">
        <v>30</v>
      </c>
      <c r="I624">
        <v>28</v>
      </c>
      <c r="J624">
        <v>1575.89</v>
      </c>
      <c r="K624">
        <f t="shared" si="11"/>
        <v>25214.240000000002</v>
      </c>
    </row>
    <row r="625" spans="1:11" x14ac:dyDescent="0.35">
      <c r="A625" t="s">
        <v>826</v>
      </c>
      <c r="B625" s="1">
        <v>44978</v>
      </c>
      <c r="C625" t="s">
        <v>23</v>
      </c>
      <c r="D625" t="s">
        <v>24</v>
      </c>
      <c r="E625" t="s">
        <v>25</v>
      </c>
      <c r="F625" t="s">
        <v>21</v>
      </c>
      <c r="G625">
        <v>6</v>
      </c>
      <c r="H625" t="s">
        <v>26</v>
      </c>
      <c r="I625">
        <v>36</v>
      </c>
      <c r="J625">
        <v>4219.6099999999997</v>
      </c>
      <c r="K625">
        <f t="shared" si="11"/>
        <v>25317.659999999996</v>
      </c>
    </row>
    <row r="626" spans="1:11" x14ac:dyDescent="0.35">
      <c r="A626" t="s">
        <v>827</v>
      </c>
      <c r="B626" s="1">
        <v>45241</v>
      </c>
      <c r="C626" t="s">
        <v>15</v>
      </c>
      <c r="D626" t="s">
        <v>16</v>
      </c>
      <c r="E626" t="s">
        <v>43</v>
      </c>
      <c r="F626" t="s">
        <v>21</v>
      </c>
      <c r="G626">
        <v>10</v>
      </c>
      <c r="H626" t="s">
        <v>26</v>
      </c>
      <c r="I626">
        <v>21</v>
      </c>
      <c r="J626">
        <v>2539.6799999999998</v>
      </c>
      <c r="K626">
        <f t="shared" si="11"/>
        <v>25396.799999999999</v>
      </c>
    </row>
    <row r="627" spans="1:11" x14ac:dyDescent="0.35">
      <c r="A627" t="s">
        <v>828</v>
      </c>
      <c r="B627" s="1">
        <v>45065</v>
      </c>
      <c r="C627" t="s">
        <v>23</v>
      </c>
      <c r="D627" t="s">
        <v>24</v>
      </c>
      <c r="E627" t="s">
        <v>25</v>
      </c>
      <c r="F627" t="s">
        <v>13</v>
      </c>
      <c r="G627">
        <v>13</v>
      </c>
      <c r="H627" t="s">
        <v>14</v>
      </c>
      <c r="I627">
        <v>22</v>
      </c>
      <c r="J627">
        <v>1965.63</v>
      </c>
      <c r="K627">
        <f t="shared" si="11"/>
        <v>25553.190000000002</v>
      </c>
    </row>
    <row r="628" spans="1:11" x14ac:dyDescent="0.35">
      <c r="A628" t="s">
        <v>829</v>
      </c>
      <c r="B628" s="1">
        <v>45619</v>
      </c>
      <c r="C628" t="s">
        <v>23</v>
      </c>
      <c r="D628" t="s">
        <v>24</v>
      </c>
      <c r="E628" t="s">
        <v>25</v>
      </c>
      <c r="F628" t="s">
        <v>13</v>
      </c>
      <c r="G628">
        <v>13</v>
      </c>
      <c r="H628" t="s">
        <v>14</v>
      </c>
      <c r="I628">
        <v>22</v>
      </c>
      <c r="J628">
        <v>1965.63</v>
      </c>
      <c r="K628">
        <f t="shared" si="11"/>
        <v>25553.190000000002</v>
      </c>
    </row>
    <row r="629" spans="1:11" x14ac:dyDescent="0.35">
      <c r="A629" t="s">
        <v>830</v>
      </c>
      <c r="B629" s="1">
        <v>45113</v>
      </c>
      <c r="C629" t="s">
        <v>10</v>
      </c>
      <c r="D629" t="s">
        <v>38</v>
      </c>
      <c r="E629" t="s">
        <v>42</v>
      </c>
      <c r="F629" t="s">
        <v>35</v>
      </c>
      <c r="G629">
        <v>6</v>
      </c>
      <c r="H629" t="s">
        <v>33</v>
      </c>
      <c r="I629">
        <v>23</v>
      </c>
      <c r="J629">
        <v>4265.8599999999997</v>
      </c>
      <c r="K629">
        <f t="shared" si="11"/>
        <v>25595.159999999996</v>
      </c>
    </row>
    <row r="630" spans="1:11" x14ac:dyDescent="0.35">
      <c r="A630" t="s">
        <v>831</v>
      </c>
      <c r="B630" s="1">
        <v>45047</v>
      </c>
      <c r="C630" t="s">
        <v>15</v>
      </c>
      <c r="D630" t="s">
        <v>16</v>
      </c>
      <c r="E630" t="s">
        <v>34</v>
      </c>
      <c r="F630" t="s">
        <v>18</v>
      </c>
      <c r="G630">
        <v>15</v>
      </c>
      <c r="H630" t="s">
        <v>26</v>
      </c>
      <c r="I630">
        <v>33</v>
      </c>
      <c r="J630">
        <v>1712.05</v>
      </c>
      <c r="K630">
        <f t="shared" si="11"/>
        <v>25680.75</v>
      </c>
    </row>
    <row r="631" spans="1:11" x14ac:dyDescent="0.35">
      <c r="A631" t="s">
        <v>832</v>
      </c>
      <c r="B631" s="1">
        <v>45220</v>
      </c>
      <c r="C631" t="s">
        <v>15</v>
      </c>
      <c r="D631" t="s">
        <v>16</v>
      </c>
      <c r="E631" t="s">
        <v>17</v>
      </c>
      <c r="F631" t="s">
        <v>21</v>
      </c>
      <c r="G631">
        <v>13</v>
      </c>
      <c r="H631" t="s">
        <v>14</v>
      </c>
      <c r="I631">
        <v>30</v>
      </c>
      <c r="J631">
        <v>1976.63</v>
      </c>
      <c r="K631">
        <f t="shared" si="11"/>
        <v>25696.190000000002</v>
      </c>
    </row>
    <row r="632" spans="1:11" x14ac:dyDescent="0.35">
      <c r="A632" t="s">
        <v>833</v>
      </c>
      <c r="B632" s="1">
        <v>45107</v>
      </c>
      <c r="C632" t="s">
        <v>23</v>
      </c>
      <c r="D632" t="s">
        <v>24</v>
      </c>
      <c r="E632" t="s">
        <v>45</v>
      </c>
      <c r="F632" t="s">
        <v>29</v>
      </c>
      <c r="G632">
        <v>17</v>
      </c>
      <c r="H632" t="s">
        <v>30</v>
      </c>
      <c r="I632">
        <v>23</v>
      </c>
      <c r="J632">
        <v>1538.4</v>
      </c>
      <c r="K632">
        <f t="shared" si="11"/>
        <v>26152.800000000003</v>
      </c>
    </row>
    <row r="633" spans="1:11" x14ac:dyDescent="0.35">
      <c r="A633" t="s">
        <v>834</v>
      </c>
      <c r="B633" s="1">
        <v>45000</v>
      </c>
      <c r="C633" t="s">
        <v>23</v>
      </c>
      <c r="D633" t="s">
        <v>24</v>
      </c>
      <c r="E633" t="s">
        <v>44</v>
      </c>
      <c r="F633" t="s">
        <v>21</v>
      </c>
      <c r="G633">
        <v>6</v>
      </c>
      <c r="H633" t="s">
        <v>14</v>
      </c>
      <c r="I633">
        <v>34</v>
      </c>
      <c r="J633">
        <v>4364.67</v>
      </c>
      <c r="K633">
        <f t="shared" si="11"/>
        <v>26188.02</v>
      </c>
    </row>
    <row r="634" spans="1:11" x14ac:dyDescent="0.35">
      <c r="A634" t="s">
        <v>835</v>
      </c>
      <c r="B634" s="1">
        <v>44970</v>
      </c>
      <c r="C634" t="s">
        <v>15</v>
      </c>
      <c r="D634" t="s">
        <v>16</v>
      </c>
      <c r="E634" t="s">
        <v>34</v>
      </c>
      <c r="F634" t="s">
        <v>29</v>
      </c>
      <c r="G634">
        <v>20</v>
      </c>
      <c r="H634" t="s">
        <v>33</v>
      </c>
      <c r="I634">
        <v>30</v>
      </c>
      <c r="J634">
        <v>1310.3699999999999</v>
      </c>
      <c r="K634">
        <f t="shared" si="11"/>
        <v>26207.399999999998</v>
      </c>
    </row>
    <row r="635" spans="1:11" x14ac:dyDescent="0.35">
      <c r="A635" t="s">
        <v>836</v>
      </c>
      <c r="B635" s="1">
        <v>45219</v>
      </c>
      <c r="C635" t="s">
        <v>10</v>
      </c>
      <c r="D635" t="s">
        <v>38</v>
      </c>
      <c r="E635" t="s">
        <v>40</v>
      </c>
      <c r="F635" t="s">
        <v>13</v>
      </c>
      <c r="G635">
        <v>12</v>
      </c>
      <c r="H635" t="s">
        <v>26</v>
      </c>
      <c r="I635">
        <v>22</v>
      </c>
      <c r="J635">
        <v>2208.4899999999998</v>
      </c>
      <c r="K635">
        <f t="shared" si="11"/>
        <v>26501.879999999997</v>
      </c>
    </row>
    <row r="636" spans="1:11" x14ac:dyDescent="0.35">
      <c r="A636" t="s">
        <v>837</v>
      </c>
      <c r="B636" s="1">
        <v>44999</v>
      </c>
      <c r="C636" t="s">
        <v>15</v>
      </c>
      <c r="D636" t="s">
        <v>16</v>
      </c>
      <c r="E636" t="s">
        <v>17</v>
      </c>
      <c r="F636" t="s">
        <v>29</v>
      </c>
      <c r="G636">
        <v>19</v>
      </c>
      <c r="H636" t="s">
        <v>14</v>
      </c>
      <c r="I636">
        <v>18</v>
      </c>
      <c r="J636">
        <v>1398.49</v>
      </c>
      <c r="K636">
        <f t="shared" si="11"/>
        <v>26571.31</v>
      </c>
    </row>
    <row r="637" spans="1:11" x14ac:dyDescent="0.35">
      <c r="A637" t="s">
        <v>838</v>
      </c>
      <c r="B637" s="1">
        <v>44946</v>
      </c>
      <c r="C637" t="s">
        <v>15</v>
      </c>
      <c r="D637" t="s">
        <v>19</v>
      </c>
      <c r="E637" t="s">
        <v>32</v>
      </c>
      <c r="F637" t="s">
        <v>13</v>
      </c>
      <c r="G637">
        <v>11</v>
      </c>
      <c r="H637" t="s">
        <v>96</v>
      </c>
      <c r="I637">
        <v>23</v>
      </c>
      <c r="J637">
        <v>2426.48</v>
      </c>
      <c r="K637">
        <f t="shared" si="11"/>
        <v>26691.279999999999</v>
      </c>
    </row>
    <row r="638" spans="1:11" x14ac:dyDescent="0.35">
      <c r="A638" t="s">
        <v>839</v>
      </c>
      <c r="B638" s="1">
        <v>44929</v>
      </c>
      <c r="C638" t="s">
        <v>10</v>
      </c>
      <c r="D638" t="s">
        <v>38</v>
      </c>
      <c r="E638" t="s">
        <v>40</v>
      </c>
      <c r="F638" t="s">
        <v>18</v>
      </c>
      <c r="G638">
        <v>12</v>
      </c>
      <c r="H638" t="s">
        <v>26</v>
      </c>
      <c r="I638">
        <v>38</v>
      </c>
      <c r="J638">
        <v>2232.4899999999998</v>
      </c>
      <c r="K638">
        <f t="shared" si="11"/>
        <v>26789.879999999997</v>
      </c>
    </row>
    <row r="639" spans="1:11" x14ac:dyDescent="0.35">
      <c r="A639" t="s">
        <v>840</v>
      </c>
      <c r="B639" s="1">
        <v>45178</v>
      </c>
      <c r="C639" t="s">
        <v>10</v>
      </c>
      <c r="D639" t="s">
        <v>11</v>
      </c>
      <c r="E639" t="s">
        <v>27</v>
      </c>
      <c r="F639" t="s">
        <v>35</v>
      </c>
      <c r="G639">
        <v>15</v>
      </c>
      <c r="H639" t="s">
        <v>195</v>
      </c>
      <c r="I639">
        <v>34</v>
      </c>
      <c r="J639">
        <v>1790.03</v>
      </c>
      <c r="K639">
        <f t="shared" si="11"/>
        <v>26850.45</v>
      </c>
    </row>
    <row r="640" spans="1:11" x14ac:dyDescent="0.35">
      <c r="A640" t="s">
        <v>841</v>
      </c>
      <c r="B640" s="1">
        <v>44993</v>
      </c>
      <c r="C640" t="s">
        <v>23</v>
      </c>
      <c r="D640" t="s">
        <v>24</v>
      </c>
      <c r="E640" t="s">
        <v>25</v>
      </c>
      <c r="F640" t="s">
        <v>13</v>
      </c>
      <c r="G640">
        <v>19</v>
      </c>
      <c r="H640" t="s">
        <v>30</v>
      </c>
      <c r="I640">
        <v>26</v>
      </c>
      <c r="J640">
        <v>1414.78</v>
      </c>
      <c r="K640">
        <f t="shared" si="11"/>
        <v>26880.82</v>
      </c>
    </row>
    <row r="641" spans="1:11" x14ac:dyDescent="0.35">
      <c r="A641" t="s">
        <v>842</v>
      </c>
      <c r="B641" s="1">
        <v>45193</v>
      </c>
      <c r="C641" t="s">
        <v>10</v>
      </c>
      <c r="D641" t="s">
        <v>11</v>
      </c>
      <c r="E641" t="s">
        <v>12</v>
      </c>
      <c r="F641" t="s">
        <v>21</v>
      </c>
      <c r="G641">
        <v>10</v>
      </c>
      <c r="H641" t="s">
        <v>37</v>
      </c>
      <c r="I641">
        <v>43</v>
      </c>
      <c r="J641">
        <v>2691.21</v>
      </c>
      <c r="K641">
        <f t="shared" si="11"/>
        <v>26912.1</v>
      </c>
    </row>
    <row r="642" spans="1:11" x14ac:dyDescent="0.35">
      <c r="A642" t="s">
        <v>843</v>
      </c>
      <c r="B642" s="1">
        <v>45185</v>
      </c>
      <c r="C642" t="s">
        <v>10</v>
      </c>
      <c r="D642" t="s">
        <v>11</v>
      </c>
      <c r="E642" t="s">
        <v>27</v>
      </c>
      <c r="F642" t="s">
        <v>21</v>
      </c>
      <c r="G642">
        <v>8</v>
      </c>
      <c r="H642" t="s">
        <v>195</v>
      </c>
      <c r="I642">
        <v>35</v>
      </c>
      <c r="J642">
        <v>3372.86</v>
      </c>
      <c r="K642">
        <f t="shared" ref="K642:K705" si="12">G642*J642</f>
        <v>26982.880000000001</v>
      </c>
    </row>
    <row r="643" spans="1:11" x14ac:dyDescent="0.35">
      <c r="A643" t="s">
        <v>844</v>
      </c>
      <c r="B643" s="1">
        <v>44974</v>
      </c>
      <c r="C643" t="s">
        <v>10</v>
      </c>
      <c r="D643" t="s">
        <v>38</v>
      </c>
      <c r="E643" t="s">
        <v>42</v>
      </c>
      <c r="F643" t="s">
        <v>29</v>
      </c>
      <c r="G643">
        <v>20</v>
      </c>
      <c r="H643" t="s">
        <v>30</v>
      </c>
      <c r="I643">
        <v>50</v>
      </c>
      <c r="J643">
        <v>1353.54</v>
      </c>
      <c r="K643">
        <f t="shared" si="12"/>
        <v>27070.799999999999</v>
      </c>
    </row>
    <row r="644" spans="1:11" x14ac:dyDescent="0.35">
      <c r="A644" t="s">
        <v>845</v>
      </c>
      <c r="B644" s="1">
        <v>45024</v>
      </c>
      <c r="C644" t="s">
        <v>10</v>
      </c>
      <c r="D644" t="s">
        <v>38</v>
      </c>
      <c r="E644" t="s">
        <v>40</v>
      </c>
      <c r="F644" t="s">
        <v>35</v>
      </c>
      <c r="G644">
        <v>6</v>
      </c>
      <c r="H644" t="s">
        <v>28</v>
      </c>
      <c r="I644">
        <v>26</v>
      </c>
      <c r="J644">
        <v>4541.92</v>
      </c>
      <c r="K644">
        <f t="shared" si="12"/>
        <v>27251.52</v>
      </c>
    </row>
    <row r="645" spans="1:11" x14ac:dyDescent="0.35">
      <c r="A645" t="s">
        <v>846</v>
      </c>
      <c r="B645" s="1">
        <v>44936</v>
      </c>
      <c r="C645" t="s">
        <v>15</v>
      </c>
      <c r="D645" t="s">
        <v>19</v>
      </c>
      <c r="E645" t="s">
        <v>22</v>
      </c>
      <c r="F645" t="s">
        <v>35</v>
      </c>
      <c r="G645">
        <v>11</v>
      </c>
      <c r="H645" t="s">
        <v>31</v>
      </c>
      <c r="I645">
        <v>28</v>
      </c>
      <c r="J645">
        <v>2491.8000000000002</v>
      </c>
      <c r="K645">
        <f t="shared" si="12"/>
        <v>27409.800000000003</v>
      </c>
    </row>
    <row r="646" spans="1:11" x14ac:dyDescent="0.35">
      <c r="A646" t="s">
        <v>847</v>
      </c>
      <c r="B646" s="1">
        <v>45047</v>
      </c>
      <c r="C646" t="s">
        <v>10</v>
      </c>
      <c r="D646" t="s">
        <v>11</v>
      </c>
      <c r="E646" t="s">
        <v>41</v>
      </c>
      <c r="F646" t="s">
        <v>18</v>
      </c>
      <c r="G646">
        <v>7</v>
      </c>
      <c r="H646" t="s">
        <v>30</v>
      </c>
      <c r="I646">
        <v>23</v>
      </c>
      <c r="J646">
        <v>3931.73</v>
      </c>
      <c r="K646">
        <f t="shared" si="12"/>
        <v>27522.11</v>
      </c>
    </row>
    <row r="647" spans="1:11" x14ac:dyDescent="0.35">
      <c r="A647" t="s">
        <v>848</v>
      </c>
      <c r="B647" s="1">
        <v>45290</v>
      </c>
      <c r="C647" t="s">
        <v>10</v>
      </c>
      <c r="D647" t="s">
        <v>11</v>
      </c>
      <c r="E647" t="s">
        <v>12</v>
      </c>
      <c r="F647" t="s">
        <v>18</v>
      </c>
      <c r="G647">
        <v>18</v>
      </c>
      <c r="H647" t="s">
        <v>36</v>
      </c>
      <c r="I647">
        <v>31</v>
      </c>
      <c r="J647">
        <v>1533.77</v>
      </c>
      <c r="K647">
        <f t="shared" si="12"/>
        <v>27607.86</v>
      </c>
    </row>
    <row r="648" spans="1:11" x14ac:dyDescent="0.35">
      <c r="A648" t="s">
        <v>849</v>
      </c>
      <c r="B648" s="1">
        <v>45071</v>
      </c>
      <c r="C648" t="s">
        <v>15</v>
      </c>
      <c r="D648" t="s">
        <v>19</v>
      </c>
      <c r="E648" t="s">
        <v>22</v>
      </c>
      <c r="F648" t="s">
        <v>13</v>
      </c>
      <c r="G648">
        <v>14</v>
      </c>
      <c r="H648" t="s">
        <v>26</v>
      </c>
      <c r="I648">
        <v>54</v>
      </c>
      <c r="J648">
        <v>1972.22</v>
      </c>
      <c r="K648">
        <f t="shared" si="12"/>
        <v>27611.08</v>
      </c>
    </row>
    <row r="649" spans="1:11" x14ac:dyDescent="0.35">
      <c r="A649" t="s">
        <v>850</v>
      </c>
      <c r="B649" s="1">
        <v>45154</v>
      </c>
      <c r="C649" t="s">
        <v>10</v>
      </c>
      <c r="D649" t="s">
        <v>38</v>
      </c>
      <c r="E649" t="s">
        <v>42</v>
      </c>
      <c r="F649" t="s">
        <v>29</v>
      </c>
      <c r="G649">
        <v>11</v>
      </c>
      <c r="H649" t="s">
        <v>36</v>
      </c>
      <c r="I649">
        <v>26</v>
      </c>
      <c r="J649">
        <v>2522.63</v>
      </c>
      <c r="K649">
        <f t="shared" si="12"/>
        <v>27748.93</v>
      </c>
    </row>
    <row r="650" spans="1:11" x14ac:dyDescent="0.35">
      <c r="A650" t="s">
        <v>851</v>
      </c>
      <c r="B650" s="1">
        <v>44953</v>
      </c>
      <c r="C650" t="s">
        <v>23</v>
      </c>
      <c r="D650" t="s">
        <v>24</v>
      </c>
      <c r="E650" t="s">
        <v>44</v>
      </c>
      <c r="F650" t="s">
        <v>29</v>
      </c>
      <c r="G650">
        <v>9</v>
      </c>
      <c r="H650" t="s">
        <v>31</v>
      </c>
      <c r="I650">
        <v>40</v>
      </c>
      <c r="J650">
        <v>3095.35</v>
      </c>
      <c r="K650">
        <f t="shared" si="12"/>
        <v>27858.149999999998</v>
      </c>
    </row>
    <row r="651" spans="1:11" x14ac:dyDescent="0.35">
      <c r="A651" t="s">
        <v>852</v>
      </c>
      <c r="B651" s="1">
        <v>45148</v>
      </c>
      <c r="C651" t="s">
        <v>23</v>
      </c>
      <c r="D651" t="s">
        <v>24</v>
      </c>
      <c r="E651" t="s">
        <v>45</v>
      </c>
      <c r="F651" t="s">
        <v>18</v>
      </c>
      <c r="G651">
        <v>17</v>
      </c>
      <c r="H651" t="s">
        <v>37</v>
      </c>
      <c r="I651">
        <v>55</v>
      </c>
      <c r="J651">
        <v>1645.97</v>
      </c>
      <c r="K651">
        <f t="shared" si="12"/>
        <v>27981.49</v>
      </c>
    </row>
    <row r="652" spans="1:11" x14ac:dyDescent="0.35">
      <c r="A652" t="s">
        <v>853</v>
      </c>
      <c r="B652" s="1">
        <v>44932</v>
      </c>
      <c r="C652" t="s">
        <v>23</v>
      </c>
      <c r="D652" t="s">
        <v>24</v>
      </c>
      <c r="E652" t="s">
        <v>45</v>
      </c>
      <c r="F652" t="s">
        <v>13</v>
      </c>
      <c r="G652">
        <v>6</v>
      </c>
      <c r="H652" t="s">
        <v>31</v>
      </c>
      <c r="I652">
        <v>36</v>
      </c>
      <c r="J652">
        <v>4673.01</v>
      </c>
      <c r="K652">
        <f t="shared" si="12"/>
        <v>28038.06</v>
      </c>
    </row>
    <row r="653" spans="1:11" x14ac:dyDescent="0.35">
      <c r="A653" t="s">
        <v>854</v>
      </c>
      <c r="B653" s="1">
        <v>44999</v>
      </c>
      <c r="C653" t="s">
        <v>10</v>
      </c>
      <c r="D653" t="s">
        <v>38</v>
      </c>
      <c r="E653" t="s">
        <v>42</v>
      </c>
      <c r="F653" t="s">
        <v>35</v>
      </c>
      <c r="G653">
        <v>13</v>
      </c>
      <c r="H653" t="s">
        <v>37</v>
      </c>
      <c r="I653">
        <v>54</v>
      </c>
      <c r="J653">
        <v>2163.4</v>
      </c>
      <c r="K653">
        <f t="shared" si="12"/>
        <v>28124.2</v>
      </c>
    </row>
    <row r="654" spans="1:11" x14ac:dyDescent="0.35">
      <c r="A654" t="s">
        <v>855</v>
      </c>
      <c r="B654" s="1">
        <v>44940</v>
      </c>
      <c r="C654" t="s">
        <v>23</v>
      </c>
      <c r="D654" t="s">
        <v>24</v>
      </c>
      <c r="E654" t="s">
        <v>44</v>
      </c>
      <c r="F654" t="s">
        <v>21</v>
      </c>
      <c r="G654">
        <v>9</v>
      </c>
      <c r="H654" t="s">
        <v>31</v>
      </c>
      <c r="I654">
        <v>17</v>
      </c>
      <c r="J654">
        <v>3137.87</v>
      </c>
      <c r="K654">
        <f t="shared" si="12"/>
        <v>28240.829999999998</v>
      </c>
    </row>
    <row r="655" spans="1:11" x14ac:dyDescent="0.35">
      <c r="A655" t="s">
        <v>856</v>
      </c>
      <c r="B655" s="1">
        <v>44977</v>
      </c>
      <c r="C655" t="s">
        <v>10</v>
      </c>
      <c r="D655" t="s">
        <v>11</v>
      </c>
      <c r="E655" t="s">
        <v>27</v>
      </c>
      <c r="F655" t="s">
        <v>18</v>
      </c>
      <c r="G655">
        <v>7</v>
      </c>
      <c r="H655" t="s">
        <v>97</v>
      </c>
      <c r="I655">
        <v>51</v>
      </c>
      <c r="J655">
        <v>4046.34</v>
      </c>
      <c r="K655">
        <f t="shared" si="12"/>
        <v>28324.38</v>
      </c>
    </row>
    <row r="656" spans="1:11" x14ac:dyDescent="0.35">
      <c r="A656" t="s">
        <v>857</v>
      </c>
      <c r="B656" s="1">
        <v>45163</v>
      </c>
      <c r="C656" t="s">
        <v>15</v>
      </c>
      <c r="D656" t="s">
        <v>16</v>
      </c>
      <c r="E656" t="s">
        <v>17</v>
      </c>
      <c r="F656" t="s">
        <v>21</v>
      </c>
      <c r="G656">
        <v>8</v>
      </c>
      <c r="H656" t="s">
        <v>97</v>
      </c>
      <c r="I656">
        <v>41</v>
      </c>
      <c r="J656">
        <v>3547.38</v>
      </c>
      <c r="K656">
        <f t="shared" si="12"/>
        <v>28379.040000000001</v>
      </c>
    </row>
    <row r="657" spans="1:11" x14ac:dyDescent="0.35">
      <c r="A657" t="s">
        <v>858</v>
      </c>
      <c r="B657" s="1">
        <v>45042</v>
      </c>
      <c r="C657" t="s">
        <v>15</v>
      </c>
      <c r="D657" t="s">
        <v>16</v>
      </c>
      <c r="E657" t="s">
        <v>34</v>
      </c>
      <c r="F657" t="s">
        <v>18</v>
      </c>
      <c r="G657">
        <v>18</v>
      </c>
      <c r="H657" t="s">
        <v>14</v>
      </c>
      <c r="I657">
        <v>47</v>
      </c>
      <c r="J657">
        <v>1576.88</v>
      </c>
      <c r="K657">
        <f t="shared" si="12"/>
        <v>28383.840000000004</v>
      </c>
    </row>
    <row r="658" spans="1:11" x14ac:dyDescent="0.35">
      <c r="A658" t="s">
        <v>859</v>
      </c>
      <c r="B658" s="1">
        <v>45180</v>
      </c>
      <c r="C658" t="s">
        <v>10</v>
      </c>
      <c r="D658" t="s">
        <v>11</v>
      </c>
      <c r="E658" t="s">
        <v>27</v>
      </c>
      <c r="F658" t="s">
        <v>18</v>
      </c>
      <c r="G658">
        <v>10</v>
      </c>
      <c r="H658" t="s">
        <v>195</v>
      </c>
      <c r="I658">
        <v>33</v>
      </c>
      <c r="J658">
        <v>2853.88</v>
      </c>
      <c r="K658">
        <f t="shared" si="12"/>
        <v>28538.800000000003</v>
      </c>
    </row>
    <row r="659" spans="1:11" x14ac:dyDescent="0.35">
      <c r="A659" t="s">
        <v>860</v>
      </c>
      <c r="B659" s="1">
        <v>45166</v>
      </c>
      <c r="C659" t="s">
        <v>15</v>
      </c>
      <c r="D659" t="s">
        <v>16</v>
      </c>
      <c r="E659" t="s">
        <v>43</v>
      </c>
      <c r="F659" t="s">
        <v>13</v>
      </c>
      <c r="G659">
        <v>7</v>
      </c>
      <c r="H659" t="s">
        <v>96</v>
      </c>
      <c r="I659">
        <v>29</v>
      </c>
      <c r="J659">
        <v>4083.1</v>
      </c>
      <c r="K659">
        <f t="shared" si="12"/>
        <v>28581.7</v>
      </c>
    </row>
    <row r="660" spans="1:11" x14ac:dyDescent="0.35">
      <c r="A660" t="s">
        <v>861</v>
      </c>
      <c r="B660" s="1">
        <v>45645</v>
      </c>
      <c r="C660" t="s">
        <v>10</v>
      </c>
      <c r="D660" t="s">
        <v>38</v>
      </c>
      <c r="E660" t="s">
        <v>39</v>
      </c>
      <c r="F660" t="s">
        <v>35</v>
      </c>
      <c r="G660">
        <v>12</v>
      </c>
      <c r="H660" t="s">
        <v>195</v>
      </c>
      <c r="I660">
        <v>24</v>
      </c>
      <c r="J660">
        <v>2384.1</v>
      </c>
      <c r="K660">
        <f t="shared" si="12"/>
        <v>28609.199999999997</v>
      </c>
    </row>
    <row r="661" spans="1:11" x14ac:dyDescent="0.35">
      <c r="A661" t="s">
        <v>862</v>
      </c>
      <c r="B661" s="1">
        <v>45219</v>
      </c>
      <c r="C661" t="s">
        <v>10</v>
      </c>
      <c r="D661" t="s">
        <v>38</v>
      </c>
      <c r="E661" t="s">
        <v>39</v>
      </c>
      <c r="F661" t="s">
        <v>35</v>
      </c>
      <c r="G661">
        <v>12</v>
      </c>
      <c r="H661" t="s">
        <v>96</v>
      </c>
      <c r="I661">
        <v>24</v>
      </c>
      <c r="J661">
        <v>2384.1</v>
      </c>
      <c r="K661">
        <f t="shared" si="12"/>
        <v>28609.199999999997</v>
      </c>
    </row>
    <row r="662" spans="1:11" x14ac:dyDescent="0.35">
      <c r="A662" t="s">
        <v>863</v>
      </c>
      <c r="B662" s="1">
        <v>45032</v>
      </c>
      <c r="C662" t="s">
        <v>15</v>
      </c>
      <c r="D662" t="s">
        <v>19</v>
      </c>
      <c r="E662" t="s">
        <v>22</v>
      </c>
      <c r="F662" t="s">
        <v>29</v>
      </c>
      <c r="G662">
        <v>10</v>
      </c>
      <c r="H662" t="s">
        <v>30</v>
      </c>
      <c r="I662">
        <v>29</v>
      </c>
      <c r="J662">
        <v>2861.62</v>
      </c>
      <c r="K662">
        <f t="shared" si="12"/>
        <v>28616.199999999997</v>
      </c>
    </row>
    <row r="663" spans="1:11" x14ac:dyDescent="0.35">
      <c r="A663" t="s">
        <v>864</v>
      </c>
      <c r="B663" s="1">
        <v>45210</v>
      </c>
      <c r="C663" t="s">
        <v>15</v>
      </c>
      <c r="D663" t="s">
        <v>16</v>
      </c>
      <c r="E663" t="s">
        <v>43</v>
      </c>
      <c r="F663" t="s">
        <v>29</v>
      </c>
      <c r="G663">
        <v>9</v>
      </c>
      <c r="H663" t="s">
        <v>36</v>
      </c>
      <c r="I663">
        <v>40</v>
      </c>
      <c r="J663">
        <v>3193.9</v>
      </c>
      <c r="K663">
        <f t="shared" si="12"/>
        <v>28745.100000000002</v>
      </c>
    </row>
    <row r="664" spans="1:11" x14ac:dyDescent="0.35">
      <c r="A664" t="s">
        <v>865</v>
      </c>
      <c r="B664" s="1">
        <v>45274</v>
      </c>
      <c r="C664" t="s">
        <v>23</v>
      </c>
      <c r="D664" t="s">
        <v>24</v>
      </c>
      <c r="E664" t="s">
        <v>45</v>
      </c>
      <c r="F664" t="s">
        <v>35</v>
      </c>
      <c r="G664">
        <v>18</v>
      </c>
      <c r="H664" t="s">
        <v>37</v>
      </c>
      <c r="I664">
        <v>48</v>
      </c>
      <c r="J664">
        <v>1601.74</v>
      </c>
      <c r="K664">
        <f t="shared" si="12"/>
        <v>28831.32</v>
      </c>
    </row>
    <row r="665" spans="1:11" x14ac:dyDescent="0.35">
      <c r="A665" t="s">
        <v>866</v>
      </c>
      <c r="B665" s="1">
        <v>45252</v>
      </c>
      <c r="C665" t="s">
        <v>10</v>
      </c>
      <c r="D665" t="s">
        <v>38</v>
      </c>
      <c r="E665" t="s">
        <v>40</v>
      </c>
      <c r="F665" t="s">
        <v>21</v>
      </c>
      <c r="G665">
        <v>9</v>
      </c>
      <c r="H665" t="s">
        <v>37</v>
      </c>
      <c r="I665">
        <v>35</v>
      </c>
      <c r="J665">
        <v>3209.83</v>
      </c>
      <c r="K665">
        <f t="shared" si="12"/>
        <v>28888.47</v>
      </c>
    </row>
    <row r="666" spans="1:11" x14ac:dyDescent="0.35">
      <c r="A666" t="s">
        <v>867</v>
      </c>
      <c r="B666" s="1">
        <v>45218</v>
      </c>
      <c r="C666" t="s">
        <v>10</v>
      </c>
      <c r="D666" t="s">
        <v>11</v>
      </c>
      <c r="E666" t="s">
        <v>27</v>
      </c>
      <c r="F666" t="s">
        <v>35</v>
      </c>
      <c r="G666">
        <v>8</v>
      </c>
      <c r="H666" t="s">
        <v>195</v>
      </c>
      <c r="I666">
        <v>51</v>
      </c>
      <c r="J666">
        <v>3615.06</v>
      </c>
      <c r="K666">
        <f t="shared" si="12"/>
        <v>28920.48</v>
      </c>
    </row>
    <row r="667" spans="1:11" x14ac:dyDescent="0.35">
      <c r="A667" t="s">
        <v>868</v>
      </c>
      <c r="B667" s="1">
        <v>45206</v>
      </c>
      <c r="C667" t="s">
        <v>15</v>
      </c>
      <c r="D667" t="s">
        <v>16</v>
      </c>
      <c r="E667" t="s">
        <v>43</v>
      </c>
      <c r="F667" t="s">
        <v>35</v>
      </c>
      <c r="G667">
        <v>13</v>
      </c>
      <c r="H667" t="s">
        <v>14</v>
      </c>
      <c r="I667">
        <v>36</v>
      </c>
      <c r="J667">
        <v>2238.96</v>
      </c>
      <c r="K667">
        <f t="shared" si="12"/>
        <v>29106.48</v>
      </c>
    </row>
    <row r="668" spans="1:11" x14ac:dyDescent="0.35">
      <c r="A668" t="s">
        <v>869</v>
      </c>
      <c r="B668" s="1">
        <v>45058</v>
      </c>
      <c r="C668" t="s">
        <v>10</v>
      </c>
      <c r="D668" t="s">
        <v>38</v>
      </c>
      <c r="E668" t="s">
        <v>40</v>
      </c>
      <c r="F668" t="s">
        <v>21</v>
      </c>
      <c r="G668">
        <v>12</v>
      </c>
      <c r="H668" t="s">
        <v>33</v>
      </c>
      <c r="I668">
        <v>22</v>
      </c>
      <c r="J668">
        <v>2438.6799999999998</v>
      </c>
      <c r="K668">
        <f t="shared" si="12"/>
        <v>29264.159999999996</v>
      </c>
    </row>
    <row r="669" spans="1:11" x14ac:dyDescent="0.35">
      <c r="A669" t="s">
        <v>870</v>
      </c>
      <c r="B669" s="1">
        <v>45012</v>
      </c>
      <c r="C669" t="s">
        <v>15</v>
      </c>
      <c r="D669" t="s">
        <v>16</v>
      </c>
      <c r="E669" t="s">
        <v>43</v>
      </c>
      <c r="F669" t="s">
        <v>18</v>
      </c>
      <c r="G669">
        <v>6</v>
      </c>
      <c r="H669" t="s">
        <v>97</v>
      </c>
      <c r="I669">
        <v>45</v>
      </c>
      <c r="J669">
        <v>4894.41</v>
      </c>
      <c r="K669">
        <f t="shared" si="12"/>
        <v>29366.46</v>
      </c>
    </row>
    <row r="670" spans="1:11" x14ac:dyDescent="0.35">
      <c r="A670" t="s">
        <v>871</v>
      </c>
      <c r="B670" s="1">
        <v>45187</v>
      </c>
      <c r="C670" t="s">
        <v>15</v>
      </c>
      <c r="D670" t="s">
        <v>16</v>
      </c>
      <c r="E670" t="s">
        <v>34</v>
      </c>
      <c r="F670" t="s">
        <v>35</v>
      </c>
      <c r="G670">
        <v>11</v>
      </c>
      <c r="H670" t="s">
        <v>28</v>
      </c>
      <c r="I670">
        <v>17</v>
      </c>
      <c r="J670">
        <v>2677.03</v>
      </c>
      <c r="K670">
        <f t="shared" si="12"/>
        <v>29447.33</v>
      </c>
    </row>
    <row r="671" spans="1:11" x14ac:dyDescent="0.35">
      <c r="A671" t="s">
        <v>872</v>
      </c>
      <c r="B671" s="1">
        <v>45253</v>
      </c>
      <c r="C671" t="s">
        <v>10</v>
      </c>
      <c r="D671" t="s">
        <v>11</v>
      </c>
      <c r="E671" t="s">
        <v>27</v>
      </c>
      <c r="F671" t="s">
        <v>18</v>
      </c>
      <c r="G671">
        <v>6</v>
      </c>
      <c r="H671" t="s">
        <v>31</v>
      </c>
      <c r="I671">
        <v>41</v>
      </c>
      <c r="J671">
        <v>4908.9799999999996</v>
      </c>
      <c r="K671">
        <f t="shared" si="12"/>
        <v>29453.879999999997</v>
      </c>
    </row>
    <row r="672" spans="1:11" x14ac:dyDescent="0.35">
      <c r="A672" t="s">
        <v>873</v>
      </c>
      <c r="B672" s="1">
        <v>44985</v>
      </c>
      <c r="C672" t="s">
        <v>10</v>
      </c>
      <c r="D672" t="s">
        <v>38</v>
      </c>
      <c r="E672" t="s">
        <v>40</v>
      </c>
      <c r="F672" t="s">
        <v>13</v>
      </c>
      <c r="G672">
        <v>9</v>
      </c>
      <c r="H672" t="s">
        <v>31</v>
      </c>
      <c r="I672">
        <v>41</v>
      </c>
      <c r="J672">
        <v>3276.04</v>
      </c>
      <c r="K672">
        <f t="shared" si="12"/>
        <v>29484.36</v>
      </c>
    </row>
    <row r="673" spans="1:11" x14ac:dyDescent="0.35">
      <c r="A673" t="s">
        <v>874</v>
      </c>
      <c r="B673" s="1">
        <v>44975</v>
      </c>
      <c r="C673" t="s">
        <v>15</v>
      </c>
      <c r="D673" t="s">
        <v>16</v>
      </c>
      <c r="E673" t="s">
        <v>17</v>
      </c>
      <c r="F673" t="s">
        <v>21</v>
      </c>
      <c r="G673">
        <v>15</v>
      </c>
      <c r="H673" t="s">
        <v>195</v>
      </c>
      <c r="I673">
        <v>53</v>
      </c>
      <c r="J673">
        <v>1972.75</v>
      </c>
      <c r="K673">
        <f t="shared" si="12"/>
        <v>29591.25</v>
      </c>
    </row>
    <row r="674" spans="1:11" x14ac:dyDescent="0.35">
      <c r="A674" t="s">
        <v>875</v>
      </c>
      <c r="B674" s="1">
        <v>45024</v>
      </c>
      <c r="C674" t="s">
        <v>23</v>
      </c>
      <c r="D674" t="s">
        <v>24</v>
      </c>
      <c r="E674" t="s">
        <v>45</v>
      </c>
      <c r="F674" t="s">
        <v>21</v>
      </c>
      <c r="G674">
        <v>6</v>
      </c>
      <c r="H674" t="s">
        <v>14</v>
      </c>
      <c r="I674">
        <v>48</v>
      </c>
      <c r="J674">
        <v>4939.09</v>
      </c>
      <c r="K674">
        <f t="shared" si="12"/>
        <v>29634.54</v>
      </c>
    </row>
    <row r="675" spans="1:11" x14ac:dyDescent="0.35">
      <c r="A675" t="s">
        <v>876</v>
      </c>
      <c r="B675" s="1">
        <v>45071</v>
      </c>
      <c r="C675" t="s">
        <v>10</v>
      </c>
      <c r="D675" t="s">
        <v>11</v>
      </c>
      <c r="E675" t="s">
        <v>27</v>
      </c>
      <c r="F675" t="s">
        <v>29</v>
      </c>
      <c r="G675">
        <v>7</v>
      </c>
      <c r="H675" t="s">
        <v>36</v>
      </c>
      <c r="I675">
        <v>27</v>
      </c>
      <c r="J675">
        <v>4238.07</v>
      </c>
      <c r="K675">
        <f t="shared" si="12"/>
        <v>29666.489999999998</v>
      </c>
    </row>
    <row r="676" spans="1:11" x14ac:dyDescent="0.35">
      <c r="A676" t="s">
        <v>877</v>
      </c>
      <c r="B676" s="1">
        <v>45101</v>
      </c>
      <c r="C676" t="s">
        <v>23</v>
      </c>
      <c r="D676" t="s">
        <v>24</v>
      </c>
      <c r="E676" t="s">
        <v>44</v>
      </c>
      <c r="F676" t="s">
        <v>13</v>
      </c>
      <c r="G676">
        <v>7</v>
      </c>
      <c r="H676" t="s">
        <v>31</v>
      </c>
      <c r="I676">
        <v>54</v>
      </c>
      <c r="J676">
        <v>4243.95</v>
      </c>
      <c r="K676">
        <f t="shared" si="12"/>
        <v>29707.649999999998</v>
      </c>
    </row>
    <row r="677" spans="1:11" x14ac:dyDescent="0.35">
      <c r="A677" t="s">
        <v>878</v>
      </c>
      <c r="B677" s="1">
        <v>45201</v>
      </c>
      <c r="C677" t="s">
        <v>15</v>
      </c>
      <c r="D677" t="s">
        <v>16</v>
      </c>
      <c r="E677" t="s">
        <v>17</v>
      </c>
      <c r="F677" t="s">
        <v>13</v>
      </c>
      <c r="G677">
        <v>19</v>
      </c>
      <c r="H677" t="s">
        <v>31</v>
      </c>
      <c r="I677">
        <v>35</v>
      </c>
      <c r="J677">
        <v>1564.94</v>
      </c>
      <c r="K677">
        <f t="shared" si="12"/>
        <v>29733.86</v>
      </c>
    </row>
    <row r="678" spans="1:11" x14ac:dyDescent="0.35">
      <c r="A678" t="s">
        <v>879</v>
      </c>
      <c r="B678" s="1">
        <v>44977</v>
      </c>
      <c r="C678" t="s">
        <v>10</v>
      </c>
      <c r="D678" t="s">
        <v>11</v>
      </c>
      <c r="E678" t="s">
        <v>27</v>
      </c>
      <c r="F678" t="s">
        <v>13</v>
      </c>
      <c r="G678">
        <v>9</v>
      </c>
      <c r="H678" t="s">
        <v>97</v>
      </c>
      <c r="I678">
        <v>47</v>
      </c>
      <c r="J678">
        <v>3318.1</v>
      </c>
      <c r="K678">
        <f t="shared" si="12"/>
        <v>29862.899999999998</v>
      </c>
    </row>
    <row r="679" spans="1:11" x14ac:dyDescent="0.35">
      <c r="A679" t="s">
        <v>880</v>
      </c>
      <c r="B679" s="1">
        <v>45632</v>
      </c>
      <c r="C679" t="s">
        <v>10</v>
      </c>
      <c r="D679" t="s">
        <v>11</v>
      </c>
      <c r="E679" t="s">
        <v>27</v>
      </c>
      <c r="F679" t="s">
        <v>13</v>
      </c>
      <c r="G679">
        <v>9</v>
      </c>
      <c r="H679" t="s">
        <v>28</v>
      </c>
      <c r="I679">
        <v>47</v>
      </c>
      <c r="J679">
        <v>3318.1</v>
      </c>
      <c r="K679">
        <f t="shared" si="12"/>
        <v>29862.899999999998</v>
      </c>
    </row>
    <row r="680" spans="1:11" x14ac:dyDescent="0.35">
      <c r="A680" t="s">
        <v>881</v>
      </c>
      <c r="B680" s="1">
        <v>45003</v>
      </c>
      <c r="C680" t="s">
        <v>23</v>
      </c>
      <c r="D680" t="s">
        <v>24</v>
      </c>
      <c r="E680" t="s">
        <v>25</v>
      </c>
      <c r="F680" t="s">
        <v>18</v>
      </c>
      <c r="G680">
        <v>6</v>
      </c>
      <c r="H680" t="s">
        <v>26</v>
      </c>
      <c r="I680">
        <v>26</v>
      </c>
      <c r="J680">
        <v>4984.92</v>
      </c>
      <c r="K680">
        <f t="shared" si="12"/>
        <v>29909.52</v>
      </c>
    </row>
    <row r="681" spans="1:11" x14ac:dyDescent="0.35">
      <c r="A681" t="s">
        <v>882</v>
      </c>
      <c r="B681" s="1">
        <v>44992</v>
      </c>
      <c r="C681" t="s">
        <v>10</v>
      </c>
      <c r="D681" t="s">
        <v>11</v>
      </c>
      <c r="E681" t="s">
        <v>41</v>
      </c>
      <c r="F681" t="s">
        <v>18</v>
      </c>
      <c r="G681">
        <v>17</v>
      </c>
      <c r="H681" t="s">
        <v>36</v>
      </c>
      <c r="I681">
        <v>53</v>
      </c>
      <c r="J681">
        <v>1759.91</v>
      </c>
      <c r="K681">
        <f t="shared" si="12"/>
        <v>29918.47</v>
      </c>
    </row>
    <row r="682" spans="1:11" x14ac:dyDescent="0.35">
      <c r="A682" t="s">
        <v>883</v>
      </c>
      <c r="B682" s="1">
        <v>45133</v>
      </c>
      <c r="C682" t="s">
        <v>10</v>
      </c>
      <c r="D682" t="s">
        <v>38</v>
      </c>
      <c r="E682" t="s">
        <v>42</v>
      </c>
      <c r="F682" t="s">
        <v>29</v>
      </c>
      <c r="G682">
        <v>15</v>
      </c>
      <c r="H682" t="s">
        <v>26</v>
      </c>
      <c r="I682">
        <v>33</v>
      </c>
      <c r="J682">
        <v>2006.04</v>
      </c>
      <c r="K682">
        <f t="shared" si="12"/>
        <v>30090.6</v>
      </c>
    </row>
    <row r="683" spans="1:11" x14ac:dyDescent="0.35">
      <c r="A683" t="s">
        <v>884</v>
      </c>
      <c r="B683" s="1">
        <v>45279</v>
      </c>
      <c r="C683" t="s">
        <v>10</v>
      </c>
      <c r="D683" t="s">
        <v>11</v>
      </c>
      <c r="E683" t="s">
        <v>12</v>
      </c>
      <c r="F683" t="s">
        <v>18</v>
      </c>
      <c r="G683">
        <v>20</v>
      </c>
      <c r="H683" t="s">
        <v>14</v>
      </c>
      <c r="I683">
        <v>18</v>
      </c>
      <c r="J683">
        <v>1507.52</v>
      </c>
      <c r="K683">
        <f t="shared" si="12"/>
        <v>30150.400000000001</v>
      </c>
    </row>
    <row r="684" spans="1:11" x14ac:dyDescent="0.35">
      <c r="A684" t="s">
        <v>885</v>
      </c>
      <c r="B684" s="1">
        <v>44978</v>
      </c>
      <c r="C684" t="s">
        <v>15</v>
      </c>
      <c r="D684" t="s">
        <v>16</v>
      </c>
      <c r="E684" t="s">
        <v>34</v>
      </c>
      <c r="F684" t="s">
        <v>13</v>
      </c>
      <c r="G684">
        <v>17</v>
      </c>
      <c r="H684" t="s">
        <v>30</v>
      </c>
      <c r="I684">
        <v>16</v>
      </c>
      <c r="J684">
        <v>1777.42</v>
      </c>
      <c r="K684">
        <f t="shared" si="12"/>
        <v>30216.14</v>
      </c>
    </row>
    <row r="685" spans="1:11" x14ac:dyDescent="0.35">
      <c r="A685" t="s">
        <v>886</v>
      </c>
      <c r="B685" s="1">
        <v>45043</v>
      </c>
      <c r="C685" t="s">
        <v>23</v>
      </c>
      <c r="D685" t="s">
        <v>24</v>
      </c>
      <c r="E685" t="s">
        <v>44</v>
      </c>
      <c r="F685" t="s">
        <v>13</v>
      </c>
      <c r="G685">
        <v>13</v>
      </c>
      <c r="H685" t="s">
        <v>96</v>
      </c>
      <c r="I685">
        <v>32</v>
      </c>
      <c r="J685">
        <v>2327.81</v>
      </c>
      <c r="K685">
        <f t="shared" si="12"/>
        <v>30261.53</v>
      </c>
    </row>
    <row r="686" spans="1:11" x14ac:dyDescent="0.35">
      <c r="A686" t="s">
        <v>887</v>
      </c>
      <c r="B686" s="1">
        <v>44958</v>
      </c>
      <c r="C686" t="s">
        <v>15</v>
      </c>
      <c r="D686" t="s">
        <v>16</v>
      </c>
      <c r="E686" t="s">
        <v>34</v>
      </c>
      <c r="F686" t="s">
        <v>13</v>
      </c>
      <c r="G686">
        <v>20</v>
      </c>
      <c r="H686" t="s">
        <v>96</v>
      </c>
      <c r="I686">
        <v>52</v>
      </c>
      <c r="J686">
        <v>1514.3</v>
      </c>
      <c r="K686">
        <f t="shared" si="12"/>
        <v>30286</v>
      </c>
    </row>
    <row r="687" spans="1:11" x14ac:dyDescent="0.35">
      <c r="A687" t="s">
        <v>888</v>
      </c>
      <c r="B687" s="1">
        <v>45035</v>
      </c>
      <c r="C687" t="s">
        <v>10</v>
      </c>
      <c r="D687" t="s">
        <v>38</v>
      </c>
      <c r="E687" t="s">
        <v>39</v>
      </c>
      <c r="F687" t="s">
        <v>13</v>
      </c>
      <c r="G687">
        <v>17</v>
      </c>
      <c r="H687" t="s">
        <v>30</v>
      </c>
      <c r="I687">
        <v>25</v>
      </c>
      <c r="J687">
        <v>1793.43</v>
      </c>
      <c r="K687">
        <f t="shared" si="12"/>
        <v>30488.31</v>
      </c>
    </row>
    <row r="688" spans="1:11" x14ac:dyDescent="0.35">
      <c r="A688" t="s">
        <v>889</v>
      </c>
      <c r="B688" s="1">
        <v>45258</v>
      </c>
      <c r="C688" t="s">
        <v>15</v>
      </c>
      <c r="D688" t="s">
        <v>19</v>
      </c>
      <c r="E688" t="s">
        <v>22</v>
      </c>
      <c r="F688" t="s">
        <v>21</v>
      </c>
      <c r="G688">
        <v>13</v>
      </c>
      <c r="H688" t="s">
        <v>28</v>
      </c>
      <c r="I688">
        <v>38</v>
      </c>
      <c r="J688">
        <v>2347.66</v>
      </c>
      <c r="K688">
        <f t="shared" si="12"/>
        <v>30519.579999999998</v>
      </c>
    </row>
    <row r="689" spans="1:11" x14ac:dyDescent="0.35">
      <c r="A689" t="s">
        <v>890</v>
      </c>
      <c r="B689" s="1">
        <v>45156</v>
      </c>
      <c r="C689" t="s">
        <v>10</v>
      </c>
      <c r="D689" t="s">
        <v>38</v>
      </c>
      <c r="E689" t="s">
        <v>40</v>
      </c>
      <c r="F689" t="s">
        <v>21</v>
      </c>
      <c r="G689">
        <v>16</v>
      </c>
      <c r="H689" t="s">
        <v>14</v>
      </c>
      <c r="I689">
        <v>31</v>
      </c>
      <c r="J689">
        <v>1907.95</v>
      </c>
      <c r="K689">
        <f t="shared" si="12"/>
        <v>30527.200000000001</v>
      </c>
    </row>
    <row r="690" spans="1:11" x14ac:dyDescent="0.35">
      <c r="A690" t="s">
        <v>891</v>
      </c>
      <c r="B690" s="1">
        <v>45113</v>
      </c>
      <c r="C690" t="s">
        <v>15</v>
      </c>
      <c r="D690" t="s">
        <v>19</v>
      </c>
      <c r="E690" t="s">
        <v>32</v>
      </c>
      <c r="F690" t="s">
        <v>21</v>
      </c>
      <c r="G690">
        <v>9</v>
      </c>
      <c r="H690" t="s">
        <v>36</v>
      </c>
      <c r="I690">
        <v>29</v>
      </c>
      <c r="J690">
        <v>3395.02</v>
      </c>
      <c r="K690">
        <f t="shared" si="12"/>
        <v>30555.18</v>
      </c>
    </row>
    <row r="691" spans="1:11" x14ac:dyDescent="0.35">
      <c r="A691" t="s">
        <v>892</v>
      </c>
      <c r="B691" s="1">
        <v>45021</v>
      </c>
      <c r="C691" t="s">
        <v>10</v>
      </c>
      <c r="D691" t="s">
        <v>38</v>
      </c>
      <c r="E691" t="s">
        <v>40</v>
      </c>
      <c r="F691" t="s">
        <v>29</v>
      </c>
      <c r="G691">
        <v>13</v>
      </c>
      <c r="H691" t="s">
        <v>33</v>
      </c>
      <c r="I691">
        <v>22</v>
      </c>
      <c r="J691">
        <v>2351.59</v>
      </c>
      <c r="K691">
        <f t="shared" si="12"/>
        <v>30570.670000000002</v>
      </c>
    </row>
    <row r="692" spans="1:11" x14ac:dyDescent="0.35">
      <c r="A692" t="s">
        <v>893</v>
      </c>
      <c r="B692" s="1">
        <v>45154</v>
      </c>
      <c r="C692" t="s">
        <v>15</v>
      </c>
      <c r="D692" t="s">
        <v>19</v>
      </c>
      <c r="E692" t="s">
        <v>20</v>
      </c>
      <c r="F692" t="s">
        <v>18</v>
      </c>
      <c r="G692">
        <v>12</v>
      </c>
      <c r="H692" t="s">
        <v>28</v>
      </c>
      <c r="I692">
        <v>52</v>
      </c>
      <c r="J692">
        <v>2557.5700000000002</v>
      </c>
      <c r="K692">
        <f t="shared" si="12"/>
        <v>30690.840000000004</v>
      </c>
    </row>
    <row r="693" spans="1:11" x14ac:dyDescent="0.35">
      <c r="A693" t="s">
        <v>894</v>
      </c>
      <c r="B693" s="1">
        <v>45106</v>
      </c>
      <c r="C693" t="s">
        <v>10</v>
      </c>
      <c r="D693" t="s">
        <v>11</v>
      </c>
      <c r="E693" t="s">
        <v>41</v>
      </c>
      <c r="F693" t="s">
        <v>13</v>
      </c>
      <c r="G693">
        <v>20</v>
      </c>
      <c r="H693" t="s">
        <v>14</v>
      </c>
      <c r="I693">
        <v>21</v>
      </c>
      <c r="J693">
        <v>1536.73</v>
      </c>
      <c r="K693">
        <f t="shared" si="12"/>
        <v>30734.6</v>
      </c>
    </row>
    <row r="694" spans="1:11" x14ac:dyDescent="0.35">
      <c r="A694" t="s">
        <v>895</v>
      </c>
      <c r="B694" s="1">
        <v>45119</v>
      </c>
      <c r="C694" t="s">
        <v>10</v>
      </c>
      <c r="D694" t="s">
        <v>11</v>
      </c>
      <c r="E694" t="s">
        <v>41</v>
      </c>
      <c r="F694" t="s">
        <v>29</v>
      </c>
      <c r="G694">
        <v>16</v>
      </c>
      <c r="H694" t="s">
        <v>26</v>
      </c>
      <c r="I694">
        <v>51</v>
      </c>
      <c r="J694">
        <v>1933.33</v>
      </c>
      <c r="K694">
        <f t="shared" si="12"/>
        <v>30933.279999999999</v>
      </c>
    </row>
    <row r="695" spans="1:11" x14ac:dyDescent="0.35">
      <c r="A695" t="s">
        <v>896</v>
      </c>
      <c r="B695" s="1">
        <v>45055</v>
      </c>
      <c r="C695" t="s">
        <v>23</v>
      </c>
      <c r="D695" t="s">
        <v>24</v>
      </c>
      <c r="E695" t="s">
        <v>44</v>
      </c>
      <c r="F695" t="s">
        <v>35</v>
      </c>
      <c r="G695">
        <v>12</v>
      </c>
      <c r="H695" t="s">
        <v>14</v>
      </c>
      <c r="I695">
        <v>20</v>
      </c>
      <c r="J695">
        <v>2581.09</v>
      </c>
      <c r="K695">
        <f t="shared" si="12"/>
        <v>30973.08</v>
      </c>
    </row>
    <row r="696" spans="1:11" x14ac:dyDescent="0.35">
      <c r="A696" t="s">
        <v>897</v>
      </c>
      <c r="B696" s="1">
        <v>45195</v>
      </c>
      <c r="C696" t="s">
        <v>23</v>
      </c>
      <c r="D696" t="s">
        <v>24</v>
      </c>
      <c r="E696" t="s">
        <v>25</v>
      </c>
      <c r="F696" t="s">
        <v>21</v>
      </c>
      <c r="G696">
        <v>9</v>
      </c>
      <c r="H696" t="s">
        <v>97</v>
      </c>
      <c r="I696">
        <v>54</v>
      </c>
      <c r="J696">
        <v>3458</v>
      </c>
      <c r="K696">
        <f t="shared" si="12"/>
        <v>31122</v>
      </c>
    </row>
    <row r="697" spans="1:11" x14ac:dyDescent="0.35">
      <c r="A697" t="s">
        <v>898</v>
      </c>
      <c r="B697" s="1">
        <v>45077</v>
      </c>
      <c r="C697" t="s">
        <v>10</v>
      </c>
      <c r="D697" t="s">
        <v>38</v>
      </c>
      <c r="E697" t="s">
        <v>40</v>
      </c>
      <c r="F697" t="s">
        <v>18</v>
      </c>
      <c r="G697">
        <v>19</v>
      </c>
      <c r="H697" t="s">
        <v>31</v>
      </c>
      <c r="I697">
        <v>55</v>
      </c>
      <c r="J697">
        <v>1641.98</v>
      </c>
      <c r="K697">
        <f t="shared" si="12"/>
        <v>31197.62</v>
      </c>
    </row>
    <row r="698" spans="1:11" x14ac:dyDescent="0.35">
      <c r="A698" t="s">
        <v>899</v>
      </c>
      <c r="B698" s="1">
        <v>45255</v>
      </c>
      <c r="C698" t="s">
        <v>15</v>
      </c>
      <c r="D698" t="s">
        <v>16</v>
      </c>
      <c r="E698" t="s">
        <v>34</v>
      </c>
      <c r="F698" t="s">
        <v>13</v>
      </c>
      <c r="G698">
        <v>15</v>
      </c>
      <c r="H698" t="s">
        <v>14</v>
      </c>
      <c r="I698">
        <v>25</v>
      </c>
      <c r="J698">
        <v>2081.27</v>
      </c>
      <c r="K698">
        <f t="shared" si="12"/>
        <v>31219.05</v>
      </c>
    </row>
    <row r="699" spans="1:11" x14ac:dyDescent="0.35">
      <c r="A699" t="s">
        <v>900</v>
      </c>
      <c r="B699" s="1">
        <v>45118</v>
      </c>
      <c r="C699" t="s">
        <v>15</v>
      </c>
      <c r="D699" t="s">
        <v>19</v>
      </c>
      <c r="E699" t="s">
        <v>32</v>
      </c>
      <c r="F699" t="s">
        <v>21</v>
      </c>
      <c r="G699">
        <v>10</v>
      </c>
      <c r="H699" t="s">
        <v>28</v>
      </c>
      <c r="I699">
        <v>43</v>
      </c>
      <c r="J699">
        <v>3122.59</v>
      </c>
      <c r="K699">
        <f t="shared" si="12"/>
        <v>31225.9</v>
      </c>
    </row>
    <row r="700" spans="1:11" x14ac:dyDescent="0.35">
      <c r="A700" t="s">
        <v>901</v>
      </c>
      <c r="B700" s="1">
        <v>45617</v>
      </c>
      <c r="C700" t="s">
        <v>15</v>
      </c>
      <c r="D700" t="s">
        <v>19</v>
      </c>
      <c r="E700" t="s">
        <v>22</v>
      </c>
      <c r="F700" t="s">
        <v>35</v>
      </c>
      <c r="G700">
        <v>11</v>
      </c>
      <c r="H700" t="s">
        <v>31</v>
      </c>
      <c r="I700">
        <v>16</v>
      </c>
      <c r="J700">
        <v>2852.22</v>
      </c>
      <c r="K700">
        <f t="shared" si="12"/>
        <v>31374.42</v>
      </c>
    </row>
    <row r="701" spans="1:11" x14ac:dyDescent="0.35">
      <c r="A701" t="s">
        <v>902</v>
      </c>
      <c r="B701" s="1">
        <v>45058</v>
      </c>
      <c r="C701" t="s">
        <v>15</v>
      </c>
      <c r="D701" t="s">
        <v>19</v>
      </c>
      <c r="E701" t="s">
        <v>22</v>
      </c>
      <c r="F701" t="s">
        <v>35</v>
      </c>
      <c r="G701">
        <v>11</v>
      </c>
      <c r="H701" t="s">
        <v>36</v>
      </c>
      <c r="I701">
        <v>16</v>
      </c>
      <c r="J701">
        <v>2852.22</v>
      </c>
      <c r="K701">
        <f t="shared" si="12"/>
        <v>31374.42</v>
      </c>
    </row>
    <row r="702" spans="1:11" x14ac:dyDescent="0.35">
      <c r="A702" t="s">
        <v>903</v>
      </c>
      <c r="B702" s="1">
        <v>44935</v>
      </c>
      <c r="C702" t="s">
        <v>10</v>
      </c>
      <c r="D702" t="s">
        <v>38</v>
      </c>
      <c r="E702" t="s">
        <v>39</v>
      </c>
      <c r="F702" t="s">
        <v>13</v>
      </c>
      <c r="G702">
        <v>7</v>
      </c>
      <c r="H702" t="s">
        <v>14</v>
      </c>
      <c r="I702">
        <v>45</v>
      </c>
      <c r="J702">
        <v>4508.28</v>
      </c>
      <c r="K702">
        <f t="shared" si="12"/>
        <v>31557.96</v>
      </c>
    </row>
    <row r="703" spans="1:11" x14ac:dyDescent="0.35">
      <c r="A703" t="s">
        <v>904</v>
      </c>
      <c r="B703" s="1">
        <v>45286</v>
      </c>
      <c r="C703" t="s">
        <v>10</v>
      </c>
      <c r="D703" t="s">
        <v>38</v>
      </c>
      <c r="E703" t="s">
        <v>40</v>
      </c>
      <c r="F703" t="s">
        <v>18</v>
      </c>
      <c r="G703">
        <v>14</v>
      </c>
      <c r="H703" t="s">
        <v>36</v>
      </c>
      <c r="I703">
        <v>49</v>
      </c>
      <c r="J703">
        <v>2260.17</v>
      </c>
      <c r="K703">
        <f t="shared" si="12"/>
        <v>31642.38</v>
      </c>
    </row>
    <row r="704" spans="1:11" x14ac:dyDescent="0.35">
      <c r="A704" t="s">
        <v>905</v>
      </c>
      <c r="B704" s="1">
        <v>45051</v>
      </c>
      <c r="C704" t="s">
        <v>15</v>
      </c>
      <c r="D704" t="s">
        <v>19</v>
      </c>
      <c r="E704" t="s">
        <v>32</v>
      </c>
      <c r="F704" t="s">
        <v>13</v>
      </c>
      <c r="G704">
        <v>7</v>
      </c>
      <c r="H704" t="s">
        <v>195</v>
      </c>
      <c r="I704">
        <v>20</v>
      </c>
      <c r="J704">
        <v>4530.8100000000004</v>
      </c>
      <c r="K704">
        <f t="shared" si="12"/>
        <v>31715.670000000002</v>
      </c>
    </row>
    <row r="705" spans="1:11" x14ac:dyDescent="0.35">
      <c r="A705" t="s">
        <v>906</v>
      </c>
      <c r="B705" s="1">
        <v>45026</v>
      </c>
      <c r="C705" t="s">
        <v>23</v>
      </c>
      <c r="D705" t="s">
        <v>24</v>
      </c>
      <c r="E705" t="s">
        <v>45</v>
      </c>
      <c r="F705" t="s">
        <v>21</v>
      </c>
      <c r="G705">
        <v>7</v>
      </c>
      <c r="H705" t="s">
        <v>96</v>
      </c>
      <c r="I705">
        <v>45</v>
      </c>
      <c r="J705">
        <v>4541.83</v>
      </c>
      <c r="K705">
        <f t="shared" si="12"/>
        <v>31792.809999999998</v>
      </c>
    </row>
    <row r="706" spans="1:11" x14ac:dyDescent="0.35">
      <c r="A706" t="s">
        <v>907</v>
      </c>
      <c r="B706" s="1">
        <v>45187</v>
      </c>
      <c r="C706" t="s">
        <v>23</v>
      </c>
      <c r="D706" t="s">
        <v>24</v>
      </c>
      <c r="E706" t="s">
        <v>44</v>
      </c>
      <c r="F706" t="s">
        <v>29</v>
      </c>
      <c r="G706">
        <v>20</v>
      </c>
      <c r="H706" t="s">
        <v>33</v>
      </c>
      <c r="I706">
        <v>24</v>
      </c>
      <c r="J706">
        <v>1592.52</v>
      </c>
      <c r="K706">
        <f t="shared" ref="K706:K769" si="13">G706*J706</f>
        <v>31850.400000000001</v>
      </c>
    </row>
    <row r="707" spans="1:11" x14ac:dyDescent="0.35">
      <c r="A707" t="s">
        <v>908</v>
      </c>
      <c r="B707" s="1">
        <v>45252</v>
      </c>
      <c r="C707" t="s">
        <v>23</v>
      </c>
      <c r="D707" t="s">
        <v>24</v>
      </c>
      <c r="E707" t="s">
        <v>25</v>
      </c>
      <c r="F707" t="s">
        <v>13</v>
      </c>
      <c r="G707">
        <v>9</v>
      </c>
      <c r="H707" t="s">
        <v>195</v>
      </c>
      <c r="I707">
        <v>26</v>
      </c>
      <c r="J707">
        <v>3552.02</v>
      </c>
      <c r="K707">
        <f t="shared" si="13"/>
        <v>31968.18</v>
      </c>
    </row>
    <row r="708" spans="1:11" x14ac:dyDescent="0.35">
      <c r="A708" t="s">
        <v>909</v>
      </c>
      <c r="B708" s="1">
        <v>45175</v>
      </c>
      <c r="C708" t="s">
        <v>10</v>
      </c>
      <c r="D708" t="s">
        <v>38</v>
      </c>
      <c r="E708" t="s">
        <v>40</v>
      </c>
      <c r="F708" t="s">
        <v>18</v>
      </c>
      <c r="G708">
        <v>10</v>
      </c>
      <c r="H708" t="s">
        <v>28</v>
      </c>
      <c r="I708">
        <v>18</v>
      </c>
      <c r="J708">
        <v>3205.57</v>
      </c>
      <c r="K708">
        <f t="shared" si="13"/>
        <v>32055.7</v>
      </c>
    </row>
    <row r="709" spans="1:11" x14ac:dyDescent="0.35">
      <c r="A709" t="s">
        <v>910</v>
      </c>
      <c r="B709" s="1">
        <v>45283</v>
      </c>
      <c r="C709" t="s">
        <v>10</v>
      </c>
      <c r="D709" t="s">
        <v>38</v>
      </c>
      <c r="E709" t="s">
        <v>39</v>
      </c>
      <c r="F709" t="s">
        <v>13</v>
      </c>
      <c r="G709">
        <v>8</v>
      </c>
      <c r="H709" t="s">
        <v>36</v>
      </c>
      <c r="I709">
        <v>35</v>
      </c>
      <c r="J709">
        <v>4009.51</v>
      </c>
      <c r="K709">
        <f t="shared" si="13"/>
        <v>32076.080000000002</v>
      </c>
    </row>
    <row r="710" spans="1:11" x14ac:dyDescent="0.35">
      <c r="A710" t="s">
        <v>911</v>
      </c>
      <c r="B710" s="1">
        <v>45633</v>
      </c>
      <c r="C710" t="s">
        <v>10</v>
      </c>
      <c r="D710" t="s">
        <v>38</v>
      </c>
      <c r="E710" t="s">
        <v>42</v>
      </c>
      <c r="F710" t="s">
        <v>18</v>
      </c>
      <c r="G710">
        <v>13</v>
      </c>
      <c r="H710" t="s">
        <v>195</v>
      </c>
      <c r="I710">
        <v>24</v>
      </c>
      <c r="J710">
        <v>2475.98</v>
      </c>
      <c r="K710">
        <f t="shared" si="13"/>
        <v>32187.74</v>
      </c>
    </row>
    <row r="711" spans="1:11" x14ac:dyDescent="0.35">
      <c r="A711" t="s">
        <v>912</v>
      </c>
      <c r="B711" s="1">
        <v>45150</v>
      </c>
      <c r="C711" t="s">
        <v>10</v>
      </c>
      <c r="D711" t="s">
        <v>38</v>
      </c>
      <c r="E711" t="s">
        <v>42</v>
      </c>
      <c r="F711" t="s">
        <v>18</v>
      </c>
      <c r="G711">
        <v>13</v>
      </c>
      <c r="H711" t="s">
        <v>96</v>
      </c>
      <c r="I711">
        <v>24</v>
      </c>
      <c r="J711">
        <v>2475.98</v>
      </c>
      <c r="K711">
        <f t="shared" si="13"/>
        <v>32187.74</v>
      </c>
    </row>
    <row r="712" spans="1:11" x14ac:dyDescent="0.35">
      <c r="A712" t="s">
        <v>913</v>
      </c>
      <c r="B712" s="1">
        <v>45209</v>
      </c>
      <c r="C712" t="s">
        <v>10</v>
      </c>
      <c r="D712" t="s">
        <v>11</v>
      </c>
      <c r="E712" t="s">
        <v>27</v>
      </c>
      <c r="F712" t="s">
        <v>18</v>
      </c>
      <c r="G712">
        <v>15</v>
      </c>
      <c r="H712" t="s">
        <v>30</v>
      </c>
      <c r="I712">
        <v>43</v>
      </c>
      <c r="J712">
        <v>2148.0100000000002</v>
      </c>
      <c r="K712">
        <f t="shared" si="13"/>
        <v>32220.15</v>
      </c>
    </row>
    <row r="713" spans="1:11" x14ac:dyDescent="0.35">
      <c r="A713" t="s">
        <v>914</v>
      </c>
      <c r="B713" s="1">
        <v>44945</v>
      </c>
      <c r="C713" t="s">
        <v>10</v>
      </c>
      <c r="D713" t="s">
        <v>38</v>
      </c>
      <c r="E713" t="s">
        <v>40</v>
      </c>
      <c r="F713" t="s">
        <v>29</v>
      </c>
      <c r="G713">
        <v>15</v>
      </c>
      <c r="H713" t="s">
        <v>28</v>
      </c>
      <c r="I713">
        <v>26</v>
      </c>
      <c r="J713">
        <v>2167.91</v>
      </c>
      <c r="K713">
        <f t="shared" si="13"/>
        <v>32518.649999999998</v>
      </c>
    </row>
    <row r="714" spans="1:11" x14ac:dyDescent="0.35">
      <c r="A714" t="s">
        <v>915</v>
      </c>
      <c r="B714" s="1">
        <v>44942</v>
      </c>
      <c r="C714" t="s">
        <v>15</v>
      </c>
      <c r="D714" t="s">
        <v>19</v>
      </c>
      <c r="E714" t="s">
        <v>22</v>
      </c>
      <c r="F714" t="s">
        <v>18</v>
      </c>
      <c r="G714">
        <v>15</v>
      </c>
      <c r="H714" t="s">
        <v>33</v>
      </c>
      <c r="I714">
        <v>42</v>
      </c>
      <c r="J714">
        <v>2174.4499999999998</v>
      </c>
      <c r="K714">
        <f t="shared" si="13"/>
        <v>32616.749999999996</v>
      </c>
    </row>
    <row r="715" spans="1:11" x14ac:dyDescent="0.35">
      <c r="A715" t="s">
        <v>916</v>
      </c>
      <c r="B715" s="1">
        <v>45269</v>
      </c>
      <c r="C715" t="s">
        <v>23</v>
      </c>
      <c r="D715" t="s">
        <v>24</v>
      </c>
      <c r="E715" t="s">
        <v>45</v>
      </c>
      <c r="F715" t="s">
        <v>13</v>
      </c>
      <c r="G715">
        <v>12</v>
      </c>
      <c r="H715" t="s">
        <v>97</v>
      </c>
      <c r="I715">
        <v>28</v>
      </c>
      <c r="J715">
        <v>2726.43</v>
      </c>
      <c r="K715">
        <f t="shared" si="13"/>
        <v>32717.159999999996</v>
      </c>
    </row>
    <row r="716" spans="1:11" x14ac:dyDescent="0.35">
      <c r="A716" t="s">
        <v>917</v>
      </c>
      <c r="B716" s="1">
        <v>45229</v>
      </c>
      <c r="C716" t="s">
        <v>15</v>
      </c>
      <c r="D716" t="s">
        <v>19</v>
      </c>
      <c r="E716" t="s">
        <v>22</v>
      </c>
      <c r="F716" t="s">
        <v>35</v>
      </c>
      <c r="G716">
        <v>9</v>
      </c>
      <c r="H716" t="s">
        <v>96</v>
      </c>
      <c r="I716">
        <v>45</v>
      </c>
      <c r="J716">
        <v>3643.26</v>
      </c>
      <c r="K716">
        <f t="shared" si="13"/>
        <v>32789.340000000004</v>
      </c>
    </row>
    <row r="717" spans="1:11" x14ac:dyDescent="0.35">
      <c r="A717" t="s">
        <v>918</v>
      </c>
      <c r="B717" s="1">
        <v>44971</v>
      </c>
      <c r="C717" t="s">
        <v>15</v>
      </c>
      <c r="D717" t="s">
        <v>19</v>
      </c>
      <c r="E717" t="s">
        <v>22</v>
      </c>
      <c r="F717" t="s">
        <v>13</v>
      </c>
      <c r="G717">
        <v>12</v>
      </c>
      <c r="H717" t="s">
        <v>36</v>
      </c>
      <c r="I717">
        <v>20</v>
      </c>
      <c r="J717">
        <v>2733.87</v>
      </c>
      <c r="K717">
        <f t="shared" si="13"/>
        <v>32806.44</v>
      </c>
    </row>
    <row r="718" spans="1:11" x14ac:dyDescent="0.35">
      <c r="A718" t="s">
        <v>919</v>
      </c>
      <c r="B718" s="1">
        <v>45264</v>
      </c>
      <c r="C718" t="s">
        <v>15</v>
      </c>
      <c r="D718" t="s">
        <v>19</v>
      </c>
      <c r="E718" t="s">
        <v>22</v>
      </c>
      <c r="F718" t="s">
        <v>29</v>
      </c>
      <c r="G718">
        <v>7</v>
      </c>
      <c r="H718" t="s">
        <v>96</v>
      </c>
      <c r="I718">
        <v>37</v>
      </c>
      <c r="J718">
        <v>4720.63</v>
      </c>
      <c r="K718">
        <f t="shared" si="13"/>
        <v>33044.410000000003</v>
      </c>
    </row>
    <row r="719" spans="1:11" x14ac:dyDescent="0.35">
      <c r="A719" t="s">
        <v>920</v>
      </c>
      <c r="B719" s="1">
        <v>45215</v>
      </c>
      <c r="C719" t="s">
        <v>10</v>
      </c>
      <c r="D719" t="s">
        <v>11</v>
      </c>
      <c r="E719" t="s">
        <v>27</v>
      </c>
      <c r="F719" t="s">
        <v>29</v>
      </c>
      <c r="G719">
        <v>9</v>
      </c>
      <c r="H719" t="s">
        <v>14</v>
      </c>
      <c r="I719">
        <v>48</v>
      </c>
      <c r="J719">
        <v>3678.86</v>
      </c>
      <c r="K719">
        <f t="shared" si="13"/>
        <v>33109.74</v>
      </c>
    </row>
    <row r="720" spans="1:11" x14ac:dyDescent="0.35">
      <c r="A720" t="s">
        <v>921</v>
      </c>
      <c r="B720" s="1">
        <v>45142</v>
      </c>
      <c r="C720" t="s">
        <v>23</v>
      </c>
      <c r="D720" t="s">
        <v>24</v>
      </c>
      <c r="E720" t="s">
        <v>44</v>
      </c>
      <c r="F720" t="s">
        <v>21</v>
      </c>
      <c r="G720">
        <v>11</v>
      </c>
      <c r="H720" t="s">
        <v>28</v>
      </c>
      <c r="I720">
        <v>47</v>
      </c>
      <c r="J720">
        <v>3011.73</v>
      </c>
      <c r="K720">
        <f t="shared" si="13"/>
        <v>33129.03</v>
      </c>
    </row>
    <row r="721" spans="1:11" x14ac:dyDescent="0.35">
      <c r="A721" t="s">
        <v>922</v>
      </c>
      <c r="B721" s="1">
        <v>44936</v>
      </c>
      <c r="C721" t="s">
        <v>10</v>
      </c>
      <c r="D721" t="s">
        <v>11</v>
      </c>
      <c r="E721" t="s">
        <v>41</v>
      </c>
      <c r="F721" t="s">
        <v>21</v>
      </c>
      <c r="G721">
        <v>8</v>
      </c>
      <c r="H721" t="s">
        <v>96</v>
      </c>
      <c r="I721">
        <v>41</v>
      </c>
      <c r="J721">
        <v>4146.82</v>
      </c>
      <c r="K721">
        <f t="shared" si="13"/>
        <v>33174.559999999998</v>
      </c>
    </row>
    <row r="722" spans="1:11" x14ac:dyDescent="0.35">
      <c r="A722" t="s">
        <v>923</v>
      </c>
      <c r="B722" s="1">
        <v>44960</v>
      </c>
      <c r="C722" t="s">
        <v>23</v>
      </c>
      <c r="D722" t="s">
        <v>24</v>
      </c>
      <c r="E722" t="s">
        <v>45</v>
      </c>
      <c r="F722" t="s">
        <v>18</v>
      </c>
      <c r="G722">
        <v>14</v>
      </c>
      <c r="H722" t="s">
        <v>28</v>
      </c>
      <c r="I722">
        <v>26</v>
      </c>
      <c r="J722">
        <v>2371.85</v>
      </c>
      <c r="K722">
        <f t="shared" si="13"/>
        <v>33205.9</v>
      </c>
    </row>
    <row r="723" spans="1:11" x14ac:dyDescent="0.35">
      <c r="A723" t="s">
        <v>924</v>
      </c>
      <c r="B723" s="1">
        <v>45254</v>
      </c>
      <c r="C723" t="s">
        <v>10</v>
      </c>
      <c r="D723" t="s">
        <v>38</v>
      </c>
      <c r="E723" t="s">
        <v>42</v>
      </c>
      <c r="F723" t="s">
        <v>29</v>
      </c>
      <c r="G723">
        <v>8</v>
      </c>
      <c r="H723" t="s">
        <v>96</v>
      </c>
      <c r="I723">
        <v>49</v>
      </c>
      <c r="J723">
        <v>4169.8999999999996</v>
      </c>
      <c r="K723">
        <f t="shared" si="13"/>
        <v>33359.199999999997</v>
      </c>
    </row>
    <row r="724" spans="1:11" x14ac:dyDescent="0.35">
      <c r="A724" t="s">
        <v>925</v>
      </c>
      <c r="B724" s="1">
        <v>45100</v>
      </c>
      <c r="C724" t="s">
        <v>10</v>
      </c>
      <c r="D724" t="s">
        <v>38</v>
      </c>
      <c r="E724" t="s">
        <v>40</v>
      </c>
      <c r="F724" t="s">
        <v>35</v>
      </c>
      <c r="G724">
        <v>8</v>
      </c>
      <c r="H724" t="s">
        <v>97</v>
      </c>
      <c r="I724">
        <v>41</v>
      </c>
      <c r="J724">
        <v>4197.6400000000003</v>
      </c>
      <c r="K724">
        <f t="shared" si="13"/>
        <v>33581.120000000003</v>
      </c>
    </row>
    <row r="725" spans="1:11" x14ac:dyDescent="0.35">
      <c r="A725" t="s">
        <v>926</v>
      </c>
      <c r="B725" s="1">
        <v>44933</v>
      </c>
      <c r="C725" t="s">
        <v>15</v>
      </c>
      <c r="D725" t="s">
        <v>16</v>
      </c>
      <c r="E725" t="s">
        <v>17</v>
      </c>
      <c r="F725" t="s">
        <v>13</v>
      </c>
      <c r="G725">
        <v>8</v>
      </c>
      <c r="H725" t="s">
        <v>31</v>
      </c>
      <c r="I725">
        <v>53</v>
      </c>
      <c r="J725">
        <v>4201.6899999999996</v>
      </c>
      <c r="K725">
        <f t="shared" si="13"/>
        <v>33613.519999999997</v>
      </c>
    </row>
    <row r="726" spans="1:11" x14ac:dyDescent="0.35">
      <c r="A726" t="s">
        <v>927</v>
      </c>
      <c r="B726" s="1">
        <v>44972</v>
      </c>
      <c r="C726" t="s">
        <v>23</v>
      </c>
      <c r="D726" t="s">
        <v>24</v>
      </c>
      <c r="E726" t="s">
        <v>44</v>
      </c>
      <c r="F726" t="s">
        <v>29</v>
      </c>
      <c r="G726">
        <v>7</v>
      </c>
      <c r="H726" t="s">
        <v>30</v>
      </c>
      <c r="I726">
        <v>47</v>
      </c>
      <c r="J726">
        <v>4803.62</v>
      </c>
      <c r="K726">
        <f t="shared" si="13"/>
        <v>33625.339999999997</v>
      </c>
    </row>
    <row r="727" spans="1:11" x14ac:dyDescent="0.35">
      <c r="A727" t="s">
        <v>928</v>
      </c>
      <c r="B727" s="1">
        <v>45260</v>
      </c>
      <c r="C727" t="s">
        <v>23</v>
      </c>
      <c r="D727" t="s">
        <v>24</v>
      </c>
      <c r="E727" t="s">
        <v>25</v>
      </c>
      <c r="F727" t="s">
        <v>13</v>
      </c>
      <c r="G727">
        <v>7</v>
      </c>
      <c r="H727" t="s">
        <v>14</v>
      </c>
      <c r="I727">
        <v>37</v>
      </c>
      <c r="J727">
        <v>4813.28</v>
      </c>
      <c r="K727">
        <f t="shared" si="13"/>
        <v>33692.959999999999</v>
      </c>
    </row>
    <row r="728" spans="1:11" x14ac:dyDescent="0.35">
      <c r="A728" t="s">
        <v>929</v>
      </c>
      <c r="B728" s="1">
        <v>45035</v>
      </c>
      <c r="C728" t="s">
        <v>10</v>
      </c>
      <c r="D728" t="s">
        <v>38</v>
      </c>
      <c r="E728" t="s">
        <v>42</v>
      </c>
      <c r="F728" t="s">
        <v>13</v>
      </c>
      <c r="G728">
        <v>11</v>
      </c>
      <c r="H728" t="s">
        <v>28</v>
      </c>
      <c r="I728">
        <v>23</v>
      </c>
      <c r="J728">
        <v>3072.59</v>
      </c>
      <c r="K728">
        <f t="shared" si="13"/>
        <v>33798.490000000005</v>
      </c>
    </row>
    <row r="729" spans="1:11" x14ac:dyDescent="0.35">
      <c r="A729" t="s">
        <v>930</v>
      </c>
      <c r="B729" s="1">
        <v>45132</v>
      </c>
      <c r="C729" t="s">
        <v>15</v>
      </c>
      <c r="D729" t="s">
        <v>19</v>
      </c>
      <c r="E729" t="s">
        <v>20</v>
      </c>
      <c r="F729" t="s">
        <v>13</v>
      </c>
      <c r="G729">
        <v>12</v>
      </c>
      <c r="H729" t="s">
        <v>14</v>
      </c>
      <c r="I729">
        <v>53</v>
      </c>
      <c r="J729">
        <v>2821.2</v>
      </c>
      <c r="K729">
        <f t="shared" si="13"/>
        <v>33854.399999999994</v>
      </c>
    </row>
    <row r="730" spans="1:11" x14ac:dyDescent="0.35">
      <c r="A730" t="s">
        <v>931</v>
      </c>
      <c r="B730" s="1">
        <v>45108</v>
      </c>
      <c r="C730" t="s">
        <v>23</v>
      </c>
      <c r="D730" t="s">
        <v>24</v>
      </c>
      <c r="E730" t="s">
        <v>45</v>
      </c>
      <c r="F730" t="s">
        <v>29</v>
      </c>
      <c r="G730">
        <v>14</v>
      </c>
      <c r="H730" t="s">
        <v>26</v>
      </c>
      <c r="I730">
        <v>50</v>
      </c>
      <c r="J730">
        <v>2429.23</v>
      </c>
      <c r="K730">
        <f t="shared" si="13"/>
        <v>34009.22</v>
      </c>
    </row>
    <row r="731" spans="1:11" x14ac:dyDescent="0.35">
      <c r="A731" t="s">
        <v>932</v>
      </c>
      <c r="B731" s="1">
        <v>45112</v>
      </c>
      <c r="C731" t="s">
        <v>23</v>
      </c>
      <c r="D731" t="s">
        <v>24</v>
      </c>
      <c r="E731" t="s">
        <v>25</v>
      </c>
      <c r="F731" t="s">
        <v>35</v>
      </c>
      <c r="G731">
        <v>10</v>
      </c>
      <c r="H731" t="s">
        <v>14</v>
      </c>
      <c r="I731">
        <v>19</v>
      </c>
      <c r="J731">
        <v>3411.13</v>
      </c>
      <c r="K731">
        <f t="shared" si="13"/>
        <v>34111.300000000003</v>
      </c>
    </row>
    <row r="732" spans="1:11" x14ac:dyDescent="0.35">
      <c r="A732" t="s">
        <v>933</v>
      </c>
      <c r="B732" s="1">
        <v>44961</v>
      </c>
      <c r="C732" t="s">
        <v>10</v>
      </c>
      <c r="D732" t="s">
        <v>11</v>
      </c>
      <c r="E732" t="s">
        <v>27</v>
      </c>
      <c r="F732" t="s">
        <v>13</v>
      </c>
      <c r="G732">
        <v>8</v>
      </c>
      <c r="H732" t="s">
        <v>28</v>
      </c>
      <c r="I732">
        <v>49</v>
      </c>
      <c r="J732">
        <v>4290.04</v>
      </c>
      <c r="K732">
        <f t="shared" si="13"/>
        <v>34320.32</v>
      </c>
    </row>
    <row r="733" spans="1:11" x14ac:dyDescent="0.35">
      <c r="A733" t="s">
        <v>934</v>
      </c>
      <c r="B733" s="1">
        <v>45247</v>
      </c>
      <c r="C733" t="s">
        <v>10</v>
      </c>
      <c r="D733" t="s">
        <v>38</v>
      </c>
      <c r="E733" t="s">
        <v>42</v>
      </c>
      <c r="F733" t="s">
        <v>35</v>
      </c>
      <c r="G733">
        <v>19</v>
      </c>
      <c r="H733" t="s">
        <v>37</v>
      </c>
      <c r="I733">
        <v>25</v>
      </c>
      <c r="J733">
        <v>1809.9</v>
      </c>
      <c r="K733">
        <f t="shared" si="13"/>
        <v>34388.1</v>
      </c>
    </row>
    <row r="734" spans="1:11" x14ac:dyDescent="0.35">
      <c r="A734" t="s">
        <v>935</v>
      </c>
      <c r="B734" s="1">
        <v>45151</v>
      </c>
      <c r="C734" t="s">
        <v>15</v>
      </c>
      <c r="D734" t="s">
        <v>16</v>
      </c>
      <c r="E734" t="s">
        <v>17</v>
      </c>
      <c r="F734" t="s">
        <v>18</v>
      </c>
      <c r="G734">
        <v>10</v>
      </c>
      <c r="H734" t="s">
        <v>96</v>
      </c>
      <c r="I734">
        <v>50</v>
      </c>
      <c r="J734">
        <v>3439.35</v>
      </c>
      <c r="K734">
        <f t="shared" si="13"/>
        <v>34393.5</v>
      </c>
    </row>
    <row r="735" spans="1:11" x14ac:dyDescent="0.35">
      <c r="A735" t="s">
        <v>936</v>
      </c>
      <c r="B735" s="1">
        <v>45050</v>
      </c>
      <c r="C735" t="s">
        <v>10</v>
      </c>
      <c r="D735" t="s">
        <v>11</v>
      </c>
      <c r="E735" t="s">
        <v>27</v>
      </c>
      <c r="F735" t="s">
        <v>21</v>
      </c>
      <c r="G735">
        <v>17</v>
      </c>
      <c r="H735" t="s">
        <v>97</v>
      </c>
      <c r="I735">
        <v>17</v>
      </c>
      <c r="J735">
        <v>2031.75</v>
      </c>
      <c r="K735">
        <f t="shared" si="13"/>
        <v>34539.75</v>
      </c>
    </row>
    <row r="736" spans="1:11" x14ac:dyDescent="0.35">
      <c r="A736" t="s">
        <v>937</v>
      </c>
      <c r="B736" s="1">
        <v>45275</v>
      </c>
      <c r="C736" t="s">
        <v>15</v>
      </c>
      <c r="D736" t="s">
        <v>19</v>
      </c>
      <c r="E736" t="s">
        <v>22</v>
      </c>
      <c r="F736" t="s">
        <v>18</v>
      </c>
      <c r="G736">
        <v>12</v>
      </c>
      <c r="H736" t="s">
        <v>97</v>
      </c>
      <c r="I736">
        <v>18</v>
      </c>
      <c r="J736">
        <v>2882.46</v>
      </c>
      <c r="K736">
        <f t="shared" si="13"/>
        <v>34589.520000000004</v>
      </c>
    </row>
    <row r="737" spans="1:11" x14ac:dyDescent="0.35">
      <c r="A737" t="s">
        <v>938</v>
      </c>
      <c r="B737" s="1">
        <v>44978</v>
      </c>
      <c r="C737" t="s">
        <v>10</v>
      </c>
      <c r="D737" t="s">
        <v>38</v>
      </c>
      <c r="E737" t="s">
        <v>39</v>
      </c>
      <c r="F737" t="s">
        <v>13</v>
      </c>
      <c r="G737">
        <v>13</v>
      </c>
      <c r="H737" t="s">
        <v>33</v>
      </c>
      <c r="I737">
        <v>20</v>
      </c>
      <c r="J737">
        <v>2665.15</v>
      </c>
      <c r="K737">
        <f t="shared" si="13"/>
        <v>34646.950000000004</v>
      </c>
    </row>
    <row r="738" spans="1:11" x14ac:dyDescent="0.35">
      <c r="A738" t="s">
        <v>939</v>
      </c>
      <c r="B738" s="1">
        <v>44942</v>
      </c>
      <c r="C738" t="s">
        <v>23</v>
      </c>
      <c r="D738" t="s">
        <v>24</v>
      </c>
      <c r="E738" t="s">
        <v>44</v>
      </c>
      <c r="F738" t="s">
        <v>13</v>
      </c>
      <c r="G738">
        <v>8</v>
      </c>
      <c r="H738" t="s">
        <v>14</v>
      </c>
      <c r="I738">
        <v>30</v>
      </c>
      <c r="J738">
        <v>4334.41</v>
      </c>
      <c r="K738">
        <f t="shared" si="13"/>
        <v>34675.279999999999</v>
      </c>
    </row>
    <row r="739" spans="1:11" x14ac:dyDescent="0.35">
      <c r="A739" t="s">
        <v>940</v>
      </c>
      <c r="B739" s="1">
        <v>45110</v>
      </c>
      <c r="C739" t="s">
        <v>23</v>
      </c>
      <c r="D739" t="s">
        <v>24</v>
      </c>
      <c r="E739" t="s">
        <v>25</v>
      </c>
      <c r="F739" t="s">
        <v>18</v>
      </c>
      <c r="G739">
        <v>17</v>
      </c>
      <c r="H739" t="s">
        <v>14</v>
      </c>
      <c r="I739">
        <v>50</v>
      </c>
      <c r="J739">
        <v>2045.39</v>
      </c>
      <c r="K739">
        <f t="shared" si="13"/>
        <v>34771.630000000005</v>
      </c>
    </row>
    <row r="740" spans="1:11" x14ac:dyDescent="0.35">
      <c r="A740" t="s">
        <v>941</v>
      </c>
      <c r="B740" s="1">
        <v>45621</v>
      </c>
      <c r="C740" t="s">
        <v>23</v>
      </c>
      <c r="D740" t="s">
        <v>24</v>
      </c>
      <c r="E740" t="s">
        <v>25</v>
      </c>
      <c r="F740" t="s">
        <v>29</v>
      </c>
      <c r="G740">
        <v>16</v>
      </c>
      <c r="H740" t="s">
        <v>195</v>
      </c>
      <c r="I740">
        <v>30</v>
      </c>
      <c r="J740">
        <v>2178.7800000000002</v>
      </c>
      <c r="K740">
        <f t="shared" si="13"/>
        <v>34860.480000000003</v>
      </c>
    </row>
    <row r="741" spans="1:11" x14ac:dyDescent="0.35">
      <c r="A741" t="s">
        <v>942</v>
      </c>
      <c r="B741" s="1">
        <v>45225</v>
      </c>
      <c r="C741" t="s">
        <v>23</v>
      </c>
      <c r="D741" t="s">
        <v>24</v>
      </c>
      <c r="E741" t="s">
        <v>25</v>
      </c>
      <c r="F741" t="s">
        <v>29</v>
      </c>
      <c r="G741">
        <v>16</v>
      </c>
      <c r="H741" t="s">
        <v>96</v>
      </c>
      <c r="I741">
        <v>30</v>
      </c>
      <c r="J741">
        <v>2178.7800000000002</v>
      </c>
      <c r="K741">
        <f t="shared" si="13"/>
        <v>34860.480000000003</v>
      </c>
    </row>
    <row r="742" spans="1:11" x14ac:dyDescent="0.35">
      <c r="A742" t="s">
        <v>943</v>
      </c>
      <c r="B742" s="1">
        <v>45062</v>
      </c>
      <c r="C742" t="s">
        <v>10</v>
      </c>
      <c r="D742" t="s">
        <v>11</v>
      </c>
      <c r="E742" t="s">
        <v>12</v>
      </c>
      <c r="F742" t="s">
        <v>13</v>
      </c>
      <c r="G742">
        <v>15</v>
      </c>
      <c r="H742" t="s">
        <v>30</v>
      </c>
      <c r="I742">
        <v>46</v>
      </c>
      <c r="J742">
        <v>2330.62</v>
      </c>
      <c r="K742">
        <f t="shared" si="13"/>
        <v>34959.299999999996</v>
      </c>
    </row>
    <row r="743" spans="1:11" x14ac:dyDescent="0.35">
      <c r="A743" t="s">
        <v>944</v>
      </c>
      <c r="B743" s="1">
        <v>44989</v>
      </c>
      <c r="C743" t="s">
        <v>15</v>
      </c>
      <c r="D743" t="s">
        <v>19</v>
      </c>
      <c r="E743" t="s">
        <v>20</v>
      </c>
      <c r="F743" t="s">
        <v>35</v>
      </c>
      <c r="G743">
        <v>13</v>
      </c>
      <c r="H743" t="s">
        <v>31</v>
      </c>
      <c r="I743">
        <v>36</v>
      </c>
      <c r="J743">
        <v>2693.09</v>
      </c>
      <c r="K743">
        <f t="shared" si="13"/>
        <v>35010.17</v>
      </c>
    </row>
    <row r="744" spans="1:11" x14ac:dyDescent="0.35">
      <c r="A744" t="s">
        <v>945</v>
      </c>
      <c r="B744" s="1">
        <v>45264</v>
      </c>
      <c r="C744" t="s">
        <v>15</v>
      </c>
      <c r="D744" t="s">
        <v>16</v>
      </c>
      <c r="E744" t="s">
        <v>34</v>
      </c>
      <c r="F744" t="s">
        <v>21</v>
      </c>
      <c r="G744">
        <v>15</v>
      </c>
      <c r="H744" t="s">
        <v>97</v>
      </c>
      <c r="I744">
        <v>21</v>
      </c>
      <c r="J744">
        <v>2346.4</v>
      </c>
      <c r="K744">
        <f t="shared" si="13"/>
        <v>35196</v>
      </c>
    </row>
    <row r="745" spans="1:11" x14ac:dyDescent="0.35">
      <c r="A745" t="s">
        <v>946</v>
      </c>
      <c r="B745" s="1">
        <v>45029</v>
      </c>
      <c r="C745" t="s">
        <v>15</v>
      </c>
      <c r="D745" t="s">
        <v>16</v>
      </c>
      <c r="E745" t="s">
        <v>43</v>
      </c>
      <c r="F745" t="s">
        <v>35</v>
      </c>
      <c r="G745">
        <v>8</v>
      </c>
      <c r="H745" t="s">
        <v>33</v>
      </c>
      <c r="I745">
        <v>35</v>
      </c>
      <c r="J745">
        <v>4402.3599999999997</v>
      </c>
      <c r="K745">
        <f t="shared" si="13"/>
        <v>35218.879999999997</v>
      </c>
    </row>
    <row r="746" spans="1:11" x14ac:dyDescent="0.35">
      <c r="A746" t="s">
        <v>947</v>
      </c>
      <c r="B746" s="1">
        <v>45204</v>
      </c>
      <c r="C746" t="s">
        <v>15</v>
      </c>
      <c r="D746" t="s">
        <v>16</v>
      </c>
      <c r="E746" t="s">
        <v>43</v>
      </c>
      <c r="F746" t="s">
        <v>21</v>
      </c>
      <c r="G746">
        <v>10</v>
      </c>
      <c r="H746" t="s">
        <v>36</v>
      </c>
      <c r="I746">
        <v>28</v>
      </c>
      <c r="J746">
        <v>3540.6</v>
      </c>
      <c r="K746">
        <f t="shared" si="13"/>
        <v>35406</v>
      </c>
    </row>
    <row r="747" spans="1:11" x14ac:dyDescent="0.35">
      <c r="A747" t="s">
        <v>948</v>
      </c>
      <c r="B747" s="1">
        <v>45110</v>
      </c>
      <c r="C747" t="s">
        <v>15</v>
      </c>
      <c r="D747" t="s">
        <v>16</v>
      </c>
      <c r="E747" t="s">
        <v>17</v>
      </c>
      <c r="F747" t="s">
        <v>13</v>
      </c>
      <c r="G747">
        <v>18</v>
      </c>
      <c r="H747" t="s">
        <v>28</v>
      </c>
      <c r="I747">
        <v>45</v>
      </c>
      <c r="J747">
        <v>1968.87</v>
      </c>
      <c r="K747">
        <f t="shared" si="13"/>
        <v>35439.659999999996</v>
      </c>
    </row>
    <row r="748" spans="1:11" x14ac:dyDescent="0.35">
      <c r="A748" t="s">
        <v>949</v>
      </c>
      <c r="B748" s="1">
        <v>44968</v>
      </c>
      <c r="C748" t="s">
        <v>10</v>
      </c>
      <c r="D748" t="s">
        <v>11</v>
      </c>
      <c r="E748" t="s">
        <v>41</v>
      </c>
      <c r="F748" t="s">
        <v>18</v>
      </c>
      <c r="G748">
        <v>13</v>
      </c>
      <c r="H748" t="s">
        <v>36</v>
      </c>
      <c r="I748">
        <v>27</v>
      </c>
      <c r="J748">
        <v>2745.75</v>
      </c>
      <c r="K748">
        <f t="shared" si="13"/>
        <v>35694.75</v>
      </c>
    </row>
    <row r="749" spans="1:11" x14ac:dyDescent="0.35">
      <c r="A749" t="s">
        <v>950</v>
      </c>
      <c r="B749" s="1">
        <v>45072</v>
      </c>
      <c r="C749" t="s">
        <v>15</v>
      </c>
      <c r="D749" t="s">
        <v>16</v>
      </c>
      <c r="E749" t="s">
        <v>43</v>
      </c>
      <c r="F749" t="s">
        <v>21</v>
      </c>
      <c r="G749">
        <v>16</v>
      </c>
      <c r="H749" t="s">
        <v>96</v>
      </c>
      <c r="I749">
        <v>37</v>
      </c>
      <c r="J749">
        <v>2231.67</v>
      </c>
      <c r="K749">
        <f t="shared" si="13"/>
        <v>35706.720000000001</v>
      </c>
    </row>
    <row r="750" spans="1:11" x14ac:dyDescent="0.35">
      <c r="A750" t="s">
        <v>951</v>
      </c>
      <c r="B750" s="1">
        <v>45186</v>
      </c>
      <c r="C750" t="s">
        <v>23</v>
      </c>
      <c r="D750" t="s">
        <v>24</v>
      </c>
      <c r="E750" t="s">
        <v>45</v>
      </c>
      <c r="F750" t="s">
        <v>18</v>
      </c>
      <c r="G750">
        <v>18</v>
      </c>
      <c r="H750" t="s">
        <v>97</v>
      </c>
      <c r="I750">
        <v>16</v>
      </c>
      <c r="J750">
        <v>1986.52</v>
      </c>
      <c r="K750">
        <f t="shared" si="13"/>
        <v>35757.360000000001</v>
      </c>
    </row>
    <row r="751" spans="1:11" x14ac:dyDescent="0.35">
      <c r="A751" t="s">
        <v>952</v>
      </c>
      <c r="B751" s="1">
        <v>44978</v>
      </c>
      <c r="C751" t="s">
        <v>10</v>
      </c>
      <c r="D751" t="s">
        <v>38</v>
      </c>
      <c r="E751" t="s">
        <v>40</v>
      </c>
      <c r="F751" t="s">
        <v>35</v>
      </c>
      <c r="G751">
        <v>17</v>
      </c>
      <c r="H751" t="s">
        <v>28</v>
      </c>
      <c r="I751">
        <v>27</v>
      </c>
      <c r="J751">
        <v>2107.36</v>
      </c>
      <c r="K751">
        <f t="shared" si="13"/>
        <v>35825.120000000003</v>
      </c>
    </row>
    <row r="752" spans="1:11" x14ac:dyDescent="0.35">
      <c r="A752" t="s">
        <v>953</v>
      </c>
      <c r="B752" s="1">
        <v>45284</v>
      </c>
      <c r="C752" t="s">
        <v>15</v>
      </c>
      <c r="D752" t="s">
        <v>16</v>
      </c>
      <c r="E752" t="s">
        <v>17</v>
      </c>
      <c r="F752" t="s">
        <v>13</v>
      </c>
      <c r="G752">
        <v>8</v>
      </c>
      <c r="H752" t="s">
        <v>31</v>
      </c>
      <c r="I752">
        <v>19</v>
      </c>
      <c r="J752">
        <v>4516.82</v>
      </c>
      <c r="K752">
        <f t="shared" si="13"/>
        <v>36134.559999999998</v>
      </c>
    </row>
    <row r="753" spans="1:11" x14ac:dyDescent="0.35">
      <c r="A753" t="s">
        <v>954</v>
      </c>
      <c r="B753" s="1">
        <v>45246</v>
      </c>
      <c r="C753" t="s">
        <v>10</v>
      </c>
      <c r="D753" t="s">
        <v>11</v>
      </c>
      <c r="E753" t="s">
        <v>27</v>
      </c>
      <c r="F753" t="s">
        <v>13</v>
      </c>
      <c r="G753">
        <v>12</v>
      </c>
      <c r="H753" t="s">
        <v>30</v>
      </c>
      <c r="I753">
        <v>48</v>
      </c>
      <c r="J753">
        <v>3028.88</v>
      </c>
      <c r="K753">
        <f t="shared" si="13"/>
        <v>36346.559999999998</v>
      </c>
    </row>
    <row r="754" spans="1:11" x14ac:dyDescent="0.35">
      <c r="A754" t="s">
        <v>955</v>
      </c>
      <c r="B754" s="1">
        <v>45176</v>
      </c>
      <c r="C754" t="s">
        <v>10</v>
      </c>
      <c r="D754" t="s">
        <v>11</v>
      </c>
      <c r="E754" t="s">
        <v>12</v>
      </c>
      <c r="F754" t="s">
        <v>18</v>
      </c>
      <c r="G754">
        <v>13</v>
      </c>
      <c r="H754" t="s">
        <v>14</v>
      </c>
      <c r="I754">
        <v>38</v>
      </c>
      <c r="J754">
        <v>2809.29</v>
      </c>
      <c r="K754">
        <f t="shared" si="13"/>
        <v>36520.769999999997</v>
      </c>
    </row>
    <row r="755" spans="1:11" x14ac:dyDescent="0.35">
      <c r="A755" t="s">
        <v>956</v>
      </c>
      <c r="B755" s="1">
        <v>45066</v>
      </c>
      <c r="C755" t="s">
        <v>10</v>
      </c>
      <c r="D755" t="s">
        <v>11</v>
      </c>
      <c r="E755" t="s">
        <v>12</v>
      </c>
      <c r="F755" t="s">
        <v>35</v>
      </c>
      <c r="G755">
        <v>8</v>
      </c>
      <c r="H755" t="s">
        <v>30</v>
      </c>
      <c r="I755">
        <v>46</v>
      </c>
      <c r="J755">
        <v>4576.97</v>
      </c>
      <c r="K755">
        <f t="shared" si="13"/>
        <v>36615.760000000002</v>
      </c>
    </row>
    <row r="756" spans="1:11" x14ac:dyDescent="0.35">
      <c r="A756" t="s">
        <v>957</v>
      </c>
      <c r="B756" s="1">
        <v>45278</v>
      </c>
      <c r="C756" t="s">
        <v>15</v>
      </c>
      <c r="D756" t="s">
        <v>19</v>
      </c>
      <c r="E756" t="s">
        <v>22</v>
      </c>
      <c r="F756" t="s">
        <v>18</v>
      </c>
      <c r="G756">
        <v>13</v>
      </c>
      <c r="H756" t="s">
        <v>14</v>
      </c>
      <c r="I756">
        <v>21</v>
      </c>
      <c r="J756">
        <v>2829.47</v>
      </c>
      <c r="K756">
        <f t="shared" si="13"/>
        <v>36783.11</v>
      </c>
    </row>
    <row r="757" spans="1:11" x14ac:dyDescent="0.35">
      <c r="A757" t="s">
        <v>958</v>
      </c>
      <c r="B757" s="1">
        <v>45243</v>
      </c>
      <c r="C757" t="s">
        <v>10</v>
      </c>
      <c r="D757" t="s">
        <v>11</v>
      </c>
      <c r="E757" t="s">
        <v>12</v>
      </c>
      <c r="F757" t="s">
        <v>29</v>
      </c>
      <c r="G757">
        <v>12</v>
      </c>
      <c r="H757" t="s">
        <v>26</v>
      </c>
      <c r="I757">
        <v>32</v>
      </c>
      <c r="J757">
        <v>3074.45</v>
      </c>
      <c r="K757">
        <f t="shared" si="13"/>
        <v>36893.399999999994</v>
      </c>
    </row>
    <row r="758" spans="1:11" x14ac:dyDescent="0.35">
      <c r="A758" t="s">
        <v>959</v>
      </c>
      <c r="B758" s="1">
        <v>45104</v>
      </c>
      <c r="C758" t="s">
        <v>10</v>
      </c>
      <c r="D758" t="s">
        <v>11</v>
      </c>
      <c r="E758" t="s">
        <v>41</v>
      </c>
      <c r="F758" t="s">
        <v>18</v>
      </c>
      <c r="G758">
        <v>12</v>
      </c>
      <c r="H758" t="s">
        <v>36</v>
      </c>
      <c r="I758">
        <v>52</v>
      </c>
      <c r="J758">
        <v>3076.03</v>
      </c>
      <c r="K758">
        <f t="shared" si="13"/>
        <v>36912.36</v>
      </c>
    </row>
    <row r="759" spans="1:11" x14ac:dyDescent="0.35">
      <c r="A759" t="s">
        <v>960</v>
      </c>
      <c r="B759" s="1">
        <v>45169</v>
      </c>
      <c r="C759" t="s">
        <v>10</v>
      </c>
      <c r="D759" t="s">
        <v>11</v>
      </c>
      <c r="E759" t="s">
        <v>12</v>
      </c>
      <c r="F759" t="s">
        <v>29</v>
      </c>
      <c r="G759">
        <v>8</v>
      </c>
      <c r="H759" t="s">
        <v>31</v>
      </c>
      <c r="I759">
        <v>26</v>
      </c>
      <c r="J759">
        <v>4621.75</v>
      </c>
      <c r="K759">
        <f t="shared" si="13"/>
        <v>36974</v>
      </c>
    </row>
    <row r="760" spans="1:11" x14ac:dyDescent="0.35">
      <c r="A760" t="s">
        <v>961</v>
      </c>
      <c r="B760" s="1">
        <v>45638</v>
      </c>
      <c r="C760" t="s">
        <v>10</v>
      </c>
      <c r="D760" t="s">
        <v>11</v>
      </c>
      <c r="E760" t="s">
        <v>12</v>
      </c>
      <c r="F760" t="s">
        <v>29</v>
      </c>
      <c r="G760">
        <v>8</v>
      </c>
      <c r="H760" t="s">
        <v>28</v>
      </c>
      <c r="I760">
        <v>26</v>
      </c>
      <c r="J760">
        <v>4621.75</v>
      </c>
      <c r="K760">
        <f t="shared" si="13"/>
        <v>36974</v>
      </c>
    </row>
    <row r="761" spans="1:11" x14ac:dyDescent="0.35">
      <c r="A761" t="s">
        <v>962</v>
      </c>
      <c r="B761" s="1">
        <v>45114</v>
      </c>
      <c r="C761" t="s">
        <v>15</v>
      </c>
      <c r="D761" t="s">
        <v>16</v>
      </c>
      <c r="E761" t="s">
        <v>43</v>
      </c>
      <c r="F761" t="s">
        <v>21</v>
      </c>
      <c r="G761">
        <v>15</v>
      </c>
      <c r="H761" t="s">
        <v>14</v>
      </c>
      <c r="I761">
        <v>46</v>
      </c>
      <c r="J761">
        <v>2477.09</v>
      </c>
      <c r="K761">
        <f t="shared" si="13"/>
        <v>37156.350000000006</v>
      </c>
    </row>
    <row r="762" spans="1:11" x14ac:dyDescent="0.35">
      <c r="A762" t="s">
        <v>963</v>
      </c>
      <c r="B762" s="1">
        <v>45182</v>
      </c>
      <c r="C762" t="s">
        <v>15</v>
      </c>
      <c r="D762" t="s">
        <v>19</v>
      </c>
      <c r="E762" t="s">
        <v>22</v>
      </c>
      <c r="F762" t="s">
        <v>21</v>
      </c>
      <c r="G762">
        <v>8</v>
      </c>
      <c r="H762" t="s">
        <v>195</v>
      </c>
      <c r="I762">
        <v>38</v>
      </c>
      <c r="J762">
        <v>4651.3</v>
      </c>
      <c r="K762">
        <f t="shared" si="13"/>
        <v>37210.400000000001</v>
      </c>
    </row>
    <row r="763" spans="1:11" x14ac:dyDescent="0.35">
      <c r="A763" t="s">
        <v>964</v>
      </c>
      <c r="B763" s="1">
        <v>45092</v>
      </c>
      <c r="C763" t="s">
        <v>10</v>
      </c>
      <c r="D763" t="s">
        <v>11</v>
      </c>
      <c r="E763" t="s">
        <v>12</v>
      </c>
      <c r="F763" t="s">
        <v>18</v>
      </c>
      <c r="G763">
        <v>19</v>
      </c>
      <c r="H763" t="s">
        <v>195</v>
      </c>
      <c r="I763">
        <v>48</v>
      </c>
      <c r="J763">
        <v>1965.12</v>
      </c>
      <c r="K763">
        <f t="shared" si="13"/>
        <v>37337.279999999999</v>
      </c>
    </row>
    <row r="764" spans="1:11" x14ac:dyDescent="0.35">
      <c r="A764" t="s">
        <v>965</v>
      </c>
      <c r="B764" s="1">
        <v>45056</v>
      </c>
      <c r="C764" t="s">
        <v>10</v>
      </c>
      <c r="D764" t="s">
        <v>11</v>
      </c>
      <c r="E764" t="s">
        <v>12</v>
      </c>
      <c r="F764" t="s">
        <v>18</v>
      </c>
      <c r="G764">
        <v>18</v>
      </c>
      <c r="H764" t="s">
        <v>31</v>
      </c>
      <c r="I764">
        <v>24</v>
      </c>
      <c r="J764">
        <v>2074.52</v>
      </c>
      <c r="K764">
        <f t="shared" si="13"/>
        <v>37341.360000000001</v>
      </c>
    </row>
    <row r="765" spans="1:11" x14ac:dyDescent="0.35">
      <c r="A765" t="s">
        <v>966</v>
      </c>
      <c r="B765" s="1">
        <v>45238</v>
      </c>
      <c r="C765" t="s">
        <v>23</v>
      </c>
      <c r="D765" t="s">
        <v>24</v>
      </c>
      <c r="E765" t="s">
        <v>25</v>
      </c>
      <c r="F765" t="s">
        <v>35</v>
      </c>
      <c r="G765">
        <v>17</v>
      </c>
      <c r="H765" t="s">
        <v>14</v>
      </c>
      <c r="I765">
        <v>52</v>
      </c>
      <c r="J765">
        <v>2216.38</v>
      </c>
      <c r="K765">
        <f t="shared" si="13"/>
        <v>37678.46</v>
      </c>
    </row>
    <row r="766" spans="1:11" x14ac:dyDescent="0.35">
      <c r="A766" t="s">
        <v>967</v>
      </c>
      <c r="B766" s="1">
        <v>45085</v>
      </c>
      <c r="C766" t="s">
        <v>10</v>
      </c>
      <c r="D766" t="s">
        <v>38</v>
      </c>
      <c r="E766" t="s">
        <v>39</v>
      </c>
      <c r="F766" t="s">
        <v>35</v>
      </c>
      <c r="G766">
        <v>15</v>
      </c>
      <c r="H766" t="s">
        <v>37</v>
      </c>
      <c r="I766">
        <v>32</v>
      </c>
      <c r="J766">
        <v>2514.9499999999998</v>
      </c>
      <c r="K766">
        <f t="shared" si="13"/>
        <v>37724.25</v>
      </c>
    </row>
    <row r="767" spans="1:11" x14ac:dyDescent="0.35">
      <c r="A767" t="s">
        <v>968</v>
      </c>
      <c r="B767" s="1">
        <v>44930</v>
      </c>
      <c r="C767" t="s">
        <v>15</v>
      </c>
      <c r="D767" t="s">
        <v>19</v>
      </c>
      <c r="E767" t="s">
        <v>22</v>
      </c>
      <c r="F767" t="s">
        <v>35</v>
      </c>
      <c r="G767">
        <v>13</v>
      </c>
      <c r="H767" t="s">
        <v>96</v>
      </c>
      <c r="I767">
        <v>23</v>
      </c>
      <c r="J767">
        <v>2913.56</v>
      </c>
      <c r="K767">
        <f t="shared" si="13"/>
        <v>37876.28</v>
      </c>
    </row>
    <row r="768" spans="1:11" x14ac:dyDescent="0.35">
      <c r="A768" t="s">
        <v>969</v>
      </c>
      <c r="B768" s="1">
        <v>45070</v>
      </c>
      <c r="C768" t="s">
        <v>10</v>
      </c>
      <c r="D768" t="s">
        <v>38</v>
      </c>
      <c r="E768" t="s">
        <v>39</v>
      </c>
      <c r="F768" t="s">
        <v>29</v>
      </c>
      <c r="G768">
        <v>14</v>
      </c>
      <c r="H768" t="s">
        <v>14</v>
      </c>
      <c r="I768">
        <v>43</v>
      </c>
      <c r="J768">
        <v>2715.54</v>
      </c>
      <c r="K768">
        <f t="shared" si="13"/>
        <v>38017.56</v>
      </c>
    </row>
    <row r="769" spans="1:11" x14ac:dyDescent="0.35">
      <c r="A769" t="s">
        <v>970</v>
      </c>
      <c r="B769" s="1">
        <v>45291</v>
      </c>
      <c r="C769" t="s">
        <v>10</v>
      </c>
      <c r="D769" t="s">
        <v>11</v>
      </c>
      <c r="E769" t="s">
        <v>41</v>
      </c>
      <c r="F769" t="s">
        <v>13</v>
      </c>
      <c r="G769">
        <v>10</v>
      </c>
      <c r="H769" t="s">
        <v>30</v>
      </c>
      <c r="I769">
        <v>32</v>
      </c>
      <c r="J769">
        <v>3806.67</v>
      </c>
      <c r="K769">
        <f t="shared" si="13"/>
        <v>38066.699999999997</v>
      </c>
    </row>
    <row r="770" spans="1:11" x14ac:dyDescent="0.35">
      <c r="A770" t="s">
        <v>971</v>
      </c>
      <c r="B770" s="1">
        <v>45113</v>
      </c>
      <c r="C770" t="s">
        <v>10</v>
      </c>
      <c r="D770" t="s">
        <v>11</v>
      </c>
      <c r="E770" t="s">
        <v>27</v>
      </c>
      <c r="F770" t="s">
        <v>35</v>
      </c>
      <c r="G770">
        <v>15</v>
      </c>
      <c r="H770" t="s">
        <v>28</v>
      </c>
      <c r="I770">
        <v>19</v>
      </c>
      <c r="J770">
        <v>2551.6</v>
      </c>
      <c r="K770">
        <f t="shared" ref="K770:K833" si="14">G770*J770</f>
        <v>38274</v>
      </c>
    </row>
    <row r="771" spans="1:11" x14ac:dyDescent="0.35">
      <c r="A771" t="s">
        <v>972</v>
      </c>
      <c r="B771" s="1">
        <v>44992</v>
      </c>
      <c r="C771" t="s">
        <v>10</v>
      </c>
      <c r="D771" t="s">
        <v>38</v>
      </c>
      <c r="E771" t="s">
        <v>39</v>
      </c>
      <c r="F771" t="s">
        <v>21</v>
      </c>
      <c r="G771">
        <v>20</v>
      </c>
      <c r="H771" t="s">
        <v>14</v>
      </c>
      <c r="I771">
        <v>24</v>
      </c>
      <c r="J771">
        <v>1916.52</v>
      </c>
      <c r="K771">
        <f t="shared" si="14"/>
        <v>38330.400000000001</v>
      </c>
    </row>
    <row r="772" spans="1:11" x14ac:dyDescent="0.35">
      <c r="A772" t="s">
        <v>973</v>
      </c>
      <c r="B772" s="1">
        <v>45003</v>
      </c>
      <c r="C772" t="s">
        <v>15</v>
      </c>
      <c r="D772" t="s">
        <v>16</v>
      </c>
      <c r="E772" t="s">
        <v>34</v>
      </c>
      <c r="F772" t="s">
        <v>13</v>
      </c>
      <c r="G772">
        <v>14</v>
      </c>
      <c r="H772" t="s">
        <v>33</v>
      </c>
      <c r="I772">
        <v>46</v>
      </c>
      <c r="J772">
        <v>2746.27</v>
      </c>
      <c r="K772">
        <f t="shared" si="14"/>
        <v>38447.78</v>
      </c>
    </row>
    <row r="773" spans="1:11" x14ac:dyDescent="0.35">
      <c r="A773" t="s">
        <v>974</v>
      </c>
      <c r="B773" s="1">
        <v>45249</v>
      </c>
      <c r="C773" t="s">
        <v>23</v>
      </c>
      <c r="D773" t="s">
        <v>24</v>
      </c>
      <c r="E773" t="s">
        <v>44</v>
      </c>
      <c r="F773" t="s">
        <v>18</v>
      </c>
      <c r="G773">
        <v>18</v>
      </c>
      <c r="H773" t="s">
        <v>31</v>
      </c>
      <c r="I773">
        <v>52</v>
      </c>
      <c r="J773">
        <v>2149.9899999999998</v>
      </c>
      <c r="K773">
        <f t="shared" si="14"/>
        <v>38699.819999999992</v>
      </c>
    </row>
    <row r="774" spans="1:11" x14ac:dyDescent="0.35">
      <c r="A774" t="s">
        <v>975</v>
      </c>
      <c r="B774" s="1">
        <v>45078</v>
      </c>
      <c r="C774" t="s">
        <v>10</v>
      </c>
      <c r="D774" t="s">
        <v>38</v>
      </c>
      <c r="E774" t="s">
        <v>42</v>
      </c>
      <c r="F774" t="s">
        <v>21</v>
      </c>
      <c r="G774">
        <v>15</v>
      </c>
      <c r="H774" t="s">
        <v>30</v>
      </c>
      <c r="I774">
        <v>39</v>
      </c>
      <c r="J774">
        <v>2586.8000000000002</v>
      </c>
      <c r="K774">
        <f t="shared" si="14"/>
        <v>38802</v>
      </c>
    </row>
    <row r="775" spans="1:11" x14ac:dyDescent="0.35">
      <c r="A775" t="s">
        <v>976</v>
      </c>
      <c r="B775" s="1">
        <v>45030</v>
      </c>
      <c r="C775" t="s">
        <v>10</v>
      </c>
      <c r="D775" t="s">
        <v>11</v>
      </c>
      <c r="E775" t="s">
        <v>27</v>
      </c>
      <c r="F775" t="s">
        <v>29</v>
      </c>
      <c r="G775">
        <v>10</v>
      </c>
      <c r="H775" t="s">
        <v>195</v>
      </c>
      <c r="I775">
        <v>37</v>
      </c>
      <c r="J775">
        <v>3882.87</v>
      </c>
      <c r="K775">
        <f t="shared" si="14"/>
        <v>38828.699999999997</v>
      </c>
    </row>
    <row r="776" spans="1:11" x14ac:dyDescent="0.35">
      <c r="A776" t="s">
        <v>977</v>
      </c>
      <c r="B776" s="1">
        <v>45039</v>
      </c>
      <c r="C776" t="s">
        <v>10</v>
      </c>
      <c r="D776" t="s">
        <v>11</v>
      </c>
      <c r="E776" t="s">
        <v>12</v>
      </c>
      <c r="F776" t="s">
        <v>35</v>
      </c>
      <c r="G776">
        <v>14</v>
      </c>
      <c r="H776" t="s">
        <v>97</v>
      </c>
      <c r="I776">
        <v>31</v>
      </c>
      <c r="J776">
        <v>2775.33</v>
      </c>
      <c r="K776">
        <f t="shared" si="14"/>
        <v>38854.619999999995</v>
      </c>
    </row>
    <row r="777" spans="1:11" x14ac:dyDescent="0.35">
      <c r="A777" t="s">
        <v>978</v>
      </c>
      <c r="B777" s="1">
        <v>45164</v>
      </c>
      <c r="C777" t="s">
        <v>10</v>
      </c>
      <c r="D777" t="s">
        <v>38</v>
      </c>
      <c r="E777" t="s">
        <v>39</v>
      </c>
      <c r="F777" t="s">
        <v>35</v>
      </c>
      <c r="G777">
        <v>11</v>
      </c>
      <c r="H777" t="s">
        <v>195</v>
      </c>
      <c r="I777">
        <v>50</v>
      </c>
      <c r="J777">
        <v>3538.83</v>
      </c>
      <c r="K777">
        <f t="shared" si="14"/>
        <v>38927.129999999997</v>
      </c>
    </row>
    <row r="778" spans="1:11" x14ac:dyDescent="0.35">
      <c r="A778" t="s">
        <v>979</v>
      </c>
      <c r="B778" s="1">
        <v>45191</v>
      </c>
      <c r="C778" t="s">
        <v>23</v>
      </c>
      <c r="D778" t="s">
        <v>24</v>
      </c>
      <c r="E778" t="s">
        <v>25</v>
      </c>
      <c r="F778" t="s">
        <v>35</v>
      </c>
      <c r="G778">
        <v>8</v>
      </c>
      <c r="H778" t="s">
        <v>14</v>
      </c>
      <c r="I778">
        <v>55</v>
      </c>
      <c r="J778">
        <v>4866.58</v>
      </c>
      <c r="K778">
        <f t="shared" si="14"/>
        <v>38932.639999999999</v>
      </c>
    </row>
    <row r="779" spans="1:11" x14ac:dyDescent="0.35">
      <c r="A779" t="s">
        <v>980</v>
      </c>
      <c r="B779" s="1">
        <v>45069</v>
      </c>
      <c r="C779" t="s">
        <v>10</v>
      </c>
      <c r="D779" t="s">
        <v>11</v>
      </c>
      <c r="E779" t="s">
        <v>27</v>
      </c>
      <c r="F779" t="s">
        <v>18</v>
      </c>
      <c r="G779">
        <v>14</v>
      </c>
      <c r="H779" t="s">
        <v>28</v>
      </c>
      <c r="I779">
        <v>35</v>
      </c>
      <c r="J779">
        <v>2785.95</v>
      </c>
      <c r="K779">
        <f t="shared" si="14"/>
        <v>39003.299999999996</v>
      </c>
    </row>
    <row r="780" spans="1:11" x14ac:dyDescent="0.35">
      <c r="A780" t="s">
        <v>981</v>
      </c>
      <c r="B780" s="1">
        <v>45283</v>
      </c>
      <c r="C780" t="s">
        <v>10</v>
      </c>
      <c r="D780" t="s">
        <v>11</v>
      </c>
      <c r="E780" t="s">
        <v>27</v>
      </c>
      <c r="F780" t="s">
        <v>18</v>
      </c>
      <c r="G780">
        <v>10</v>
      </c>
      <c r="H780" t="s">
        <v>33</v>
      </c>
      <c r="I780">
        <v>25</v>
      </c>
      <c r="J780">
        <v>3907.49</v>
      </c>
      <c r="K780">
        <f t="shared" si="14"/>
        <v>39074.899999999994</v>
      </c>
    </row>
    <row r="781" spans="1:11" x14ac:dyDescent="0.35">
      <c r="A781" t="s">
        <v>982</v>
      </c>
      <c r="B781" s="1">
        <v>44993</v>
      </c>
      <c r="C781" t="s">
        <v>15</v>
      </c>
      <c r="D781" t="s">
        <v>19</v>
      </c>
      <c r="E781" t="s">
        <v>32</v>
      </c>
      <c r="F781" t="s">
        <v>21</v>
      </c>
      <c r="G781">
        <v>11</v>
      </c>
      <c r="H781" t="s">
        <v>96</v>
      </c>
      <c r="I781">
        <v>38</v>
      </c>
      <c r="J781">
        <v>3561.4</v>
      </c>
      <c r="K781">
        <f t="shared" si="14"/>
        <v>39175.4</v>
      </c>
    </row>
    <row r="782" spans="1:11" x14ac:dyDescent="0.35">
      <c r="A782" t="s">
        <v>983</v>
      </c>
      <c r="B782" s="1">
        <v>45112</v>
      </c>
      <c r="C782" t="s">
        <v>15</v>
      </c>
      <c r="D782" t="s">
        <v>19</v>
      </c>
      <c r="E782" t="s">
        <v>32</v>
      </c>
      <c r="F782" t="s">
        <v>21</v>
      </c>
      <c r="G782">
        <v>14</v>
      </c>
      <c r="H782" t="s">
        <v>195</v>
      </c>
      <c r="I782">
        <v>54</v>
      </c>
      <c r="J782">
        <v>2808.58</v>
      </c>
      <c r="K782">
        <f t="shared" si="14"/>
        <v>39320.119999999995</v>
      </c>
    </row>
    <row r="783" spans="1:11" x14ac:dyDescent="0.35">
      <c r="A783" t="s">
        <v>984</v>
      </c>
      <c r="B783" s="1">
        <v>45115</v>
      </c>
      <c r="C783" t="s">
        <v>15</v>
      </c>
      <c r="D783" t="s">
        <v>16</v>
      </c>
      <c r="E783" t="s">
        <v>17</v>
      </c>
      <c r="F783" t="s">
        <v>13</v>
      </c>
      <c r="G783">
        <v>17</v>
      </c>
      <c r="H783" t="s">
        <v>37</v>
      </c>
      <c r="I783">
        <v>43</v>
      </c>
      <c r="J783">
        <v>2316.09</v>
      </c>
      <c r="K783">
        <f t="shared" si="14"/>
        <v>39373.53</v>
      </c>
    </row>
    <row r="784" spans="1:11" x14ac:dyDescent="0.35">
      <c r="A784" t="s">
        <v>985</v>
      </c>
      <c r="B784" s="1">
        <v>44988</v>
      </c>
      <c r="C784" t="s">
        <v>10</v>
      </c>
      <c r="D784" t="s">
        <v>11</v>
      </c>
      <c r="E784" t="s">
        <v>27</v>
      </c>
      <c r="F784" t="s">
        <v>35</v>
      </c>
      <c r="G784">
        <v>11</v>
      </c>
      <c r="H784" t="s">
        <v>37</v>
      </c>
      <c r="I784">
        <v>19</v>
      </c>
      <c r="J784">
        <v>3584.06</v>
      </c>
      <c r="K784">
        <f t="shared" si="14"/>
        <v>39424.659999999996</v>
      </c>
    </row>
    <row r="785" spans="1:11" x14ac:dyDescent="0.35">
      <c r="A785" t="s">
        <v>986</v>
      </c>
      <c r="B785" s="1">
        <v>45122</v>
      </c>
      <c r="C785" t="s">
        <v>15</v>
      </c>
      <c r="D785" t="s">
        <v>16</v>
      </c>
      <c r="E785" t="s">
        <v>43</v>
      </c>
      <c r="F785" t="s">
        <v>21</v>
      </c>
      <c r="G785">
        <v>11</v>
      </c>
      <c r="H785" t="s">
        <v>31</v>
      </c>
      <c r="I785">
        <v>52</v>
      </c>
      <c r="J785">
        <v>3590.89</v>
      </c>
      <c r="K785">
        <f t="shared" si="14"/>
        <v>39499.79</v>
      </c>
    </row>
    <row r="786" spans="1:11" x14ac:dyDescent="0.35">
      <c r="A786" t="s">
        <v>987</v>
      </c>
      <c r="B786" s="1">
        <v>45261</v>
      </c>
      <c r="C786" t="s">
        <v>15</v>
      </c>
      <c r="D786" t="s">
        <v>16</v>
      </c>
      <c r="E786" t="s">
        <v>43</v>
      </c>
      <c r="F786" t="s">
        <v>18</v>
      </c>
      <c r="G786">
        <v>10</v>
      </c>
      <c r="H786" t="s">
        <v>96</v>
      </c>
      <c r="I786">
        <v>44</v>
      </c>
      <c r="J786">
        <v>3950.06</v>
      </c>
      <c r="K786">
        <f t="shared" si="14"/>
        <v>39500.6</v>
      </c>
    </row>
    <row r="787" spans="1:11" x14ac:dyDescent="0.35">
      <c r="A787" t="s">
        <v>988</v>
      </c>
      <c r="B787" s="1">
        <v>45122</v>
      </c>
      <c r="C787" t="s">
        <v>10</v>
      </c>
      <c r="D787" t="s">
        <v>11</v>
      </c>
      <c r="E787" t="s">
        <v>12</v>
      </c>
      <c r="F787" t="s">
        <v>18</v>
      </c>
      <c r="G787">
        <v>20</v>
      </c>
      <c r="H787" t="s">
        <v>14</v>
      </c>
      <c r="I787">
        <v>38</v>
      </c>
      <c r="J787">
        <v>1977</v>
      </c>
      <c r="K787">
        <f t="shared" si="14"/>
        <v>39540</v>
      </c>
    </row>
    <row r="788" spans="1:11" x14ac:dyDescent="0.35">
      <c r="A788" t="s">
        <v>989</v>
      </c>
      <c r="B788" s="1">
        <v>45264</v>
      </c>
      <c r="C788" t="s">
        <v>15</v>
      </c>
      <c r="D788" t="s">
        <v>16</v>
      </c>
      <c r="E788" t="s">
        <v>17</v>
      </c>
      <c r="F788" t="s">
        <v>13</v>
      </c>
      <c r="G788">
        <v>10</v>
      </c>
      <c r="H788" t="s">
        <v>30</v>
      </c>
      <c r="I788">
        <v>33</v>
      </c>
      <c r="J788">
        <v>3964.05</v>
      </c>
      <c r="K788">
        <f t="shared" si="14"/>
        <v>39640.5</v>
      </c>
    </row>
    <row r="789" spans="1:11" x14ac:dyDescent="0.35">
      <c r="A789" t="s">
        <v>990</v>
      </c>
      <c r="B789" s="1">
        <v>44950</v>
      </c>
      <c r="C789" t="s">
        <v>23</v>
      </c>
      <c r="D789" t="s">
        <v>24</v>
      </c>
      <c r="E789" t="s">
        <v>25</v>
      </c>
      <c r="F789" t="s">
        <v>35</v>
      </c>
      <c r="G789">
        <v>8</v>
      </c>
      <c r="H789" t="s">
        <v>14</v>
      </c>
      <c r="I789">
        <v>35</v>
      </c>
      <c r="J789">
        <v>4986.3100000000004</v>
      </c>
      <c r="K789">
        <f t="shared" si="14"/>
        <v>39890.480000000003</v>
      </c>
    </row>
    <row r="790" spans="1:11" x14ac:dyDescent="0.35">
      <c r="A790" t="s">
        <v>991</v>
      </c>
      <c r="B790" s="1">
        <v>45275</v>
      </c>
      <c r="C790" t="s">
        <v>23</v>
      </c>
      <c r="D790" t="s">
        <v>24</v>
      </c>
      <c r="E790" t="s">
        <v>25</v>
      </c>
      <c r="F790" t="s">
        <v>29</v>
      </c>
      <c r="G790">
        <v>13</v>
      </c>
      <c r="H790" t="s">
        <v>30</v>
      </c>
      <c r="I790">
        <v>19</v>
      </c>
      <c r="J790">
        <v>3069.28</v>
      </c>
      <c r="K790">
        <f t="shared" si="14"/>
        <v>39900.639999999999</v>
      </c>
    </row>
    <row r="791" spans="1:11" x14ac:dyDescent="0.35">
      <c r="A791" t="s">
        <v>992</v>
      </c>
      <c r="B791" s="1">
        <v>45224</v>
      </c>
      <c r="C791" t="s">
        <v>23</v>
      </c>
      <c r="D791" t="s">
        <v>24</v>
      </c>
      <c r="E791" t="s">
        <v>45</v>
      </c>
      <c r="F791" t="s">
        <v>29</v>
      </c>
      <c r="G791">
        <v>16</v>
      </c>
      <c r="H791" t="s">
        <v>14</v>
      </c>
      <c r="I791">
        <v>42</v>
      </c>
      <c r="J791">
        <v>2502.5700000000002</v>
      </c>
      <c r="K791">
        <f t="shared" si="14"/>
        <v>40041.120000000003</v>
      </c>
    </row>
    <row r="792" spans="1:11" x14ac:dyDescent="0.35">
      <c r="A792" t="s">
        <v>993</v>
      </c>
      <c r="B792" s="1">
        <v>45154</v>
      </c>
      <c r="C792" t="s">
        <v>10</v>
      </c>
      <c r="D792" t="s">
        <v>11</v>
      </c>
      <c r="E792" t="s">
        <v>27</v>
      </c>
      <c r="F792" t="s">
        <v>29</v>
      </c>
      <c r="G792">
        <v>11</v>
      </c>
      <c r="H792" t="s">
        <v>28</v>
      </c>
      <c r="I792">
        <v>23</v>
      </c>
      <c r="J792">
        <v>3646.35</v>
      </c>
      <c r="K792">
        <f t="shared" si="14"/>
        <v>40109.85</v>
      </c>
    </row>
    <row r="793" spans="1:11" x14ac:dyDescent="0.35">
      <c r="A793" t="s">
        <v>994</v>
      </c>
      <c r="B793" s="1">
        <v>45048</v>
      </c>
      <c r="C793" t="s">
        <v>15</v>
      </c>
      <c r="D793" t="s">
        <v>16</v>
      </c>
      <c r="E793" t="s">
        <v>17</v>
      </c>
      <c r="F793" t="s">
        <v>35</v>
      </c>
      <c r="G793">
        <v>12</v>
      </c>
      <c r="H793" t="s">
        <v>31</v>
      </c>
      <c r="I793">
        <v>46</v>
      </c>
      <c r="J793">
        <v>3358.78</v>
      </c>
      <c r="K793">
        <f t="shared" si="14"/>
        <v>40305.360000000001</v>
      </c>
    </row>
    <row r="794" spans="1:11" x14ac:dyDescent="0.35">
      <c r="A794" t="s">
        <v>995</v>
      </c>
      <c r="B794" s="1">
        <v>45044</v>
      </c>
      <c r="C794" t="s">
        <v>15</v>
      </c>
      <c r="D794" t="s">
        <v>16</v>
      </c>
      <c r="E794" t="s">
        <v>17</v>
      </c>
      <c r="F794" t="s">
        <v>21</v>
      </c>
      <c r="G794">
        <v>9</v>
      </c>
      <c r="H794" t="s">
        <v>37</v>
      </c>
      <c r="I794">
        <v>21</v>
      </c>
      <c r="J794">
        <v>4485.21</v>
      </c>
      <c r="K794">
        <f t="shared" si="14"/>
        <v>40366.89</v>
      </c>
    </row>
    <row r="795" spans="1:11" x14ac:dyDescent="0.35">
      <c r="A795" t="s">
        <v>996</v>
      </c>
      <c r="B795" s="1">
        <v>44950</v>
      </c>
      <c r="C795" t="s">
        <v>10</v>
      </c>
      <c r="D795" t="s">
        <v>11</v>
      </c>
      <c r="E795" t="s">
        <v>27</v>
      </c>
      <c r="F795" t="s">
        <v>13</v>
      </c>
      <c r="G795">
        <v>15</v>
      </c>
      <c r="H795" t="s">
        <v>33</v>
      </c>
      <c r="I795">
        <v>17</v>
      </c>
      <c r="J795">
        <v>2706.66</v>
      </c>
      <c r="K795">
        <f t="shared" si="14"/>
        <v>40599.899999999994</v>
      </c>
    </row>
    <row r="796" spans="1:11" x14ac:dyDescent="0.35">
      <c r="A796" t="s">
        <v>997</v>
      </c>
      <c r="B796" s="1">
        <v>44977</v>
      </c>
      <c r="C796" t="s">
        <v>10</v>
      </c>
      <c r="D796" t="s">
        <v>38</v>
      </c>
      <c r="E796" t="s">
        <v>39</v>
      </c>
      <c r="F796" t="s">
        <v>18</v>
      </c>
      <c r="G796">
        <v>19</v>
      </c>
      <c r="H796" t="s">
        <v>96</v>
      </c>
      <c r="I796">
        <v>29</v>
      </c>
      <c r="J796">
        <v>2146.17</v>
      </c>
      <c r="K796">
        <f t="shared" si="14"/>
        <v>40777.230000000003</v>
      </c>
    </row>
    <row r="797" spans="1:11" x14ac:dyDescent="0.35">
      <c r="A797" t="s">
        <v>998</v>
      </c>
      <c r="B797" s="1">
        <v>45156</v>
      </c>
      <c r="C797" t="s">
        <v>10</v>
      </c>
      <c r="D797" t="s">
        <v>11</v>
      </c>
      <c r="E797" t="s">
        <v>12</v>
      </c>
      <c r="F797" t="s">
        <v>18</v>
      </c>
      <c r="G797">
        <v>12</v>
      </c>
      <c r="H797" t="s">
        <v>28</v>
      </c>
      <c r="I797">
        <v>32</v>
      </c>
      <c r="J797">
        <v>3400.71</v>
      </c>
      <c r="K797">
        <f t="shared" si="14"/>
        <v>40808.520000000004</v>
      </c>
    </row>
    <row r="798" spans="1:11" x14ac:dyDescent="0.35">
      <c r="A798" t="s">
        <v>999</v>
      </c>
      <c r="B798" s="1">
        <v>45141</v>
      </c>
      <c r="C798" t="s">
        <v>10</v>
      </c>
      <c r="D798" t="s">
        <v>11</v>
      </c>
      <c r="E798" t="s">
        <v>12</v>
      </c>
      <c r="F798" t="s">
        <v>29</v>
      </c>
      <c r="G798">
        <v>14</v>
      </c>
      <c r="H798" t="s">
        <v>37</v>
      </c>
      <c r="I798">
        <v>40</v>
      </c>
      <c r="J798">
        <v>2918.42</v>
      </c>
      <c r="K798">
        <f t="shared" si="14"/>
        <v>40857.880000000005</v>
      </c>
    </row>
    <row r="799" spans="1:11" x14ac:dyDescent="0.35">
      <c r="A799" t="s">
        <v>1000</v>
      </c>
      <c r="B799" s="1">
        <v>45059</v>
      </c>
      <c r="C799" t="s">
        <v>23</v>
      </c>
      <c r="D799" t="s">
        <v>24</v>
      </c>
      <c r="E799" t="s">
        <v>25</v>
      </c>
      <c r="F799" t="s">
        <v>21</v>
      </c>
      <c r="G799">
        <v>10</v>
      </c>
      <c r="H799" t="s">
        <v>96</v>
      </c>
      <c r="I799">
        <v>30</v>
      </c>
      <c r="J799">
        <v>4092.05</v>
      </c>
      <c r="K799">
        <f t="shared" si="14"/>
        <v>40920.5</v>
      </c>
    </row>
    <row r="800" spans="1:11" x14ac:dyDescent="0.35">
      <c r="A800" t="s">
        <v>1001</v>
      </c>
      <c r="B800" s="1">
        <v>45233</v>
      </c>
      <c r="C800" t="s">
        <v>10</v>
      </c>
      <c r="D800" t="s">
        <v>11</v>
      </c>
      <c r="E800" t="s">
        <v>12</v>
      </c>
      <c r="F800" t="s">
        <v>13</v>
      </c>
      <c r="G800">
        <v>16</v>
      </c>
      <c r="H800" t="s">
        <v>14</v>
      </c>
      <c r="I800">
        <v>41</v>
      </c>
      <c r="J800">
        <v>2563.69</v>
      </c>
      <c r="K800">
        <f t="shared" si="14"/>
        <v>41019.040000000001</v>
      </c>
    </row>
    <row r="801" spans="1:11" x14ac:dyDescent="0.35">
      <c r="A801" t="s">
        <v>1002</v>
      </c>
      <c r="B801" s="1">
        <v>45258</v>
      </c>
      <c r="C801" t="s">
        <v>15</v>
      </c>
      <c r="D801" t="s">
        <v>16</v>
      </c>
      <c r="E801" t="s">
        <v>43</v>
      </c>
      <c r="F801" t="s">
        <v>29</v>
      </c>
      <c r="G801">
        <v>16</v>
      </c>
      <c r="H801" t="s">
        <v>33</v>
      </c>
      <c r="I801">
        <v>28</v>
      </c>
      <c r="J801">
        <v>2573.33</v>
      </c>
      <c r="K801">
        <f t="shared" si="14"/>
        <v>41173.279999999999</v>
      </c>
    </row>
    <row r="802" spans="1:11" x14ac:dyDescent="0.35">
      <c r="A802" t="s">
        <v>1003</v>
      </c>
      <c r="B802" s="1">
        <v>44967</v>
      </c>
      <c r="C802" t="s">
        <v>10</v>
      </c>
      <c r="D802" t="s">
        <v>38</v>
      </c>
      <c r="E802" t="s">
        <v>40</v>
      </c>
      <c r="F802" t="s">
        <v>35</v>
      </c>
      <c r="G802">
        <v>12</v>
      </c>
      <c r="H802" t="s">
        <v>14</v>
      </c>
      <c r="I802">
        <v>55</v>
      </c>
      <c r="J802">
        <v>3443.54</v>
      </c>
      <c r="K802">
        <f t="shared" si="14"/>
        <v>41322.479999999996</v>
      </c>
    </row>
    <row r="803" spans="1:11" x14ac:dyDescent="0.35">
      <c r="A803" t="s">
        <v>1004</v>
      </c>
      <c r="B803" s="1">
        <v>45265</v>
      </c>
      <c r="C803" t="s">
        <v>15</v>
      </c>
      <c r="D803" t="s">
        <v>19</v>
      </c>
      <c r="E803" t="s">
        <v>32</v>
      </c>
      <c r="F803" t="s">
        <v>35</v>
      </c>
      <c r="G803">
        <v>13</v>
      </c>
      <c r="H803" t="s">
        <v>26</v>
      </c>
      <c r="I803">
        <v>52</v>
      </c>
      <c r="J803">
        <v>3190.8</v>
      </c>
      <c r="K803">
        <f t="shared" si="14"/>
        <v>41480.400000000001</v>
      </c>
    </row>
    <row r="804" spans="1:11" x14ac:dyDescent="0.35">
      <c r="A804" t="s">
        <v>1005</v>
      </c>
      <c r="B804" s="1">
        <v>45253</v>
      </c>
      <c r="C804" t="s">
        <v>15</v>
      </c>
      <c r="D804" t="s">
        <v>16</v>
      </c>
      <c r="E804" t="s">
        <v>34</v>
      </c>
      <c r="F804" t="s">
        <v>18</v>
      </c>
      <c r="G804">
        <v>16</v>
      </c>
      <c r="H804" t="s">
        <v>195</v>
      </c>
      <c r="I804">
        <v>38</v>
      </c>
      <c r="J804">
        <v>2600.48</v>
      </c>
      <c r="K804">
        <f t="shared" si="14"/>
        <v>41607.68</v>
      </c>
    </row>
    <row r="805" spans="1:11" x14ac:dyDescent="0.35">
      <c r="A805" t="s">
        <v>1006</v>
      </c>
      <c r="B805" s="1">
        <v>45278</v>
      </c>
      <c r="C805" t="s">
        <v>15</v>
      </c>
      <c r="D805" t="s">
        <v>19</v>
      </c>
      <c r="E805" t="s">
        <v>20</v>
      </c>
      <c r="F805" t="s">
        <v>21</v>
      </c>
      <c r="G805">
        <v>9</v>
      </c>
      <c r="H805" t="s">
        <v>96</v>
      </c>
      <c r="I805">
        <v>23</v>
      </c>
      <c r="J805">
        <v>4638.57</v>
      </c>
      <c r="K805">
        <f t="shared" si="14"/>
        <v>41747.129999999997</v>
      </c>
    </row>
    <row r="806" spans="1:11" x14ac:dyDescent="0.35">
      <c r="A806" t="s">
        <v>1007</v>
      </c>
      <c r="B806" s="1">
        <v>45210</v>
      </c>
      <c r="C806" t="s">
        <v>15</v>
      </c>
      <c r="D806" t="s">
        <v>16</v>
      </c>
      <c r="E806" t="s">
        <v>34</v>
      </c>
      <c r="F806" t="s">
        <v>21</v>
      </c>
      <c r="G806">
        <v>16</v>
      </c>
      <c r="H806" t="s">
        <v>37</v>
      </c>
      <c r="I806">
        <v>18</v>
      </c>
      <c r="J806">
        <v>2619.73</v>
      </c>
      <c r="K806">
        <f t="shared" si="14"/>
        <v>41915.68</v>
      </c>
    </row>
    <row r="807" spans="1:11" x14ac:dyDescent="0.35">
      <c r="A807" t="s">
        <v>1008</v>
      </c>
      <c r="B807" s="1">
        <v>44974</v>
      </c>
      <c r="C807" t="s">
        <v>15</v>
      </c>
      <c r="D807" t="s">
        <v>16</v>
      </c>
      <c r="E807" t="s">
        <v>34</v>
      </c>
      <c r="F807" t="s">
        <v>21</v>
      </c>
      <c r="G807">
        <v>10</v>
      </c>
      <c r="H807" t="s">
        <v>36</v>
      </c>
      <c r="I807">
        <v>22</v>
      </c>
      <c r="J807">
        <v>4196.24</v>
      </c>
      <c r="K807">
        <f t="shared" si="14"/>
        <v>41962.399999999994</v>
      </c>
    </row>
    <row r="808" spans="1:11" x14ac:dyDescent="0.35">
      <c r="A808" t="s">
        <v>1009</v>
      </c>
      <c r="B808" s="1">
        <v>44988</v>
      </c>
      <c r="C808" t="s">
        <v>15</v>
      </c>
      <c r="D808" t="s">
        <v>19</v>
      </c>
      <c r="E808" t="s">
        <v>20</v>
      </c>
      <c r="F808" t="s">
        <v>18</v>
      </c>
      <c r="G808">
        <v>16</v>
      </c>
      <c r="H808" t="s">
        <v>33</v>
      </c>
      <c r="I808">
        <v>33</v>
      </c>
      <c r="J808">
        <v>2640.08</v>
      </c>
      <c r="K808">
        <f t="shared" si="14"/>
        <v>42241.279999999999</v>
      </c>
    </row>
    <row r="809" spans="1:11" x14ac:dyDescent="0.35">
      <c r="A809" t="s">
        <v>1010</v>
      </c>
      <c r="B809" s="1">
        <v>45282</v>
      </c>
      <c r="C809" t="s">
        <v>15</v>
      </c>
      <c r="D809" t="s">
        <v>19</v>
      </c>
      <c r="E809" t="s">
        <v>20</v>
      </c>
      <c r="F809" t="s">
        <v>18</v>
      </c>
      <c r="G809">
        <v>20</v>
      </c>
      <c r="H809" t="s">
        <v>37</v>
      </c>
      <c r="I809">
        <v>54</v>
      </c>
      <c r="J809">
        <v>2123.15</v>
      </c>
      <c r="K809">
        <f t="shared" si="14"/>
        <v>42463</v>
      </c>
    </row>
    <row r="810" spans="1:11" x14ac:dyDescent="0.35">
      <c r="A810" t="s">
        <v>1011</v>
      </c>
      <c r="B810" s="1">
        <v>45162</v>
      </c>
      <c r="C810" t="s">
        <v>10</v>
      </c>
      <c r="D810" t="s">
        <v>38</v>
      </c>
      <c r="E810" t="s">
        <v>40</v>
      </c>
      <c r="F810" t="s">
        <v>18</v>
      </c>
      <c r="G810">
        <v>16</v>
      </c>
      <c r="H810" t="s">
        <v>36</v>
      </c>
      <c r="I810">
        <v>44</v>
      </c>
      <c r="J810">
        <v>2666.78</v>
      </c>
      <c r="K810">
        <f t="shared" si="14"/>
        <v>42668.480000000003</v>
      </c>
    </row>
    <row r="811" spans="1:11" x14ac:dyDescent="0.35">
      <c r="A811" t="s">
        <v>1012</v>
      </c>
      <c r="B811" s="1">
        <v>45212</v>
      </c>
      <c r="C811" t="s">
        <v>10</v>
      </c>
      <c r="D811" t="s">
        <v>38</v>
      </c>
      <c r="E811" t="s">
        <v>39</v>
      </c>
      <c r="F811" t="s">
        <v>35</v>
      </c>
      <c r="G811">
        <v>20</v>
      </c>
      <c r="H811" t="s">
        <v>36</v>
      </c>
      <c r="I811">
        <v>32</v>
      </c>
      <c r="J811">
        <v>2133.5300000000002</v>
      </c>
      <c r="K811">
        <f t="shared" si="14"/>
        <v>42670.600000000006</v>
      </c>
    </row>
    <row r="812" spans="1:11" x14ac:dyDescent="0.35">
      <c r="A812" t="s">
        <v>1013</v>
      </c>
      <c r="B812" s="1">
        <v>45119</v>
      </c>
      <c r="C812" t="s">
        <v>10</v>
      </c>
      <c r="D812" t="s">
        <v>11</v>
      </c>
      <c r="E812" t="s">
        <v>12</v>
      </c>
      <c r="F812" t="s">
        <v>35</v>
      </c>
      <c r="G812">
        <v>9</v>
      </c>
      <c r="H812" t="s">
        <v>97</v>
      </c>
      <c r="I812">
        <v>27</v>
      </c>
      <c r="J812">
        <v>4757.53</v>
      </c>
      <c r="K812">
        <f t="shared" si="14"/>
        <v>42817.77</v>
      </c>
    </row>
    <row r="813" spans="1:11" x14ac:dyDescent="0.35">
      <c r="A813" t="s">
        <v>1014</v>
      </c>
      <c r="B813" s="1">
        <v>45212</v>
      </c>
      <c r="C813" t="s">
        <v>15</v>
      </c>
      <c r="D813" t="s">
        <v>19</v>
      </c>
      <c r="E813" t="s">
        <v>20</v>
      </c>
      <c r="F813" t="s">
        <v>13</v>
      </c>
      <c r="G813">
        <v>16</v>
      </c>
      <c r="H813" t="s">
        <v>97</v>
      </c>
      <c r="I813">
        <v>50</v>
      </c>
      <c r="J813">
        <v>2682.3</v>
      </c>
      <c r="K813">
        <f t="shared" si="14"/>
        <v>42916.800000000003</v>
      </c>
    </row>
    <row r="814" spans="1:11" x14ac:dyDescent="0.35">
      <c r="A814" t="s">
        <v>1015</v>
      </c>
      <c r="B814" s="1">
        <v>44958</v>
      </c>
      <c r="C814" t="s">
        <v>23</v>
      </c>
      <c r="D814" t="s">
        <v>24</v>
      </c>
      <c r="E814" t="s">
        <v>25</v>
      </c>
      <c r="F814" t="s">
        <v>18</v>
      </c>
      <c r="G814">
        <v>10</v>
      </c>
      <c r="H814" t="s">
        <v>97</v>
      </c>
      <c r="I814">
        <v>53</v>
      </c>
      <c r="J814">
        <v>4298.32</v>
      </c>
      <c r="K814">
        <f t="shared" si="14"/>
        <v>42983.199999999997</v>
      </c>
    </row>
    <row r="815" spans="1:11" x14ac:dyDescent="0.35">
      <c r="A815" t="s">
        <v>1016</v>
      </c>
      <c r="B815" s="1">
        <v>45201</v>
      </c>
      <c r="C815" t="s">
        <v>15</v>
      </c>
      <c r="D815" t="s">
        <v>16</v>
      </c>
      <c r="E815" t="s">
        <v>34</v>
      </c>
      <c r="F815" t="s">
        <v>13</v>
      </c>
      <c r="G815">
        <v>9</v>
      </c>
      <c r="H815" t="s">
        <v>14</v>
      </c>
      <c r="I815">
        <v>49</v>
      </c>
      <c r="J815">
        <v>4781.72</v>
      </c>
      <c r="K815">
        <f t="shared" si="14"/>
        <v>43035.48</v>
      </c>
    </row>
    <row r="816" spans="1:11" x14ac:dyDescent="0.35">
      <c r="A816" t="s">
        <v>1017</v>
      </c>
      <c r="B816" s="1">
        <v>45232</v>
      </c>
      <c r="C816" t="s">
        <v>10</v>
      </c>
      <c r="D816" t="s">
        <v>11</v>
      </c>
      <c r="E816" t="s">
        <v>27</v>
      </c>
      <c r="F816" t="s">
        <v>21</v>
      </c>
      <c r="G816">
        <v>15</v>
      </c>
      <c r="H816" t="s">
        <v>14</v>
      </c>
      <c r="I816">
        <v>52</v>
      </c>
      <c r="J816">
        <v>2869.14</v>
      </c>
      <c r="K816">
        <f t="shared" si="14"/>
        <v>43037.1</v>
      </c>
    </row>
    <row r="817" spans="1:11" x14ac:dyDescent="0.35">
      <c r="A817" t="s">
        <v>1018</v>
      </c>
      <c r="B817" s="1">
        <v>45057</v>
      </c>
      <c r="C817" t="s">
        <v>15</v>
      </c>
      <c r="D817" t="s">
        <v>19</v>
      </c>
      <c r="E817" t="s">
        <v>20</v>
      </c>
      <c r="F817" t="s">
        <v>21</v>
      </c>
      <c r="G817">
        <v>15</v>
      </c>
      <c r="H817" t="s">
        <v>36</v>
      </c>
      <c r="I817">
        <v>23</v>
      </c>
      <c r="J817">
        <v>2905.47</v>
      </c>
      <c r="K817">
        <f t="shared" si="14"/>
        <v>43582.049999999996</v>
      </c>
    </row>
    <row r="818" spans="1:11" x14ac:dyDescent="0.35">
      <c r="A818" t="s">
        <v>1019</v>
      </c>
      <c r="B818" s="1">
        <v>45108</v>
      </c>
      <c r="C818" t="s">
        <v>10</v>
      </c>
      <c r="D818" t="s">
        <v>11</v>
      </c>
      <c r="E818" t="s">
        <v>12</v>
      </c>
      <c r="F818" t="s">
        <v>29</v>
      </c>
      <c r="G818">
        <v>11</v>
      </c>
      <c r="H818" t="s">
        <v>97</v>
      </c>
      <c r="I818">
        <v>52</v>
      </c>
      <c r="J818">
        <v>3969.39</v>
      </c>
      <c r="K818">
        <f t="shared" si="14"/>
        <v>43663.29</v>
      </c>
    </row>
    <row r="819" spans="1:11" x14ac:dyDescent="0.35">
      <c r="A819" t="s">
        <v>1020</v>
      </c>
      <c r="B819" s="1">
        <v>44927</v>
      </c>
      <c r="C819" t="s">
        <v>10</v>
      </c>
      <c r="D819" t="s">
        <v>11</v>
      </c>
      <c r="E819" t="s">
        <v>12</v>
      </c>
      <c r="F819" t="s">
        <v>13</v>
      </c>
      <c r="G819">
        <v>9</v>
      </c>
      <c r="H819" t="s">
        <v>97</v>
      </c>
      <c r="I819">
        <v>27</v>
      </c>
      <c r="J819">
        <v>4858.75</v>
      </c>
      <c r="K819">
        <f t="shared" si="14"/>
        <v>43728.75</v>
      </c>
    </row>
    <row r="820" spans="1:11" x14ac:dyDescent="0.35">
      <c r="A820" t="s">
        <v>1021</v>
      </c>
      <c r="B820" s="1">
        <v>45097</v>
      </c>
      <c r="C820" t="s">
        <v>15</v>
      </c>
      <c r="D820" t="s">
        <v>19</v>
      </c>
      <c r="E820" t="s">
        <v>32</v>
      </c>
      <c r="F820" t="s">
        <v>18</v>
      </c>
      <c r="G820">
        <v>19</v>
      </c>
      <c r="H820" t="s">
        <v>33</v>
      </c>
      <c r="I820">
        <v>20</v>
      </c>
      <c r="J820">
        <v>2304.92</v>
      </c>
      <c r="K820">
        <f t="shared" si="14"/>
        <v>43793.48</v>
      </c>
    </row>
    <row r="821" spans="1:11" x14ac:dyDescent="0.35">
      <c r="A821" t="s">
        <v>1022</v>
      </c>
      <c r="B821" s="1">
        <v>45124</v>
      </c>
      <c r="C821" t="s">
        <v>10</v>
      </c>
      <c r="D821" t="s">
        <v>38</v>
      </c>
      <c r="E821" t="s">
        <v>39</v>
      </c>
      <c r="F821" t="s">
        <v>13</v>
      </c>
      <c r="G821">
        <v>12</v>
      </c>
      <c r="H821" t="s">
        <v>26</v>
      </c>
      <c r="I821">
        <v>40</v>
      </c>
      <c r="J821">
        <v>3650.3</v>
      </c>
      <c r="K821">
        <f t="shared" si="14"/>
        <v>43803.600000000006</v>
      </c>
    </row>
    <row r="822" spans="1:11" x14ac:dyDescent="0.35">
      <c r="A822" t="s">
        <v>1023</v>
      </c>
      <c r="B822" s="1">
        <v>45217</v>
      </c>
      <c r="C822" t="s">
        <v>15</v>
      </c>
      <c r="D822" t="s">
        <v>16</v>
      </c>
      <c r="E822" t="s">
        <v>43</v>
      </c>
      <c r="F822" t="s">
        <v>13</v>
      </c>
      <c r="G822">
        <v>15</v>
      </c>
      <c r="H822" t="s">
        <v>14</v>
      </c>
      <c r="I822">
        <v>19</v>
      </c>
      <c r="J822">
        <v>2920.62</v>
      </c>
      <c r="K822">
        <f t="shared" si="14"/>
        <v>43809.299999999996</v>
      </c>
    </row>
    <row r="823" spans="1:11" x14ac:dyDescent="0.35">
      <c r="A823" t="s">
        <v>1024</v>
      </c>
      <c r="B823" s="1">
        <v>45138</v>
      </c>
      <c r="C823" t="s">
        <v>10</v>
      </c>
      <c r="D823" t="s">
        <v>38</v>
      </c>
      <c r="E823" t="s">
        <v>39</v>
      </c>
      <c r="F823" t="s">
        <v>13</v>
      </c>
      <c r="G823">
        <v>16</v>
      </c>
      <c r="H823" t="s">
        <v>97</v>
      </c>
      <c r="I823">
        <v>16</v>
      </c>
      <c r="J823">
        <v>2747.36</v>
      </c>
      <c r="K823">
        <f t="shared" si="14"/>
        <v>43957.760000000002</v>
      </c>
    </row>
    <row r="824" spans="1:11" x14ac:dyDescent="0.35">
      <c r="A824" t="s">
        <v>1025</v>
      </c>
      <c r="B824" s="1">
        <v>45074</v>
      </c>
      <c r="C824" t="s">
        <v>15</v>
      </c>
      <c r="D824" t="s">
        <v>19</v>
      </c>
      <c r="E824" t="s">
        <v>20</v>
      </c>
      <c r="F824" t="s">
        <v>21</v>
      </c>
      <c r="G824">
        <v>10</v>
      </c>
      <c r="H824" t="s">
        <v>31</v>
      </c>
      <c r="I824">
        <v>27</v>
      </c>
      <c r="J824">
        <v>4413.5</v>
      </c>
      <c r="K824">
        <f t="shared" si="14"/>
        <v>44135</v>
      </c>
    </row>
    <row r="825" spans="1:11" x14ac:dyDescent="0.35">
      <c r="A825" t="s">
        <v>1026</v>
      </c>
      <c r="B825" s="1">
        <v>45045</v>
      </c>
      <c r="C825" t="s">
        <v>10</v>
      </c>
      <c r="D825" t="s">
        <v>11</v>
      </c>
      <c r="E825" t="s">
        <v>41</v>
      </c>
      <c r="F825" t="s">
        <v>29</v>
      </c>
      <c r="G825">
        <v>12</v>
      </c>
      <c r="H825" t="s">
        <v>28</v>
      </c>
      <c r="I825">
        <v>32</v>
      </c>
      <c r="J825">
        <v>3686.27</v>
      </c>
      <c r="K825">
        <f t="shared" si="14"/>
        <v>44235.24</v>
      </c>
    </row>
    <row r="826" spans="1:11" x14ac:dyDescent="0.35">
      <c r="A826" t="s">
        <v>1027</v>
      </c>
      <c r="B826" s="1">
        <v>44993</v>
      </c>
      <c r="C826" t="s">
        <v>15</v>
      </c>
      <c r="D826" t="s">
        <v>19</v>
      </c>
      <c r="E826" t="s">
        <v>20</v>
      </c>
      <c r="F826" t="s">
        <v>21</v>
      </c>
      <c r="G826">
        <v>17</v>
      </c>
      <c r="H826" t="s">
        <v>14</v>
      </c>
      <c r="I826">
        <v>47</v>
      </c>
      <c r="J826">
        <v>2603.4899999999998</v>
      </c>
      <c r="K826">
        <f t="shared" si="14"/>
        <v>44259.329999999994</v>
      </c>
    </row>
    <row r="827" spans="1:11" x14ac:dyDescent="0.35">
      <c r="A827" t="s">
        <v>1028</v>
      </c>
      <c r="B827" s="1">
        <v>45250</v>
      </c>
      <c r="C827" t="s">
        <v>15</v>
      </c>
      <c r="D827" t="s">
        <v>16</v>
      </c>
      <c r="E827" t="s">
        <v>34</v>
      </c>
      <c r="F827" t="s">
        <v>13</v>
      </c>
      <c r="G827">
        <v>12</v>
      </c>
      <c r="H827" t="s">
        <v>97</v>
      </c>
      <c r="I827">
        <v>49</v>
      </c>
      <c r="J827">
        <v>3703.31</v>
      </c>
      <c r="K827">
        <f t="shared" si="14"/>
        <v>44439.72</v>
      </c>
    </row>
    <row r="828" spans="1:11" x14ac:dyDescent="0.35">
      <c r="A828" t="s">
        <v>1029</v>
      </c>
      <c r="B828" s="1">
        <v>45066</v>
      </c>
      <c r="C828" t="s">
        <v>23</v>
      </c>
      <c r="D828" t="s">
        <v>24</v>
      </c>
      <c r="E828" t="s">
        <v>44</v>
      </c>
      <c r="F828" t="s">
        <v>13</v>
      </c>
      <c r="G828">
        <v>13</v>
      </c>
      <c r="H828" t="s">
        <v>26</v>
      </c>
      <c r="I828">
        <v>43</v>
      </c>
      <c r="J828">
        <v>3423.36</v>
      </c>
      <c r="K828">
        <f t="shared" si="14"/>
        <v>44503.68</v>
      </c>
    </row>
    <row r="829" spans="1:11" x14ac:dyDescent="0.35">
      <c r="A829" t="s">
        <v>1030</v>
      </c>
      <c r="B829" s="1">
        <v>45004</v>
      </c>
      <c r="C829" t="s">
        <v>10</v>
      </c>
      <c r="D829" t="s">
        <v>11</v>
      </c>
      <c r="E829" t="s">
        <v>27</v>
      </c>
      <c r="F829" t="s">
        <v>35</v>
      </c>
      <c r="G829">
        <v>9</v>
      </c>
      <c r="H829" t="s">
        <v>36</v>
      </c>
      <c r="I829">
        <v>34</v>
      </c>
      <c r="J829">
        <v>4953.3999999999996</v>
      </c>
      <c r="K829">
        <f t="shared" si="14"/>
        <v>44580.6</v>
      </c>
    </row>
    <row r="830" spans="1:11" x14ac:dyDescent="0.35">
      <c r="A830" t="s">
        <v>1031</v>
      </c>
      <c r="B830" s="1">
        <v>45193</v>
      </c>
      <c r="C830" t="s">
        <v>15</v>
      </c>
      <c r="D830" t="s">
        <v>19</v>
      </c>
      <c r="E830" t="s">
        <v>32</v>
      </c>
      <c r="F830" t="s">
        <v>29</v>
      </c>
      <c r="G830">
        <v>16</v>
      </c>
      <c r="H830" t="s">
        <v>195</v>
      </c>
      <c r="I830">
        <v>25</v>
      </c>
      <c r="J830">
        <v>2793.48</v>
      </c>
      <c r="K830">
        <f t="shared" si="14"/>
        <v>44695.68</v>
      </c>
    </row>
    <row r="831" spans="1:11" x14ac:dyDescent="0.35">
      <c r="A831" t="s">
        <v>1032</v>
      </c>
      <c r="B831" s="1">
        <v>45210</v>
      </c>
      <c r="C831" t="s">
        <v>15</v>
      </c>
      <c r="D831" t="s">
        <v>16</v>
      </c>
      <c r="E831" t="s">
        <v>43</v>
      </c>
      <c r="F831" t="s">
        <v>13</v>
      </c>
      <c r="G831">
        <v>11</v>
      </c>
      <c r="H831" t="s">
        <v>37</v>
      </c>
      <c r="I831">
        <v>26</v>
      </c>
      <c r="J831">
        <v>4066.2</v>
      </c>
      <c r="K831">
        <f t="shared" si="14"/>
        <v>44728.2</v>
      </c>
    </row>
    <row r="832" spans="1:11" x14ac:dyDescent="0.35">
      <c r="A832" t="s">
        <v>1033</v>
      </c>
      <c r="B832" s="1">
        <v>45289</v>
      </c>
      <c r="C832" t="s">
        <v>10</v>
      </c>
      <c r="D832" t="s">
        <v>11</v>
      </c>
      <c r="E832" t="s">
        <v>27</v>
      </c>
      <c r="F832" t="s">
        <v>35</v>
      </c>
      <c r="G832">
        <v>18</v>
      </c>
      <c r="H832" t="s">
        <v>14</v>
      </c>
      <c r="I832">
        <v>31</v>
      </c>
      <c r="J832">
        <v>2494.9499999999998</v>
      </c>
      <c r="K832">
        <f t="shared" si="14"/>
        <v>44909.1</v>
      </c>
    </row>
    <row r="833" spans="1:11" x14ac:dyDescent="0.35">
      <c r="A833" t="s">
        <v>1034</v>
      </c>
      <c r="B833" s="1">
        <v>45199</v>
      </c>
      <c r="C833" t="s">
        <v>15</v>
      </c>
      <c r="D833" t="s">
        <v>19</v>
      </c>
      <c r="E833" t="s">
        <v>32</v>
      </c>
      <c r="F833" t="s">
        <v>29</v>
      </c>
      <c r="G833">
        <v>10</v>
      </c>
      <c r="H833" t="s">
        <v>97</v>
      </c>
      <c r="I833">
        <v>53</v>
      </c>
      <c r="J833">
        <v>4496.3900000000003</v>
      </c>
      <c r="K833">
        <f t="shared" si="14"/>
        <v>44963.9</v>
      </c>
    </row>
    <row r="834" spans="1:11" x14ac:dyDescent="0.35">
      <c r="A834" t="s">
        <v>1035</v>
      </c>
      <c r="B834" s="1">
        <v>45246</v>
      </c>
      <c r="C834" t="s">
        <v>15</v>
      </c>
      <c r="D834" t="s">
        <v>19</v>
      </c>
      <c r="E834" t="s">
        <v>32</v>
      </c>
      <c r="F834" t="s">
        <v>13</v>
      </c>
      <c r="G834">
        <v>11</v>
      </c>
      <c r="H834" t="s">
        <v>28</v>
      </c>
      <c r="I834">
        <v>47</v>
      </c>
      <c r="J834">
        <v>4089.16</v>
      </c>
      <c r="K834">
        <f t="shared" ref="K834:K897" si="15">G834*J834</f>
        <v>44980.759999999995</v>
      </c>
    </row>
    <row r="835" spans="1:11" x14ac:dyDescent="0.35">
      <c r="A835" t="s">
        <v>1036</v>
      </c>
      <c r="B835" s="1">
        <v>45118</v>
      </c>
      <c r="C835" t="s">
        <v>10</v>
      </c>
      <c r="D835" t="s">
        <v>38</v>
      </c>
      <c r="E835" t="s">
        <v>40</v>
      </c>
      <c r="F835" t="s">
        <v>35</v>
      </c>
      <c r="G835">
        <v>15</v>
      </c>
      <c r="H835" t="s">
        <v>28</v>
      </c>
      <c r="I835">
        <v>37</v>
      </c>
      <c r="J835">
        <v>3005.08</v>
      </c>
      <c r="K835">
        <f t="shared" si="15"/>
        <v>45076.2</v>
      </c>
    </row>
    <row r="836" spans="1:11" x14ac:dyDescent="0.35">
      <c r="A836" t="s">
        <v>1037</v>
      </c>
      <c r="B836" s="1">
        <v>45015</v>
      </c>
      <c r="C836" t="s">
        <v>15</v>
      </c>
      <c r="D836" t="s">
        <v>19</v>
      </c>
      <c r="E836" t="s">
        <v>32</v>
      </c>
      <c r="F836" t="s">
        <v>35</v>
      </c>
      <c r="G836">
        <v>17</v>
      </c>
      <c r="H836" t="s">
        <v>28</v>
      </c>
      <c r="I836">
        <v>43</v>
      </c>
      <c r="J836">
        <v>2664.62</v>
      </c>
      <c r="K836">
        <f t="shared" si="15"/>
        <v>45298.54</v>
      </c>
    </row>
    <row r="837" spans="1:11" x14ac:dyDescent="0.35">
      <c r="A837" t="s">
        <v>1038</v>
      </c>
      <c r="B837" s="1">
        <v>45226</v>
      </c>
      <c r="C837" t="s">
        <v>15</v>
      </c>
      <c r="D837" t="s">
        <v>16</v>
      </c>
      <c r="E837" t="s">
        <v>34</v>
      </c>
      <c r="F837" t="s">
        <v>13</v>
      </c>
      <c r="G837">
        <v>19</v>
      </c>
      <c r="H837" t="s">
        <v>96</v>
      </c>
      <c r="I837">
        <v>32</v>
      </c>
      <c r="J837">
        <v>2386.59</v>
      </c>
      <c r="K837">
        <f t="shared" si="15"/>
        <v>45345.210000000006</v>
      </c>
    </row>
    <row r="838" spans="1:11" x14ac:dyDescent="0.35">
      <c r="A838" t="s">
        <v>1039</v>
      </c>
      <c r="B838" s="1">
        <v>45078</v>
      </c>
      <c r="C838" t="s">
        <v>15</v>
      </c>
      <c r="D838" t="s">
        <v>19</v>
      </c>
      <c r="E838" t="s">
        <v>20</v>
      </c>
      <c r="F838" t="s">
        <v>18</v>
      </c>
      <c r="G838">
        <v>12</v>
      </c>
      <c r="H838" t="s">
        <v>97</v>
      </c>
      <c r="I838">
        <v>36</v>
      </c>
      <c r="J838">
        <v>3785.29</v>
      </c>
      <c r="K838">
        <f t="shared" si="15"/>
        <v>45423.479999999996</v>
      </c>
    </row>
    <row r="839" spans="1:11" x14ac:dyDescent="0.35">
      <c r="A839" t="s">
        <v>1040</v>
      </c>
      <c r="B839" s="1">
        <v>44992</v>
      </c>
      <c r="C839" t="s">
        <v>10</v>
      </c>
      <c r="D839" t="s">
        <v>11</v>
      </c>
      <c r="E839" t="s">
        <v>12</v>
      </c>
      <c r="F839" t="s">
        <v>29</v>
      </c>
      <c r="G839">
        <v>14</v>
      </c>
      <c r="H839" t="s">
        <v>195</v>
      </c>
      <c r="I839">
        <v>16</v>
      </c>
      <c r="J839">
        <v>3259.64</v>
      </c>
      <c r="K839">
        <f t="shared" si="15"/>
        <v>45634.96</v>
      </c>
    </row>
    <row r="840" spans="1:11" x14ac:dyDescent="0.35">
      <c r="A840" t="s">
        <v>1041</v>
      </c>
      <c r="B840" s="1">
        <v>45094</v>
      </c>
      <c r="C840" t="s">
        <v>15</v>
      </c>
      <c r="D840" t="s">
        <v>19</v>
      </c>
      <c r="E840" t="s">
        <v>22</v>
      </c>
      <c r="F840" t="s">
        <v>18</v>
      </c>
      <c r="G840">
        <v>15</v>
      </c>
      <c r="H840" t="s">
        <v>28</v>
      </c>
      <c r="I840">
        <v>18</v>
      </c>
      <c r="J840">
        <v>3048.36</v>
      </c>
      <c r="K840">
        <f t="shared" si="15"/>
        <v>45725.4</v>
      </c>
    </row>
    <row r="841" spans="1:11" x14ac:dyDescent="0.35">
      <c r="A841" t="s">
        <v>1042</v>
      </c>
      <c r="B841" s="1">
        <v>45274</v>
      </c>
      <c r="C841" t="s">
        <v>10</v>
      </c>
      <c r="D841" t="s">
        <v>38</v>
      </c>
      <c r="E841" t="s">
        <v>42</v>
      </c>
      <c r="F841" t="s">
        <v>29</v>
      </c>
      <c r="G841">
        <v>11</v>
      </c>
      <c r="H841" t="s">
        <v>28</v>
      </c>
      <c r="I841">
        <v>53</v>
      </c>
      <c r="J841">
        <v>4188.37</v>
      </c>
      <c r="K841">
        <f t="shared" si="15"/>
        <v>46072.07</v>
      </c>
    </row>
    <row r="842" spans="1:11" x14ac:dyDescent="0.35">
      <c r="A842" t="s">
        <v>1043</v>
      </c>
      <c r="B842" s="1">
        <v>45133</v>
      </c>
      <c r="C842" t="s">
        <v>10</v>
      </c>
      <c r="D842" t="s">
        <v>11</v>
      </c>
      <c r="E842" t="s">
        <v>41</v>
      </c>
      <c r="F842" t="s">
        <v>29</v>
      </c>
      <c r="G842">
        <v>16</v>
      </c>
      <c r="H842" t="s">
        <v>31</v>
      </c>
      <c r="I842">
        <v>34</v>
      </c>
      <c r="J842">
        <v>2882.65</v>
      </c>
      <c r="K842">
        <f t="shared" si="15"/>
        <v>46122.400000000001</v>
      </c>
    </row>
    <row r="843" spans="1:11" x14ac:dyDescent="0.35">
      <c r="A843" t="s">
        <v>1044</v>
      </c>
      <c r="B843" s="1">
        <v>45089</v>
      </c>
      <c r="C843" t="s">
        <v>15</v>
      </c>
      <c r="D843" t="s">
        <v>19</v>
      </c>
      <c r="E843" t="s">
        <v>20</v>
      </c>
      <c r="F843" t="s">
        <v>13</v>
      </c>
      <c r="G843">
        <v>13</v>
      </c>
      <c r="H843" t="s">
        <v>30</v>
      </c>
      <c r="I843">
        <v>34</v>
      </c>
      <c r="J843">
        <v>3551.21</v>
      </c>
      <c r="K843">
        <f t="shared" si="15"/>
        <v>46165.73</v>
      </c>
    </row>
    <row r="844" spans="1:11" x14ac:dyDescent="0.35">
      <c r="A844" t="s">
        <v>1045</v>
      </c>
      <c r="B844" s="1">
        <v>44929</v>
      </c>
      <c r="C844" t="s">
        <v>10</v>
      </c>
      <c r="D844" t="s">
        <v>38</v>
      </c>
      <c r="E844" t="s">
        <v>39</v>
      </c>
      <c r="F844" t="s">
        <v>29</v>
      </c>
      <c r="G844">
        <v>11</v>
      </c>
      <c r="H844" t="s">
        <v>96</v>
      </c>
      <c r="I844">
        <v>47</v>
      </c>
      <c r="J844">
        <v>4205.55</v>
      </c>
      <c r="K844">
        <f t="shared" si="15"/>
        <v>46261.05</v>
      </c>
    </row>
    <row r="845" spans="1:11" x14ac:dyDescent="0.35">
      <c r="A845" t="s">
        <v>1046</v>
      </c>
      <c r="B845" s="1">
        <v>45008</v>
      </c>
      <c r="C845" t="s">
        <v>15</v>
      </c>
      <c r="D845" t="s">
        <v>19</v>
      </c>
      <c r="E845" t="s">
        <v>22</v>
      </c>
      <c r="F845" t="s">
        <v>18</v>
      </c>
      <c r="G845">
        <v>13</v>
      </c>
      <c r="H845" t="s">
        <v>36</v>
      </c>
      <c r="I845">
        <v>51</v>
      </c>
      <c r="J845">
        <v>3568.86</v>
      </c>
      <c r="K845">
        <f t="shared" si="15"/>
        <v>46395.18</v>
      </c>
    </row>
    <row r="846" spans="1:11" x14ac:dyDescent="0.35">
      <c r="A846" t="s">
        <v>1047</v>
      </c>
      <c r="B846" s="1">
        <v>45199</v>
      </c>
      <c r="C846" t="s">
        <v>10</v>
      </c>
      <c r="D846" t="s">
        <v>11</v>
      </c>
      <c r="E846" t="s">
        <v>41</v>
      </c>
      <c r="F846" t="s">
        <v>21</v>
      </c>
      <c r="G846">
        <v>12</v>
      </c>
      <c r="H846" t="s">
        <v>14</v>
      </c>
      <c r="I846">
        <v>38</v>
      </c>
      <c r="J846">
        <v>3895.88</v>
      </c>
      <c r="K846">
        <f t="shared" si="15"/>
        <v>46750.559999999998</v>
      </c>
    </row>
    <row r="847" spans="1:11" x14ac:dyDescent="0.35">
      <c r="A847" t="s">
        <v>1048</v>
      </c>
      <c r="B847" s="1">
        <v>45071</v>
      </c>
      <c r="C847" t="s">
        <v>23</v>
      </c>
      <c r="D847" t="s">
        <v>24</v>
      </c>
      <c r="E847" t="s">
        <v>44</v>
      </c>
      <c r="F847" t="s">
        <v>21</v>
      </c>
      <c r="G847">
        <v>20</v>
      </c>
      <c r="H847" t="s">
        <v>195</v>
      </c>
      <c r="I847">
        <v>35</v>
      </c>
      <c r="J847">
        <v>2344.7600000000002</v>
      </c>
      <c r="K847">
        <f t="shared" si="15"/>
        <v>46895.200000000004</v>
      </c>
    </row>
    <row r="848" spans="1:11" x14ac:dyDescent="0.35">
      <c r="A848" t="s">
        <v>1049</v>
      </c>
      <c r="B848" s="1">
        <v>45013</v>
      </c>
      <c r="C848" t="s">
        <v>10</v>
      </c>
      <c r="D848" t="s">
        <v>38</v>
      </c>
      <c r="E848" t="s">
        <v>40</v>
      </c>
      <c r="F848" t="s">
        <v>18</v>
      </c>
      <c r="G848">
        <v>10</v>
      </c>
      <c r="H848" t="s">
        <v>97</v>
      </c>
      <c r="I848">
        <v>39</v>
      </c>
      <c r="J848">
        <v>4718.03</v>
      </c>
      <c r="K848">
        <f t="shared" si="15"/>
        <v>47180.299999999996</v>
      </c>
    </row>
    <row r="849" spans="1:11" x14ac:dyDescent="0.35">
      <c r="A849" t="s">
        <v>1050</v>
      </c>
      <c r="B849" s="1">
        <v>45161</v>
      </c>
      <c r="C849" t="s">
        <v>15</v>
      </c>
      <c r="D849" t="s">
        <v>19</v>
      </c>
      <c r="E849" t="s">
        <v>32</v>
      </c>
      <c r="F849" t="s">
        <v>21</v>
      </c>
      <c r="G849">
        <v>12</v>
      </c>
      <c r="H849" t="s">
        <v>37</v>
      </c>
      <c r="I849">
        <v>16</v>
      </c>
      <c r="J849">
        <v>3932.48</v>
      </c>
      <c r="K849">
        <f t="shared" si="15"/>
        <v>47189.760000000002</v>
      </c>
    </row>
    <row r="850" spans="1:11" x14ac:dyDescent="0.35">
      <c r="A850" t="s">
        <v>1051</v>
      </c>
      <c r="B850" s="1">
        <v>44968</v>
      </c>
      <c r="C850" t="s">
        <v>10</v>
      </c>
      <c r="D850" t="s">
        <v>11</v>
      </c>
      <c r="E850" t="s">
        <v>12</v>
      </c>
      <c r="F850" t="s">
        <v>35</v>
      </c>
      <c r="G850">
        <v>16</v>
      </c>
      <c r="H850" t="s">
        <v>14</v>
      </c>
      <c r="I850">
        <v>35</v>
      </c>
      <c r="J850">
        <v>2954.32</v>
      </c>
      <c r="K850">
        <f t="shared" si="15"/>
        <v>47269.120000000003</v>
      </c>
    </row>
    <row r="851" spans="1:11" x14ac:dyDescent="0.35">
      <c r="A851" t="s">
        <v>1052</v>
      </c>
      <c r="B851" s="1">
        <v>45188</v>
      </c>
      <c r="C851" t="s">
        <v>10</v>
      </c>
      <c r="D851" t="s">
        <v>38</v>
      </c>
      <c r="E851" t="s">
        <v>40</v>
      </c>
      <c r="F851" t="s">
        <v>35</v>
      </c>
      <c r="G851">
        <v>19</v>
      </c>
      <c r="H851" t="s">
        <v>37</v>
      </c>
      <c r="I851">
        <v>28</v>
      </c>
      <c r="J851">
        <v>2493.0300000000002</v>
      </c>
      <c r="K851">
        <f t="shared" si="15"/>
        <v>47367.570000000007</v>
      </c>
    </row>
    <row r="852" spans="1:11" x14ac:dyDescent="0.35">
      <c r="A852" t="s">
        <v>1053</v>
      </c>
      <c r="B852" s="1">
        <v>45105</v>
      </c>
      <c r="C852" t="s">
        <v>15</v>
      </c>
      <c r="D852" t="s">
        <v>16</v>
      </c>
      <c r="E852" t="s">
        <v>43</v>
      </c>
      <c r="F852" t="s">
        <v>21</v>
      </c>
      <c r="G852">
        <v>10</v>
      </c>
      <c r="H852" t="s">
        <v>195</v>
      </c>
      <c r="I852">
        <v>47</v>
      </c>
      <c r="J852">
        <v>4761.1899999999996</v>
      </c>
      <c r="K852">
        <f t="shared" si="15"/>
        <v>47611.899999999994</v>
      </c>
    </row>
    <row r="853" spans="1:11" x14ac:dyDescent="0.35">
      <c r="A853" t="s">
        <v>1054</v>
      </c>
      <c r="B853" s="1">
        <v>44938</v>
      </c>
      <c r="C853" t="s">
        <v>15</v>
      </c>
      <c r="D853" t="s">
        <v>16</v>
      </c>
      <c r="E853" t="s">
        <v>34</v>
      </c>
      <c r="F853" t="s">
        <v>29</v>
      </c>
      <c r="G853">
        <v>16</v>
      </c>
      <c r="H853" t="s">
        <v>28</v>
      </c>
      <c r="I853">
        <v>18</v>
      </c>
      <c r="J853">
        <v>2976.17</v>
      </c>
      <c r="K853">
        <f t="shared" si="15"/>
        <v>47618.720000000001</v>
      </c>
    </row>
    <row r="854" spans="1:11" x14ac:dyDescent="0.35">
      <c r="A854" t="s">
        <v>1055</v>
      </c>
      <c r="B854" s="1">
        <v>45287</v>
      </c>
      <c r="C854" t="s">
        <v>15</v>
      </c>
      <c r="D854" t="s">
        <v>16</v>
      </c>
      <c r="E854" t="s">
        <v>17</v>
      </c>
      <c r="F854" t="s">
        <v>21</v>
      </c>
      <c r="G854">
        <v>19</v>
      </c>
      <c r="H854" t="s">
        <v>26</v>
      </c>
      <c r="I854">
        <v>23</v>
      </c>
      <c r="J854">
        <v>2513.27</v>
      </c>
      <c r="K854">
        <f t="shared" si="15"/>
        <v>47752.13</v>
      </c>
    </row>
    <row r="855" spans="1:11" x14ac:dyDescent="0.35">
      <c r="A855" t="s">
        <v>1056</v>
      </c>
      <c r="B855" s="1">
        <v>45107</v>
      </c>
      <c r="C855" t="s">
        <v>23</v>
      </c>
      <c r="D855" t="s">
        <v>24</v>
      </c>
      <c r="E855" t="s">
        <v>45</v>
      </c>
      <c r="F855" t="s">
        <v>35</v>
      </c>
      <c r="G855">
        <v>12</v>
      </c>
      <c r="H855" t="s">
        <v>36</v>
      </c>
      <c r="I855">
        <v>36</v>
      </c>
      <c r="J855">
        <v>3981.34</v>
      </c>
      <c r="K855">
        <f t="shared" si="15"/>
        <v>47776.08</v>
      </c>
    </row>
    <row r="856" spans="1:11" x14ac:dyDescent="0.35">
      <c r="A856" t="s">
        <v>1057</v>
      </c>
      <c r="B856" s="1">
        <v>45058</v>
      </c>
      <c r="C856" t="s">
        <v>23</v>
      </c>
      <c r="D856" t="s">
        <v>24</v>
      </c>
      <c r="E856" t="s">
        <v>45</v>
      </c>
      <c r="F856" t="s">
        <v>21</v>
      </c>
      <c r="G856">
        <v>16</v>
      </c>
      <c r="H856" t="s">
        <v>36</v>
      </c>
      <c r="I856">
        <v>32</v>
      </c>
      <c r="J856">
        <v>2991.84</v>
      </c>
      <c r="K856">
        <f t="shared" si="15"/>
        <v>47869.440000000002</v>
      </c>
    </row>
    <row r="857" spans="1:11" x14ac:dyDescent="0.35">
      <c r="A857" t="s">
        <v>1058</v>
      </c>
      <c r="B857" s="1">
        <v>45116</v>
      </c>
      <c r="C857" t="s">
        <v>23</v>
      </c>
      <c r="D857" t="s">
        <v>24</v>
      </c>
      <c r="E857" t="s">
        <v>44</v>
      </c>
      <c r="F857" t="s">
        <v>21</v>
      </c>
      <c r="G857">
        <v>12</v>
      </c>
      <c r="H857" t="s">
        <v>31</v>
      </c>
      <c r="I857">
        <v>41</v>
      </c>
      <c r="J857">
        <v>4003.52</v>
      </c>
      <c r="K857">
        <f t="shared" si="15"/>
        <v>48042.239999999998</v>
      </c>
    </row>
    <row r="858" spans="1:11" x14ac:dyDescent="0.35">
      <c r="A858" t="s">
        <v>1059</v>
      </c>
      <c r="B858" s="1">
        <v>45187</v>
      </c>
      <c r="C858" t="s">
        <v>10</v>
      </c>
      <c r="D858" t="s">
        <v>38</v>
      </c>
      <c r="E858" t="s">
        <v>39</v>
      </c>
      <c r="F858" t="s">
        <v>29</v>
      </c>
      <c r="G858">
        <v>14</v>
      </c>
      <c r="H858" t="s">
        <v>195</v>
      </c>
      <c r="I858">
        <v>20</v>
      </c>
      <c r="J858">
        <v>3433.55</v>
      </c>
      <c r="K858">
        <f t="shared" si="15"/>
        <v>48069.700000000004</v>
      </c>
    </row>
    <row r="859" spans="1:11" x14ac:dyDescent="0.35">
      <c r="A859" t="s">
        <v>1060</v>
      </c>
      <c r="B859" s="1">
        <v>45243</v>
      </c>
      <c r="C859" t="s">
        <v>23</v>
      </c>
      <c r="D859" t="s">
        <v>24</v>
      </c>
      <c r="E859" t="s">
        <v>44</v>
      </c>
      <c r="F859" t="s">
        <v>29</v>
      </c>
      <c r="G859">
        <v>19</v>
      </c>
      <c r="H859" t="s">
        <v>31</v>
      </c>
      <c r="I859">
        <v>27</v>
      </c>
      <c r="J859">
        <v>2532.7800000000002</v>
      </c>
      <c r="K859">
        <f t="shared" si="15"/>
        <v>48122.820000000007</v>
      </c>
    </row>
    <row r="860" spans="1:11" x14ac:dyDescent="0.35">
      <c r="A860" t="s">
        <v>1061</v>
      </c>
      <c r="B860" s="1">
        <v>44940</v>
      </c>
      <c r="C860" t="s">
        <v>23</v>
      </c>
      <c r="D860" t="s">
        <v>24</v>
      </c>
      <c r="E860" t="s">
        <v>44</v>
      </c>
      <c r="F860" t="s">
        <v>29</v>
      </c>
      <c r="G860">
        <v>12</v>
      </c>
      <c r="H860" t="s">
        <v>14</v>
      </c>
      <c r="I860">
        <v>25</v>
      </c>
      <c r="J860">
        <v>4011.85</v>
      </c>
      <c r="K860">
        <f t="shared" si="15"/>
        <v>48142.2</v>
      </c>
    </row>
    <row r="861" spans="1:11" x14ac:dyDescent="0.35">
      <c r="A861" t="s">
        <v>1062</v>
      </c>
      <c r="B861" s="1">
        <v>45092</v>
      </c>
      <c r="C861" t="s">
        <v>23</v>
      </c>
      <c r="D861" t="s">
        <v>24</v>
      </c>
      <c r="E861" t="s">
        <v>25</v>
      </c>
      <c r="F861" t="s">
        <v>29</v>
      </c>
      <c r="G861">
        <v>15</v>
      </c>
      <c r="H861" t="s">
        <v>14</v>
      </c>
      <c r="I861">
        <v>16</v>
      </c>
      <c r="J861">
        <v>3218.59</v>
      </c>
      <c r="K861">
        <f t="shared" si="15"/>
        <v>48278.850000000006</v>
      </c>
    </row>
    <row r="862" spans="1:11" x14ac:dyDescent="0.35">
      <c r="A862" t="s">
        <v>1063</v>
      </c>
      <c r="B862" s="1">
        <v>45117</v>
      </c>
      <c r="C862" t="s">
        <v>10</v>
      </c>
      <c r="D862" t="s">
        <v>11</v>
      </c>
      <c r="E862" t="s">
        <v>27</v>
      </c>
      <c r="F862" t="s">
        <v>21</v>
      </c>
      <c r="G862">
        <v>20</v>
      </c>
      <c r="H862" t="s">
        <v>195</v>
      </c>
      <c r="I862">
        <v>31</v>
      </c>
      <c r="J862">
        <v>2415.86</v>
      </c>
      <c r="K862">
        <f t="shared" si="15"/>
        <v>48317.200000000004</v>
      </c>
    </row>
    <row r="863" spans="1:11" x14ac:dyDescent="0.35">
      <c r="A863" t="s">
        <v>1064</v>
      </c>
      <c r="B863" s="1">
        <v>45174</v>
      </c>
      <c r="C863" t="s">
        <v>23</v>
      </c>
      <c r="D863" t="s">
        <v>24</v>
      </c>
      <c r="E863" t="s">
        <v>44</v>
      </c>
      <c r="F863" t="s">
        <v>18</v>
      </c>
      <c r="G863">
        <v>13</v>
      </c>
      <c r="H863" t="s">
        <v>96</v>
      </c>
      <c r="I863">
        <v>42</v>
      </c>
      <c r="J863">
        <v>3724.27</v>
      </c>
      <c r="K863">
        <f t="shared" si="15"/>
        <v>48415.51</v>
      </c>
    </row>
    <row r="864" spans="1:11" x14ac:dyDescent="0.35">
      <c r="A864" t="s">
        <v>1065</v>
      </c>
      <c r="B864" s="1">
        <v>45004</v>
      </c>
      <c r="C864" t="s">
        <v>23</v>
      </c>
      <c r="D864" t="s">
        <v>24</v>
      </c>
      <c r="E864" t="s">
        <v>45</v>
      </c>
      <c r="F864" t="s">
        <v>29</v>
      </c>
      <c r="G864">
        <v>15</v>
      </c>
      <c r="H864" t="s">
        <v>33</v>
      </c>
      <c r="I864">
        <v>49</v>
      </c>
      <c r="J864">
        <v>3256.2</v>
      </c>
      <c r="K864">
        <f t="shared" si="15"/>
        <v>48843</v>
      </c>
    </row>
    <row r="865" spans="1:11" x14ac:dyDescent="0.35">
      <c r="A865" t="s">
        <v>1066</v>
      </c>
      <c r="B865" s="1">
        <v>45133</v>
      </c>
      <c r="C865" t="s">
        <v>15</v>
      </c>
      <c r="D865" t="s">
        <v>19</v>
      </c>
      <c r="E865" t="s">
        <v>32</v>
      </c>
      <c r="F865" t="s">
        <v>35</v>
      </c>
      <c r="G865">
        <v>20</v>
      </c>
      <c r="H865" t="s">
        <v>33</v>
      </c>
      <c r="I865">
        <v>44</v>
      </c>
      <c r="J865">
        <v>2446.31</v>
      </c>
      <c r="K865">
        <f t="shared" si="15"/>
        <v>48926.2</v>
      </c>
    </row>
    <row r="866" spans="1:11" x14ac:dyDescent="0.35">
      <c r="A866" t="s">
        <v>1067</v>
      </c>
      <c r="B866" s="1">
        <v>44957</v>
      </c>
      <c r="C866" t="s">
        <v>15</v>
      </c>
      <c r="D866" t="s">
        <v>16</v>
      </c>
      <c r="E866" t="s">
        <v>17</v>
      </c>
      <c r="F866" t="s">
        <v>35</v>
      </c>
      <c r="G866">
        <v>15</v>
      </c>
      <c r="H866" t="s">
        <v>195</v>
      </c>
      <c r="I866">
        <v>38</v>
      </c>
      <c r="J866">
        <v>3270.81</v>
      </c>
      <c r="K866">
        <f t="shared" si="15"/>
        <v>49062.15</v>
      </c>
    </row>
    <row r="867" spans="1:11" x14ac:dyDescent="0.35">
      <c r="A867" t="s">
        <v>1068</v>
      </c>
      <c r="B867" s="1">
        <v>45039</v>
      </c>
      <c r="C867" t="s">
        <v>15</v>
      </c>
      <c r="D867" t="s">
        <v>16</v>
      </c>
      <c r="E867" t="s">
        <v>43</v>
      </c>
      <c r="F867" t="s">
        <v>13</v>
      </c>
      <c r="G867">
        <v>15</v>
      </c>
      <c r="H867" t="s">
        <v>96</v>
      </c>
      <c r="I867">
        <v>43</v>
      </c>
      <c r="J867">
        <v>3285.68</v>
      </c>
      <c r="K867">
        <f t="shared" si="15"/>
        <v>49285.2</v>
      </c>
    </row>
    <row r="868" spans="1:11" x14ac:dyDescent="0.35">
      <c r="A868" t="s">
        <v>1069</v>
      </c>
      <c r="B868" s="1">
        <v>45264</v>
      </c>
      <c r="C868" t="s">
        <v>10</v>
      </c>
      <c r="D868" t="s">
        <v>38</v>
      </c>
      <c r="E868" t="s">
        <v>39</v>
      </c>
      <c r="F868" t="s">
        <v>13</v>
      </c>
      <c r="G868">
        <v>16</v>
      </c>
      <c r="H868" t="s">
        <v>30</v>
      </c>
      <c r="I868">
        <v>51</v>
      </c>
      <c r="J868">
        <v>3082.84</v>
      </c>
      <c r="K868">
        <f t="shared" si="15"/>
        <v>49325.440000000002</v>
      </c>
    </row>
    <row r="869" spans="1:11" x14ac:dyDescent="0.35">
      <c r="A869" t="s">
        <v>1070</v>
      </c>
      <c r="B869" s="1">
        <v>44987</v>
      </c>
      <c r="C869" t="s">
        <v>15</v>
      </c>
      <c r="D869" t="s">
        <v>16</v>
      </c>
      <c r="E869" t="s">
        <v>43</v>
      </c>
      <c r="F869" t="s">
        <v>18</v>
      </c>
      <c r="G869">
        <v>17</v>
      </c>
      <c r="H869" t="s">
        <v>26</v>
      </c>
      <c r="I869">
        <v>39</v>
      </c>
      <c r="J869">
        <v>2924.72</v>
      </c>
      <c r="K869">
        <f t="shared" si="15"/>
        <v>49720.24</v>
      </c>
    </row>
    <row r="870" spans="1:11" x14ac:dyDescent="0.35">
      <c r="A870" t="s">
        <v>1071</v>
      </c>
      <c r="B870" s="1">
        <v>45214</v>
      </c>
      <c r="C870" t="s">
        <v>15</v>
      </c>
      <c r="D870" t="s">
        <v>19</v>
      </c>
      <c r="E870" t="s">
        <v>32</v>
      </c>
      <c r="F870" t="s">
        <v>21</v>
      </c>
      <c r="G870">
        <v>20</v>
      </c>
      <c r="H870" t="s">
        <v>36</v>
      </c>
      <c r="I870">
        <v>38</v>
      </c>
      <c r="J870">
        <v>2487.65</v>
      </c>
      <c r="K870">
        <f t="shared" si="15"/>
        <v>49753</v>
      </c>
    </row>
    <row r="871" spans="1:11" x14ac:dyDescent="0.35">
      <c r="A871" t="s">
        <v>1072</v>
      </c>
      <c r="B871" s="1">
        <v>45034</v>
      </c>
      <c r="C871" t="s">
        <v>10</v>
      </c>
      <c r="D871" t="s">
        <v>38</v>
      </c>
      <c r="E871" t="s">
        <v>39</v>
      </c>
      <c r="F871" t="s">
        <v>29</v>
      </c>
      <c r="G871">
        <v>11</v>
      </c>
      <c r="H871" t="s">
        <v>30</v>
      </c>
      <c r="I871">
        <v>32</v>
      </c>
      <c r="J871">
        <v>4530.5600000000004</v>
      </c>
      <c r="K871">
        <f t="shared" si="15"/>
        <v>49836.160000000003</v>
      </c>
    </row>
    <row r="872" spans="1:11" x14ac:dyDescent="0.35">
      <c r="A872" t="s">
        <v>1073</v>
      </c>
      <c r="B872" s="1">
        <v>45291</v>
      </c>
      <c r="C872" t="s">
        <v>10</v>
      </c>
      <c r="D872" t="s">
        <v>11</v>
      </c>
      <c r="E872" t="s">
        <v>41</v>
      </c>
      <c r="F872" t="s">
        <v>13</v>
      </c>
      <c r="G872">
        <v>10</v>
      </c>
      <c r="H872" t="s">
        <v>14</v>
      </c>
      <c r="I872">
        <v>52</v>
      </c>
      <c r="J872">
        <v>4995.74</v>
      </c>
      <c r="K872">
        <f t="shared" si="15"/>
        <v>49957.399999999994</v>
      </c>
    </row>
    <row r="873" spans="1:11" x14ac:dyDescent="0.35">
      <c r="A873" t="s">
        <v>1074</v>
      </c>
      <c r="B873" s="1">
        <v>44939</v>
      </c>
      <c r="C873" t="s">
        <v>10</v>
      </c>
      <c r="D873" t="s">
        <v>11</v>
      </c>
      <c r="E873" t="s">
        <v>41</v>
      </c>
      <c r="F873" t="s">
        <v>18</v>
      </c>
      <c r="G873">
        <v>18</v>
      </c>
      <c r="H873" t="s">
        <v>28</v>
      </c>
      <c r="I873">
        <v>22</v>
      </c>
      <c r="J873">
        <v>2777.65</v>
      </c>
      <c r="K873">
        <f t="shared" si="15"/>
        <v>49997.700000000004</v>
      </c>
    </row>
    <row r="874" spans="1:11" x14ac:dyDescent="0.35">
      <c r="A874" t="s">
        <v>1075</v>
      </c>
      <c r="B874" s="1">
        <v>45272</v>
      </c>
      <c r="C874" t="s">
        <v>15</v>
      </c>
      <c r="D874" t="s">
        <v>16</v>
      </c>
      <c r="E874" t="s">
        <v>17</v>
      </c>
      <c r="F874" t="s">
        <v>35</v>
      </c>
      <c r="G874">
        <v>18</v>
      </c>
      <c r="H874" t="s">
        <v>96</v>
      </c>
      <c r="I874">
        <v>27</v>
      </c>
      <c r="J874">
        <v>2784.49</v>
      </c>
      <c r="K874">
        <f t="shared" si="15"/>
        <v>50120.819999999992</v>
      </c>
    </row>
    <row r="875" spans="1:11" x14ac:dyDescent="0.35">
      <c r="A875" t="s">
        <v>1076</v>
      </c>
      <c r="B875" s="1">
        <v>45210</v>
      </c>
      <c r="C875" t="s">
        <v>15</v>
      </c>
      <c r="D875" t="s">
        <v>19</v>
      </c>
      <c r="E875" t="s">
        <v>20</v>
      </c>
      <c r="F875" t="s">
        <v>21</v>
      </c>
      <c r="G875">
        <v>16</v>
      </c>
      <c r="H875" t="s">
        <v>36</v>
      </c>
      <c r="I875">
        <v>41</v>
      </c>
      <c r="J875">
        <v>3155.43</v>
      </c>
      <c r="K875">
        <f t="shared" si="15"/>
        <v>50486.879999999997</v>
      </c>
    </row>
    <row r="876" spans="1:11" x14ac:dyDescent="0.35">
      <c r="A876" t="s">
        <v>1077</v>
      </c>
      <c r="B876" s="1">
        <v>44998</v>
      </c>
      <c r="C876" t="s">
        <v>10</v>
      </c>
      <c r="D876" t="s">
        <v>11</v>
      </c>
      <c r="E876" t="s">
        <v>41</v>
      </c>
      <c r="F876" t="s">
        <v>35</v>
      </c>
      <c r="G876">
        <v>11</v>
      </c>
      <c r="H876" t="s">
        <v>36</v>
      </c>
      <c r="I876">
        <v>35</v>
      </c>
      <c r="J876">
        <v>4681.04</v>
      </c>
      <c r="K876">
        <f t="shared" si="15"/>
        <v>51491.44</v>
      </c>
    </row>
    <row r="877" spans="1:11" x14ac:dyDescent="0.35">
      <c r="A877" t="s">
        <v>1078</v>
      </c>
      <c r="B877" s="1">
        <v>45008</v>
      </c>
      <c r="C877" t="s">
        <v>23</v>
      </c>
      <c r="D877" t="s">
        <v>24</v>
      </c>
      <c r="E877" t="s">
        <v>44</v>
      </c>
      <c r="F877" t="s">
        <v>18</v>
      </c>
      <c r="G877">
        <v>20</v>
      </c>
      <c r="H877" t="s">
        <v>26</v>
      </c>
      <c r="I877">
        <v>24</v>
      </c>
      <c r="J877">
        <v>2580.02</v>
      </c>
      <c r="K877">
        <f t="shared" si="15"/>
        <v>51600.4</v>
      </c>
    </row>
    <row r="878" spans="1:11" x14ac:dyDescent="0.35">
      <c r="A878" t="s">
        <v>1079</v>
      </c>
      <c r="B878" s="1">
        <v>45284</v>
      </c>
      <c r="C878" t="s">
        <v>23</v>
      </c>
      <c r="D878" t="s">
        <v>24</v>
      </c>
      <c r="E878" t="s">
        <v>44</v>
      </c>
      <c r="F878" t="s">
        <v>13</v>
      </c>
      <c r="G878">
        <v>18</v>
      </c>
      <c r="H878" t="s">
        <v>31</v>
      </c>
      <c r="I878">
        <v>54</v>
      </c>
      <c r="J878">
        <v>2880.41</v>
      </c>
      <c r="K878">
        <f t="shared" si="15"/>
        <v>51847.38</v>
      </c>
    </row>
    <row r="879" spans="1:11" x14ac:dyDescent="0.35">
      <c r="A879" t="s">
        <v>1080</v>
      </c>
      <c r="B879" s="1">
        <v>45238</v>
      </c>
      <c r="C879" t="s">
        <v>10</v>
      </c>
      <c r="D879" t="s">
        <v>38</v>
      </c>
      <c r="E879" t="s">
        <v>39</v>
      </c>
      <c r="F879" t="s">
        <v>21</v>
      </c>
      <c r="G879">
        <v>19</v>
      </c>
      <c r="H879" t="s">
        <v>28</v>
      </c>
      <c r="I879">
        <v>32</v>
      </c>
      <c r="J879">
        <v>2743.67</v>
      </c>
      <c r="K879">
        <f t="shared" si="15"/>
        <v>52129.73</v>
      </c>
    </row>
    <row r="880" spans="1:11" x14ac:dyDescent="0.35">
      <c r="A880" t="s">
        <v>1081</v>
      </c>
      <c r="B880" s="1">
        <v>45118</v>
      </c>
      <c r="C880" t="s">
        <v>15</v>
      </c>
      <c r="D880" t="s">
        <v>19</v>
      </c>
      <c r="E880" t="s">
        <v>20</v>
      </c>
      <c r="F880" t="s">
        <v>18</v>
      </c>
      <c r="G880">
        <v>13</v>
      </c>
      <c r="H880" t="s">
        <v>97</v>
      </c>
      <c r="I880">
        <v>30</v>
      </c>
      <c r="J880">
        <v>4021.84</v>
      </c>
      <c r="K880">
        <f t="shared" si="15"/>
        <v>52283.92</v>
      </c>
    </row>
    <row r="881" spans="1:11" x14ac:dyDescent="0.35">
      <c r="A881" t="s">
        <v>1082</v>
      </c>
      <c r="B881" s="1">
        <v>45071</v>
      </c>
      <c r="C881" t="s">
        <v>10</v>
      </c>
      <c r="D881" t="s">
        <v>38</v>
      </c>
      <c r="E881" t="s">
        <v>42</v>
      </c>
      <c r="F881" t="s">
        <v>13</v>
      </c>
      <c r="G881">
        <v>19</v>
      </c>
      <c r="H881" t="s">
        <v>97</v>
      </c>
      <c r="I881">
        <v>36</v>
      </c>
      <c r="J881">
        <v>2753.24</v>
      </c>
      <c r="K881">
        <f t="shared" si="15"/>
        <v>52311.56</v>
      </c>
    </row>
    <row r="882" spans="1:11" x14ac:dyDescent="0.35">
      <c r="A882" t="s">
        <v>1083</v>
      </c>
      <c r="B882" s="1">
        <v>45171</v>
      </c>
      <c r="C882" t="s">
        <v>15</v>
      </c>
      <c r="D882" t="s">
        <v>16</v>
      </c>
      <c r="E882" t="s">
        <v>43</v>
      </c>
      <c r="F882" t="s">
        <v>18</v>
      </c>
      <c r="G882">
        <v>11</v>
      </c>
      <c r="H882" t="s">
        <v>14</v>
      </c>
      <c r="I882">
        <v>52</v>
      </c>
      <c r="J882">
        <v>4758.46</v>
      </c>
      <c r="K882">
        <f t="shared" si="15"/>
        <v>52343.06</v>
      </c>
    </row>
    <row r="883" spans="1:11" x14ac:dyDescent="0.35">
      <c r="A883" t="s">
        <v>1084</v>
      </c>
      <c r="B883" s="1">
        <v>45186</v>
      </c>
      <c r="C883" t="s">
        <v>23</v>
      </c>
      <c r="D883" t="s">
        <v>24</v>
      </c>
      <c r="E883" t="s">
        <v>45</v>
      </c>
      <c r="F883" t="s">
        <v>21</v>
      </c>
      <c r="G883">
        <v>12</v>
      </c>
      <c r="H883" t="s">
        <v>97</v>
      </c>
      <c r="I883">
        <v>26</v>
      </c>
      <c r="J883">
        <v>4378.41</v>
      </c>
      <c r="K883">
        <f t="shared" si="15"/>
        <v>52540.92</v>
      </c>
    </row>
    <row r="884" spans="1:11" x14ac:dyDescent="0.35">
      <c r="A884" t="s">
        <v>1085</v>
      </c>
      <c r="B884" s="1">
        <v>45129</v>
      </c>
      <c r="C884" t="s">
        <v>10</v>
      </c>
      <c r="D884" t="s">
        <v>11</v>
      </c>
      <c r="E884" t="s">
        <v>12</v>
      </c>
      <c r="F884" t="s">
        <v>18</v>
      </c>
      <c r="G884">
        <v>20</v>
      </c>
      <c r="H884" t="s">
        <v>195</v>
      </c>
      <c r="I884">
        <v>50</v>
      </c>
      <c r="J884">
        <v>2631.58</v>
      </c>
      <c r="K884">
        <f t="shared" si="15"/>
        <v>52631.6</v>
      </c>
    </row>
    <row r="885" spans="1:11" x14ac:dyDescent="0.35">
      <c r="A885" t="s">
        <v>1086</v>
      </c>
      <c r="B885" s="1">
        <v>44986</v>
      </c>
      <c r="C885" t="s">
        <v>15</v>
      </c>
      <c r="D885" t="s">
        <v>19</v>
      </c>
      <c r="E885" t="s">
        <v>32</v>
      </c>
      <c r="F885" t="s">
        <v>21</v>
      </c>
      <c r="G885">
        <v>12</v>
      </c>
      <c r="H885" t="s">
        <v>36</v>
      </c>
      <c r="I885">
        <v>27</v>
      </c>
      <c r="J885">
        <v>4403.8500000000004</v>
      </c>
      <c r="K885">
        <f t="shared" si="15"/>
        <v>52846.200000000004</v>
      </c>
    </row>
    <row r="886" spans="1:11" x14ac:dyDescent="0.35">
      <c r="A886" t="s">
        <v>1087</v>
      </c>
      <c r="B886" s="1">
        <v>45065</v>
      </c>
      <c r="C886" t="s">
        <v>10</v>
      </c>
      <c r="D886" t="s">
        <v>38</v>
      </c>
      <c r="E886" t="s">
        <v>40</v>
      </c>
      <c r="F886" t="s">
        <v>35</v>
      </c>
      <c r="G886">
        <v>13</v>
      </c>
      <c r="H886" t="s">
        <v>195</v>
      </c>
      <c r="I886">
        <v>44</v>
      </c>
      <c r="J886">
        <v>4076.94</v>
      </c>
      <c r="K886">
        <f t="shared" si="15"/>
        <v>53000.22</v>
      </c>
    </row>
    <row r="887" spans="1:11" x14ac:dyDescent="0.35">
      <c r="A887" t="s">
        <v>1088</v>
      </c>
      <c r="B887" s="1">
        <v>45198</v>
      </c>
      <c r="C887" t="s">
        <v>23</v>
      </c>
      <c r="D887" t="s">
        <v>24</v>
      </c>
      <c r="E887" t="s">
        <v>25</v>
      </c>
      <c r="F887" t="s">
        <v>35</v>
      </c>
      <c r="G887">
        <v>13</v>
      </c>
      <c r="H887" t="s">
        <v>26</v>
      </c>
      <c r="I887">
        <v>42</v>
      </c>
      <c r="J887">
        <v>4084.32</v>
      </c>
      <c r="K887">
        <f t="shared" si="15"/>
        <v>53096.160000000003</v>
      </c>
    </row>
    <row r="888" spans="1:11" x14ac:dyDescent="0.35">
      <c r="A888" t="s">
        <v>1089</v>
      </c>
      <c r="B888" s="1">
        <v>44959</v>
      </c>
      <c r="C888" t="s">
        <v>10</v>
      </c>
      <c r="D888" t="s">
        <v>38</v>
      </c>
      <c r="E888" t="s">
        <v>42</v>
      </c>
      <c r="F888" t="s">
        <v>21</v>
      </c>
      <c r="G888">
        <v>15</v>
      </c>
      <c r="H888" t="s">
        <v>26</v>
      </c>
      <c r="I888">
        <v>20</v>
      </c>
      <c r="J888">
        <v>3555.88</v>
      </c>
      <c r="K888">
        <f t="shared" si="15"/>
        <v>53338.200000000004</v>
      </c>
    </row>
    <row r="889" spans="1:11" x14ac:dyDescent="0.35">
      <c r="A889" t="s">
        <v>1090</v>
      </c>
      <c r="B889" s="1">
        <v>44996</v>
      </c>
      <c r="C889" t="s">
        <v>15</v>
      </c>
      <c r="D889" t="s">
        <v>19</v>
      </c>
      <c r="E889" t="s">
        <v>22</v>
      </c>
      <c r="F889" t="s">
        <v>18</v>
      </c>
      <c r="G889">
        <v>19</v>
      </c>
      <c r="H889" t="s">
        <v>97</v>
      </c>
      <c r="I889">
        <v>53</v>
      </c>
      <c r="J889">
        <v>2814.94</v>
      </c>
      <c r="K889">
        <f t="shared" si="15"/>
        <v>53483.86</v>
      </c>
    </row>
    <row r="890" spans="1:11" x14ac:dyDescent="0.35">
      <c r="A890" t="s">
        <v>1091</v>
      </c>
      <c r="B890" s="1">
        <v>45134</v>
      </c>
      <c r="C890" t="s">
        <v>15</v>
      </c>
      <c r="D890" t="s">
        <v>16</v>
      </c>
      <c r="E890" t="s">
        <v>43</v>
      </c>
      <c r="F890" t="s">
        <v>29</v>
      </c>
      <c r="G890">
        <v>19</v>
      </c>
      <c r="H890" t="s">
        <v>33</v>
      </c>
      <c r="I890">
        <v>23</v>
      </c>
      <c r="J890">
        <v>2848.96</v>
      </c>
      <c r="K890">
        <f t="shared" si="15"/>
        <v>54130.239999999998</v>
      </c>
    </row>
    <row r="891" spans="1:11" x14ac:dyDescent="0.35">
      <c r="A891" t="s">
        <v>1092</v>
      </c>
      <c r="B891" s="1">
        <v>45056</v>
      </c>
      <c r="C891" t="s">
        <v>15</v>
      </c>
      <c r="D891" t="s">
        <v>16</v>
      </c>
      <c r="E891" t="s">
        <v>43</v>
      </c>
      <c r="F891" t="s">
        <v>18</v>
      </c>
      <c r="G891">
        <v>15</v>
      </c>
      <c r="H891" t="s">
        <v>30</v>
      </c>
      <c r="I891">
        <v>36</v>
      </c>
      <c r="J891">
        <v>3611.2</v>
      </c>
      <c r="K891">
        <f t="shared" si="15"/>
        <v>54168</v>
      </c>
    </row>
    <row r="892" spans="1:11" x14ac:dyDescent="0.35">
      <c r="A892" t="s">
        <v>1093</v>
      </c>
      <c r="B892" s="1">
        <v>45101</v>
      </c>
      <c r="C892" t="s">
        <v>15</v>
      </c>
      <c r="D892" t="s">
        <v>16</v>
      </c>
      <c r="E892" t="s">
        <v>17</v>
      </c>
      <c r="F892" t="s">
        <v>18</v>
      </c>
      <c r="G892">
        <v>19</v>
      </c>
      <c r="H892" t="s">
        <v>97</v>
      </c>
      <c r="I892">
        <v>47</v>
      </c>
      <c r="J892">
        <v>2873.83</v>
      </c>
      <c r="K892">
        <f t="shared" si="15"/>
        <v>54602.77</v>
      </c>
    </row>
    <row r="893" spans="1:11" x14ac:dyDescent="0.35">
      <c r="A893" t="s">
        <v>1094</v>
      </c>
      <c r="B893" s="1">
        <v>45608</v>
      </c>
      <c r="C893" t="s">
        <v>15</v>
      </c>
      <c r="D893" t="s">
        <v>16</v>
      </c>
      <c r="E893" t="s">
        <v>17</v>
      </c>
      <c r="F893" t="s">
        <v>18</v>
      </c>
      <c r="G893">
        <v>19</v>
      </c>
      <c r="H893" t="s">
        <v>28</v>
      </c>
      <c r="I893">
        <v>47</v>
      </c>
      <c r="J893">
        <v>2873.83</v>
      </c>
      <c r="K893">
        <f t="shared" si="15"/>
        <v>54602.77</v>
      </c>
    </row>
    <row r="894" spans="1:11" x14ac:dyDescent="0.35">
      <c r="A894" t="s">
        <v>1095</v>
      </c>
      <c r="B894" s="1">
        <v>44969</v>
      </c>
      <c r="C894" t="s">
        <v>10</v>
      </c>
      <c r="D894" t="s">
        <v>11</v>
      </c>
      <c r="E894" t="s">
        <v>41</v>
      </c>
      <c r="F894" t="s">
        <v>21</v>
      </c>
      <c r="G894">
        <v>18</v>
      </c>
      <c r="H894" t="s">
        <v>14</v>
      </c>
      <c r="I894">
        <v>37</v>
      </c>
      <c r="J894">
        <v>3040.28</v>
      </c>
      <c r="K894">
        <f t="shared" si="15"/>
        <v>54725.04</v>
      </c>
    </row>
    <row r="895" spans="1:11" x14ac:dyDescent="0.35">
      <c r="A895" t="s">
        <v>1096</v>
      </c>
      <c r="B895" s="1">
        <v>45101</v>
      </c>
      <c r="C895" t="s">
        <v>15</v>
      </c>
      <c r="D895" t="s">
        <v>16</v>
      </c>
      <c r="E895" t="s">
        <v>34</v>
      </c>
      <c r="F895" t="s">
        <v>21</v>
      </c>
      <c r="G895">
        <v>12</v>
      </c>
      <c r="H895" t="s">
        <v>31</v>
      </c>
      <c r="I895">
        <v>21</v>
      </c>
      <c r="J895">
        <v>4572.79</v>
      </c>
      <c r="K895">
        <f t="shared" si="15"/>
        <v>54873.479999999996</v>
      </c>
    </row>
    <row r="896" spans="1:11" x14ac:dyDescent="0.35">
      <c r="A896" t="s">
        <v>1097</v>
      </c>
      <c r="B896" s="1">
        <v>45236</v>
      </c>
      <c r="C896" t="s">
        <v>15</v>
      </c>
      <c r="D896" t="s">
        <v>16</v>
      </c>
      <c r="E896" t="s">
        <v>34</v>
      </c>
      <c r="F896" t="s">
        <v>21</v>
      </c>
      <c r="G896">
        <v>13</v>
      </c>
      <c r="H896" t="s">
        <v>195</v>
      </c>
      <c r="I896">
        <v>31</v>
      </c>
      <c r="J896">
        <v>4226.47</v>
      </c>
      <c r="K896">
        <f t="shared" si="15"/>
        <v>54944.11</v>
      </c>
    </row>
    <row r="897" spans="1:11" x14ac:dyDescent="0.35">
      <c r="A897" t="s">
        <v>1098</v>
      </c>
      <c r="B897" s="1">
        <v>45616</v>
      </c>
      <c r="C897" t="s">
        <v>15</v>
      </c>
      <c r="D897" t="s">
        <v>16</v>
      </c>
      <c r="E897" t="s">
        <v>34</v>
      </c>
      <c r="F897" t="s">
        <v>21</v>
      </c>
      <c r="G897">
        <v>13</v>
      </c>
      <c r="H897" t="s">
        <v>195</v>
      </c>
      <c r="I897">
        <v>31</v>
      </c>
      <c r="J897">
        <v>4226.47</v>
      </c>
      <c r="K897">
        <f t="shared" si="15"/>
        <v>54944.11</v>
      </c>
    </row>
    <row r="898" spans="1:11" x14ac:dyDescent="0.35">
      <c r="A898" t="s">
        <v>1099</v>
      </c>
      <c r="B898" s="1">
        <v>45023</v>
      </c>
      <c r="C898" t="s">
        <v>15</v>
      </c>
      <c r="D898" t="s">
        <v>19</v>
      </c>
      <c r="E898" t="s">
        <v>22</v>
      </c>
      <c r="F898" t="s">
        <v>13</v>
      </c>
      <c r="G898">
        <v>17</v>
      </c>
      <c r="H898" t="s">
        <v>96</v>
      </c>
      <c r="I898">
        <v>43</v>
      </c>
      <c r="J898">
        <v>3233.82</v>
      </c>
      <c r="K898">
        <f t="shared" ref="K898:K961" si="16">G898*J898</f>
        <v>54974.94</v>
      </c>
    </row>
    <row r="899" spans="1:11" x14ac:dyDescent="0.35">
      <c r="A899" t="s">
        <v>1100</v>
      </c>
      <c r="B899" s="1">
        <v>44979</v>
      </c>
      <c r="C899" t="s">
        <v>15</v>
      </c>
      <c r="D899" t="s">
        <v>16</v>
      </c>
      <c r="E899" t="s">
        <v>17</v>
      </c>
      <c r="F899" t="s">
        <v>18</v>
      </c>
      <c r="G899">
        <v>20</v>
      </c>
      <c r="H899" t="s">
        <v>37</v>
      </c>
      <c r="I899">
        <v>47</v>
      </c>
      <c r="J899">
        <v>2750.28</v>
      </c>
      <c r="K899">
        <f t="shared" si="16"/>
        <v>55005.600000000006</v>
      </c>
    </row>
    <row r="900" spans="1:11" x14ac:dyDescent="0.35">
      <c r="A900" t="s">
        <v>1101</v>
      </c>
      <c r="B900" s="1">
        <v>45212</v>
      </c>
      <c r="C900" t="s">
        <v>10</v>
      </c>
      <c r="D900" t="s">
        <v>38</v>
      </c>
      <c r="E900" t="s">
        <v>40</v>
      </c>
      <c r="F900" t="s">
        <v>18</v>
      </c>
      <c r="G900">
        <v>14</v>
      </c>
      <c r="H900" t="s">
        <v>96</v>
      </c>
      <c r="I900">
        <v>35</v>
      </c>
      <c r="J900">
        <v>3931.74</v>
      </c>
      <c r="K900">
        <f t="shared" si="16"/>
        <v>55044.36</v>
      </c>
    </row>
    <row r="901" spans="1:11" x14ac:dyDescent="0.35">
      <c r="A901" t="s">
        <v>1102</v>
      </c>
      <c r="B901" s="1">
        <v>45222</v>
      </c>
      <c r="C901" t="s">
        <v>15</v>
      </c>
      <c r="D901" t="s">
        <v>16</v>
      </c>
      <c r="E901" t="s">
        <v>43</v>
      </c>
      <c r="F901" t="s">
        <v>35</v>
      </c>
      <c r="G901">
        <v>19</v>
      </c>
      <c r="H901" t="s">
        <v>26</v>
      </c>
      <c r="I901">
        <v>48</v>
      </c>
      <c r="J901">
        <v>2900.31</v>
      </c>
      <c r="K901">
        <f t="shared" si="16"/>
        <v>55105.89</v>
      </c>
    </row>
    <row r="902" spans="1:11" x14ac:dyDescent="0.35">
      <c r="A902" t="s">
        <v>1103</v>
      </c>
      <c r="B902" s="1">
        <v>44985</v>
      </c>
      <c r="C902" t="s">
        <v>15</v>
      </c>
      <c r="D902" t="s">
        <v>16</v>
      </c>
      <c r="E902" t="s">
        <v>34</v>
      </c>
      <c r="F902" t="s">
        <v>13</v>
      </c>
      <c r="G902">
        <v>18</v>
      </c>
      <c r="H902" t="s">
        <v>31</v>
      </c>
      <c r="I902">
        <v>39</v>
      </c>
      <c r="J902">
        <v>3102.47</v>
      </c>
      <c r="K902">
        <f t="shared" si="16"/>
        <v>55844.46</v>
      </c>
    </row>
    <row r="903" spans="1:11" x14ac:dyDescent="0.35">
      <c r="A903" t="s">
        <v>1104</v>
      </c>
      <c r="B903" s="1">
        <v>44985</v>
      </c>
      <c r="C903" t="s">
        <v>15</v>
      </c>
      <c r="D903" t="s">
        <v>19</v>
      </c>
      <c r="E903" t="s">
        <v>32</v>
      </c>
      <c r="F903" t="s">
        <v>13</v>
      </c>
      <c r="G903">
        <v>14</v>
      </c>
      <c r="H903" t="s">
        <v>33</v>
      </c>
      <c r="I903">
        <v>36</v>
      </c>
      <c r="J903">
        <v>4009.33</v>
      </c>
      <c r="K903">
        <f t="shared" si="16"/>
        <v>56130.619999999995</v>
      </c>
    </row>
    <row r="904" spans="1:11" x14ac:dyDescent="0.35">
      <c r="A904" t="s">
        <v>1105</v>
      </c>
      <c r="B904" s="1">
        <v>45184</v>
      </c>
      <c r="C904" t="s">
        <v>15</v>
      </c>
      <c r="D904" t="s">
        <v>16</v>
      </c>
      <c r="E904" t="s">
        <v>17</v>
      </c>
      <c r="F904" t="s">
        <v>18</v>
      </c>
      <c r="G904">
        <v>13</v>
      </c>
      <c r="H904" t="s">
        <v>31</v>
      </c>
      <c r="I904">
        <v>42</v>
      </c>
      <c r="J904">
        <v>4337.22</v>
      </c>
      <c r="K904">
        <f t="shared" si="16"/>
        <v>56383.86</v>
      </c>
    </row>
    <row r="905" spans="1:11" x14ac:dyDescent="0.35">
      <c r="A905" t="s">
        <v>1106</v>
      </c>
      <c r="B905" s="1">
        <v>45247</v>
      </c>
      <c r="C905" t="s">
        <v>23</v>
      </c>
      <c r="D905" t="s">
        <v>24</v>
      </c>
      <c r="E905" t="s">
        <v>25</v>
      </c>
      <c r="F905" t="s">
        <v>35</v>
      </c>
      <c r="G905">
        <v>13</v>
      </c>
      <c r="H905" t="s">
        <v>96</v>
      </c>
      <c r="I905">
        <v>42</v>
      </c>
      <c r="J905">
        <v>4339.46</v>
      </c>
      <c r="K905">
        <f t="shared" si="16"/>
        <v>56412.98</v>
      </c>
    </row>
    <row r="906" spans="1:11" x14ac:dyDescent="0.35">
      <c r="A906" t="s">
        <v>1107</v>
      </c>
      <c r="B906" s="1">
        <v>45245</v>
      </c>
      <c r="C906" t="s">
        <v>10</v>
      </c>
      <c r="D906" t="s">
        <v>11</v>
      </c>
      <c r="E906" t="s">
        <v>27</v>
      </c>
      <c r="F906" t="s">
        <v>35</v>
      </c>
      <c r="G906">
        <v>12</v>
      </c>
      <c r="H906" t="s">
        <v>14</v>
      </c>
      <c r="I906">
        <v>19</v>
      </c>
      <c r="J906">
        <v>4713.26</v>
      </c>
      <c r="K906">
        <f t="shared" si="16"/>
        <v>56559.12</v>
      </c>
    </row>
    <row r="907" spans="1:11" x14ac:dyDescent="0.35">
      <c r="A907" t="s">
        <v>1108</v>
      </c>
      <c r="B907" s="1">
        <v>45244</v>
      </c>
      <c r="C907" t="s">
        <v>10</v>
      </c>
      <c r="D907" t="s">
        <v>11</v>
      </c>
      <c r="E907" t="s">
        <v>27</v>
      </c>
      <c r="F907" t="s">
        <v>13</v>
      </c>
      <c r="G907">
        <v>13</v>
      </c>
      <c r="H907" t="s">
        <v>195</v>
      </c>
      <c r="I907">
        <v>53</v>
      </c>
      <c r="J907">
        <v>4357.0200000000004</v>
      </c>
      <c r="K907">
        <f t="shared" si="16"/>
        <v>56641.260000000009</v>
      </c>
    </row>
    <row r="908" spans="1:11" x14ac:dyDescent="0.35">
      <c r="A908" t="s">
        <v>1109</v>
      </c>
      <c r="B908" s="1">
        <v>45070</v>
      </c>
      <c r="C908" t="s">
        <v>15</v>
      </c>
      <c r="D908" t="s">
        <v>16</v>
      </c>
      <c r="E908" t="s">
        <v>17</v>
      </c>
      <c r="F908" t="s">
        <v>18</v>
      </c>
      <c r="G908">
        <v>17</v>
      </c>
      <c r="H908" t="s">
        <v>30</v>
      </c>
      <c r="I908">
        <v>25</v>
      </c>
      <c r="J908">
        <v>3342.49</v>
      </c>
      <c r="K908">
        <f t="shared" si="16"/>
        <v>56822.329999999994</v>
      </c>
    </row>
    <row r="909" spans="1:11" x14ac:dyDescent="0.35">
      <c r="A909" t="s">
        <v>1110</v>
      </c>
      <c r="B909" s="1">
        <v>45286</v>
      </c>
      <c r="C909" t="s">
        <v>10</v>
      </c>
      <c r="D909" t="s">
        <v>11</v>
      </c>
      <c r="E909" t="s">
        <v>41</v>
      </c>
      <c r="F909" t="s">
        <v>13</v>
      </c>
      <c r="G909">
        <v>12</v>
      </c>
      <c r="H909" t="s">
        <v>33</v>
      </c>
      <c r="I909">
        <v>54</v>
      </c>
      <c r="J909">
        <v>4765.33</v>
      </c>
      <c r="K909">
        <f t="shared" si="16"/>
        <v>57183.96</v>
      </c>
    </row>
    <row r="910" spans="1:11" x14ac:dyDescent="0.35">
      <c r="A910" t="s">
        <v>1111</v>
      </c>
      <c r="B910" s="1">
        <v>44962</v>
      </c>
      <c r="C910" t="s">
        <v>15</v>
      </c>
      <c r="D910" t="s">
        <v>19</v>
      </c>
      <c r="E910" t="s">
        <v>22</v>
      </c>
      <c r="F910" t="s">
        <v>29</v>
      </c>
      <c r="G910">
        <v>20</v>
      </c>
      <c r="H910" t="s">
        <v>96</v>
      </c>
      <c r="I910">
        <v>24</v>
      </c>
      <c r="J910">
        <v>2860.11</v>
      </c>
      <c r="K910">
        <f t="shared" si="16"/>
        <v>57202.200000000004</v>
      </c>
    </row>
    <row r="911" spans="1:11" x14ac:dyDescent="0.35">
      <c r="A911" t="s">
        <v>1112</v>
      </c>
      <c r="B911" s="1">
        <v>45074</v>
      </c>
      <c r="C911" t="s">
        <v>15</v>
      </c>
      <c r="D911" t="s">
        <v>19</v>
      </c>
      <c r="E911" t="s">
        <v>32</v>
      </c>
      <c r="F911" t="s">
        <v>35</v>
      </c>
      <c r="G911">
        <v>20</v>
      </c>
      <c r="H911" t="s">
        <v>14</v>
      </c>
      <c r="I911">
        <v>47</v>
      </c>
      <c r="J911">
        <v>2860.96</v>
      </c>
      <c r="K911">
        <f t="shared" si="16"/>
        <v>57219.199999999997</v>
      </c>
    </row>
    <row r="912" spans="1:11" x14ac:dyDescent="0.35">
      <c r="A912" t="s">
        <v>1113</v>
      </c>
      <c r="B912" s="1">
        <v>45163</v>
      </c>
      <c r="C912" t="s">
        <v>10</v>
      </c>
      <c r="D912" t="s">
        <v>11</v>
      </c>
      <c r="E912" t="s">
        <v>12</v>
      </c>
      <c r="F912" t="s">
        <v>13</v>
      </c>
      <c r="G912">
        <v>16</v>
      </c>
      <c r="H912" t="s">
        <v>195</v>
      </c>
      <c r="I912">
        <v>40</v>
      </c>
      <c r="J912">
        <v>3580.79</v>
      </c>
      <c r="K912">
        <f t="shared" si="16"/>
        <v>57292.639999999999</v>
      </c>
    </row>
    <row r="913" spans="1:11" x14ac:dyDescent="0.35">
      <c r="A913" t="s">
        <v>1114</v>
      </c>
      <c r="B913" s="1">
        <v>45048</v>
      </c>
      <c r="C913" t="s">
        <v>15</v>
      </c>
      <c r="D913" t="s">
        <v>19</v>
      </c>
      <c r="E913" t="s">
        <v>32</v>
      </c>
      <c r="F913" t="s">
        <v>18</v>
      </c>
      <c r="G913">
        <v>16</v>
      </c>
      <c r="H913" t="s">
        <v>33</v>
      </c>
      <c r="I913">
        <v>46</v>
      </c>
      <c r="J913">
        <v>3586.87</v>
      </c>
      <c r="K913">
        <f t="shared" si="16"/>
        <v>57389.919999999998</v>
      </c>
    </row>
    <row r="914" spans="1:11" x14ac:dyDescent="0.35">
      <c r="A914" t="s">
        <v>1115</v>
      </c>
      <c r="B914" s="1">
        <v>45080</v>
      </c>
      <c r="C914" t="s">
        <v>10</v>
      </c>
      <c r="D914" t="s">
        <v>11</v>
      </c>
      <c r="E914" t="s">
        <v>27</v>
      </c>
      <c r="F914" t="s">
        <v>18</v>
      </c>
      <c r="G914">
        <v>16</v>
      </c>
      <c r="H914" t="s">
        <v>28</v>
      </c>
      <c r="I914">
        <v>45</v>
      </c>
      <c r="J914">
        <v>3599.32</v>
      </c>
      <c r="K914">
        <f t="shared" si="16"/>
        <v>57589.120000000003</v>
      </c>
    </row>
    <row r="915" spans="1:11" x14ac:dyDescent="0.35">
      <c r="A915" t="s">
        <v>1116</v>
      </c>
      <c r="B915" s="1">
        <v>45086</v>
      </c>
      <c r="C915" t="s">
        <v>15</v>
      </c>
      <c r="D915" t="s">
        <v>16</v>
      </c>
      <c r="E915" t="s">
        <v>17</v>
      </c>
      <c r="F915" t="s">
        <v>29</v>
      </c>
      <c r="G915">
        <v>19</v>
      </c>
      <c r="H915" t="s">
        <v>31</v>
      </c>
      <c r="I915">
        <v>53</v>
      </c>
      <c r="J915">
        <v>3044.32</v>
      </c>
      <c r="K915">
        <f t="shared" si="16"/>
        <v>57842.080000000002</v>
      </c>
    </row>
    <row r="916" spans="1:11" x14ac:dyDescent="0.35">
      <c r="A916" t="s">
        <v>1117</v>
      </c>
      <c r="B916" s="1">
        <v>44935</v>
      </c>
      <c r="C916" t="s">
        <v>23</v>
      </c>
      <c r="D916" t="s">
        <v>24</v>
      </c>
      <c r="E916" t="s">
        <v>25</v>
      </c>
      <c r="F916" t="s">
        <v>35</v>
      </c>
      <c r="G916">
        <v>16</v>
      </c>
      <c r="H916" t="s">
        <v>31</v>
      </c>
      <c r="I916">
        <v>29</v>
      </c>
      <c r="J916">
        <v>3625.28</v>
      </c>
      <c r="K916">
        <f t="shared" si="16"/>
        <v>58004.480000000003</v>
      </c>
    </row>
    <row r="917" spans="1:11" x14ac:dyDescent="0.35">
      <c r="A917" t="s">
        <v>1118</v>
      </c>
      <c r="B917" s="1">
        <v>45166</v>
      </c>
      <c r="C917" t="s">
        <v>15</v>
      </c>
      <c r="D917" t="s">
        <v>19</v>
      </c>
      <c r="E917" t="s">
        <v>32</v>
      </c>
      <c r="F917" t="s">
        <v>29</v>
      </c>
      <c r="G917">
        <v>19</v>
      </c>
      <c r="H917" t="s">
        <v>97</v>
      </c>
      <c r="I917">
        <v>16</v>
      </c>
      <c r="J917">
        <v>3074.32</v>
      </c>
      <c r="K917">
        <f t="shared" si="16"/>
        <v>58412.08</v>
      </c>
    </row>
    <row r="918" spans="1:11" x14ac:dyDescent="0.35">
      <c r="A918" t="s">
        <v>1119</v>
      </c>
      <c r="B918" s="1">
        <v>45145</v>
      </c>
      <c r="C918" t="s">
        <v>15</v>
      </c>
      <c r="D918" t="s">
        <v>19</v>
      </c>
      <c r="E918" t="s">
        <v>22</v>
      </c>
      <c r="F918" t="s">
        <v>13</v>
      </c>
      <c r="G918">
        <v>15</v>
      </c>
      <c r="H918" t="s">
        <v>14</v>
      </c>
      <c r="I918">
        <v>25</v>
      </c>
      <c r="J918">
        <v>3897.39</v>
      </c>
      <c r="K918">
        <f t="shared" si="16"/>
        <v>58460.85</v>
      </c>
    </row>
    <row r="919" spans="1:11" x14ac:dyDescent="0.35">
      <c r="A919" t="s">
        <v>1120</v>
      </c>
      <c r="B919" s="1">
        <v>45239</v>
      </c>
      <c r="C919" t="s">
        <v>15</v>
      </c>
      <c r="D919" t="s">
        <v>19</v>
      </c>
      <c r="E919" t="s">
        <v>20</v>
      </c>
      <c r="F919" t="s">
        <v>13</v>
      </c>
      <c r="G919">
        <v>15</v>
      </c>
      <c r="H919" t="s">
        <v>37</v>
      </c>
      <c r="I919">
        <v>21</v>
      </c>
      <c r="J919">
        <v>3909.42</v>
      </c>
      <c r="K919">
        <f t="shared" si="16"/>
        <v>58641.3</v>
      </c>
    </row>
    <row r="920" spans="1:11" x14ac:dyDescent="0.35">
      <c r="A920" t="s">
        <v>1121</v>
      </c>
      <c r="B920" s="1">
        <v>45198</v>
      </c>
      <c r="C920" t="s">
        <v>15</v>
      </c>
      <c r="D920" t="s">
        <v>16</v>
      </c>
      <c r="E920" t="s">
        <v>17</v>
      </c>
      <c r="F920" t="s">
        <v>13</v>
      </c>
      <c r="G920">
        <v>14</v>
      </c>
      <c r="H920" t="s">
        <v>31</v>
      </c>
      <c r="I920">
        <v>18</v>
      </c>
      <c r="J920">
        <v>4192.8599999999997</v>
      </c>
      <c r="K920">
        <f t="shared" si="16"/>
        <v>58700.039999999994</v>
      </c>
    </row>
    <row r="921" spans="1:11" x14ac:dyDescent="0.35">
      <c r="A921" t="s">
        <v>1122</v>
      </c>
      <c r="B921" s="1">
        <v>44943</v>
      </c>
      <c r="C921" t="s">
        <v>15</v>
      </c>
      <c r="D921" t="s">
        <v>16</v>
      </c>
      <c r="E921" t="s">
        <v>43</v>
      </c>
      <c r="F921" t="s">
        <v>18</v>
      </c>
      <c r="G921">
        <v>14</v>
      </c>
      <c r="H921" t="s">
        <v>37</v>
      </c>
      <c r="I921">
        <v>42</v>
      </c>
      <c r="J921">
        <v>4200.9799999999996</v>
      </c>
      <c r="K921">
        <f t="shared" si="16"/>
        <v>58813.719999999994</v>
      </c>
    </row>
    <row r="922" spans="1:11" x14ac:dyDescent="0.35">
      <c r="A922" t="s">
        <v>1123</v>
      </c>
      <c r="B922" s="1">
        <v>45033</v>
      </c>
      <c r="C922" t="s">
        <v>23</v>
      </c>
      <c r="D922" t="s">
        <v>24</v>
      </c>
      <c r="E922" t="s">
        <v>44</v>
      </c>
      <c r="F922" t="s">
        <v>35</v>
      </c>
      <c r="G922">
        <v>13</v>
      </c>
      <c r="H922" t="s">
        <v>26</v>
      </c>
      <c r="I922">
        <v>29</v>
      </c>
      <c r="J922">
        <v>4542.74</v>
      </c>
      <c r="K922">
        <f t="shared" si="16"/>
        <v>59055.619999999995</v>
      </c>
    </row>
    <row r="923" spans="1:11" x14ac:dyDescent="0.35">
      <c r="A923" t="s">
        <v>1124</v>
      </c>
      <c r="B923" s="1">
        <v>45146</v>
      </c>
      <c r="C923" t="s">
        <v>15</v>
      </c>
      <c r="D923" t="s">
        <v>16</v>
      </c>
      <c r="E923" t="s">
        <v>34</v>
      </c>
      <c r="F923" t="s">
        <v>21</v>
      </c>
      <c r="G923">
        <v>15</v>
      </c>
      <c r="H923" t="s">
        <v>14</v>
      </c>
      <c r="I923">
        <v>48</v>
      </c>
      <c r="J923">
        <v>3943.63</v>
      </c>
      <c r="K923">
        <f t="shared" si="16"/>
        <v>59154.450000000004</v>
      </c>
    </row>
    <row r="924" spans="1:11" x14ac:dyDescent="0.35">
      <c r="A924" t="s">
        <v>1125</v>
      </c>
      <c r="B924" s="1">
        <v>45141</v>
      </c>
      <c r="C924" t="s">
        <v>23</v>
      </c>
      <c r="D924" t="s">
        <v>24</v>
      </c>
      <c r="E924" t="s">
        <v>25</v>
      </c>
      <c r="F924" t="s">
        <v>13</v>
      </c>
      <c r="G924">
        <v>18</v>
      </c>
      <c r="H924" t="s">
        <v>37</v>
      </c>
      <c r="I924">
        <v>27</v>
      </c>
      <c r="J924">
        <v>3287.05</v>
      </c>
      <c r="K924">
        <f t="shared" si="16"/>
        <v>59166.9</v>
      </c>
    </row>
    <row r="925" spans="1:11" x14ac:dyDescent="0.35">
      <c r="A925" t="s">
        <v>1126</v>
      </c>
      <c r="B925" s="1">
        <v>44934</v>
      </c>
      <c r="C925" t="s">
        <v>10</v>
      </c>
      <c r="D925" t="s">
        <v>11</v>
      </c>
      <c r="E925" t="s">
        <v>41</v>
      </c>
      <c r="F925" t="s">
        <v>13</v>
      </c>
      <c r="G925">
        <v>16</v>
      </c>
      <c r="H925" t="s">
        <v>31</v>
      </c>
      <c r="I925">
        <v>45</v>
      </c>
      <c r="J925">
        <v>3702.43</v>
      </c>
      <c r="K925">
        <f t="shared" si="16"/>
        <v>59238.879999999997</v>
      </c>
    </row>
    <row r="926" spans="1:11" x14ac:dyDescent="0.35">
      <c r="A926" t="s">
        <v>1127</v>
      </c>
      <c r="B926" s="1">
        <v>45219</v>
      </c>
      <c r="C926" t="s">
        <v>10</v>
      </c>
      <c r="D926" t="s">
        <v>11</v>
      </c>
      <c r="E926" t="s">
        <v>12</v>
      </c>
      <c r="F926" t="s">
        <v>13</v>
      </c>
      <c r="G926">
        <v>17</v>
      </c>
      <c r="H926" t="s">
        <v>33</v>
      </c>
      <c r="I926">
        <v>52</v>
      </c>
      <c r="J926">
        <v>3490.72</v>
      </c>
      <c r="K926">
        <f t="shared" si="16"/>
        <v>59342.239999999998</v>
      </c>
    </row>
    <row r="927" spans="1:11" x14ac:dyDescent="0.35">
      <c r="A927" t="s">
        <v>1128</v>
      </c>
      <c r="B927" s="1">
        <v>45201</v>
      </c>
      <c r="C927" t="s">
        <v>15</v>
      </c>
      <c r="D927" t="s">
        <v>16</v>
      </c>
      <c r="E927" t="s">
        <v>34</v>
      </c>
      <c r="F927" t="s">
        <v>29</v>
      </c>
      <c r="G927">
        <v>12</v>
      </c>
      <c r="H927" t="s">
        <v>195</v>
      </c>
      <c r="I927">
        <v>53</v>
      </c>
      <c r="J927">
        <v>4945.7700000000004</v>
      </c>
      <c r="K927">
        <f t="shared" si="16"/>
        <v>59349.240000000005</v>
      </c>
    </row>
    <row r="928" spans="1:11" x14ac:dyDescent="0.35">
      <c r="A928" t="s">
        <v>1129</v>
      </c>
      <c r="B928" s="1">
        <v>44980</v>
      </c>
      <c r="C928" t="s">
        <v>15</v>
      </c>
      <c r="D928" t="s">
        <v>16</v>
      </c>
      <c r="E928" t="s">
        <v>34</v>
      </c>
      <c r="F928" t="s">
        <v>21</v>
      </c>
      <c r="G928">
        <v>12</v>
      </c>
      <c r="H928" t="s">
        <v>30</v>
      </c>
      <c r="I928">
        <v>53</v>
      </c>
      <c r="J928">
        <v>4964.87</v>
      </c>
      <c r="K928">
        <f t="shared" si="16"/>
        <v>59578.44</v>
      </c>
    </row>
    <row r="929" spans="1:11" x14ac:dyDescent="0.35">
      <c r="A929" t="s">
        <v>1130</v>
      </c>
      <c r="B929" s="1">
        <v>45167</v>
      </c>
      <c r="C929" t="s">
        <v>15</v>
      </c>
      <c r="D929" t="s">
        <v>16</v>
      </c>
      <c r="E929" t="s">
        <v>43</v>
      </c>
      <c r="F929" t="s">
        <v>29</v>
      </c>
      <c r="G929">
        <v>13</v>
      </c>
      <c r="H929" t="s">
        <v>36</v>
      </c>
      <c r="I929">
        <v>50</v>
      </c>
      <c r="J929">
        <v>4650.74</v>
      </c>
      <c r="K929">
        <f t="shared" si="16"/>
        <v>60459.619999999995</v>
      </c>
    </row>
    <row r="930" spans="1:11" x14ac:dyDescent="0.35">
      <c r="A930" t="s">
        <v>1131</v>
      </c>
      <c r="B930" s="1">
        <v>45012</v>
      </c>
      <c r="C930" t="s">
        <v>23</v>
      </c>
      <c r="D930" t="s">
        <v>24</v>
      </c>
      <c r="E930" t="s">
        <v>45</v>
      </c>
      <c r="F930" t="s">
        <v>21</v>
      </c>
      <c r="G930">
        <v>16</v>
      </c>
      <c r="H930" t="s">
        <v>97</v>
      </c>
      <c r="I930">
        <v>51</v>
      </c>
      <c r="J930">
        <v>3788.36</v>
      </c>
      <c r="K930">
        <f t="shared" si="16"/>
        <v>60613.760000000002</v>
      </c>
    </row>
    <row r="931" spans="1:11" x14ac:dyDescent="0.35">
      <c r="A931" t="s">
        <v>1132</v>
      </c>
      <c r="B931" s="1">
        <v>45141</v>
      </c>
      <c r="C931" t="s">
        <v>23</v>
      </c>
      <c r="D931" t="s">
        <v>24</v>
      </c>
      <c r="E931" t="s">
        <v>45</v>
      </c>
      <c r="F931" t="s">
        <v>21</v>
      </c>
      <c r="G931">
        <v>16</v>
      </c>
      <c r="H931" t="s">
        <v>14</v>
      </c>
      <c r="I931">
        <v>37</v>
      </c>
      <c r="J931">
        <v>3836.1</v>
      </c>
      <c r="K931">
        <f t="shared" si="16"/>
        <v>61377.599999999999</v>
      </c>
    </row>
    <row r="932" spans="1:11" x14ac:dyDescent="0.35">
      <c r="A932" t="s">
        <v>1133</v>
      </c>
      <c r="B932" s="1">
        <v>44999</v>
      </c>
      <c r="C932" t="s">
        <v>23</v>
      </c>
      <c r="D932" t="s">
        <v>24</v>
      </c>
      <c r="E932" t="s">
        <v>25</v>
      </c>
      <c r="F932" t="s">
        <v>13</v>
      </c>
      <c r="G932">
        <v>20</v>
      </c>
      <c r="H932" t="s">
        <v>97</v>
      </c>
      <c r="I932">
        <v>40</v>
      </c>
      <c r="J932">
        <v>3069.92</v>
      </c>
      <c r="K932">
        <f t="shared" si="16"/>
        <v>61398.400000000001</v>
      </c>
    </row>
    <row r="933" spans="1:11" x14ac:dyDescent="0.35">
      <c r="A933" t="s">
        <v>1134</v>
      </c>
      <c r="B933" s="1">
        <v>45095</v>
      </c>
      <c r="C933" t="s">
        <v>10</v>
      </c>
      <c r="D933" t="s">
        <v>11</v>
      </c>
      <c r="E933" t="s">
        <v>12</v>
      </c>
      <c r="F933" t="s">
        <v>35</v>
      </c>
      <c r="G933">
        <v>14</v>
      </c>
      <c r="H933" t="s">
        <v>195</v>
      </c>
      <c r="I933">
        <v>34</v>
      </c>
      <c r="J933">
        <v>4428</v>
      </c>
      <c r="K933">
        <f t="shared" si="16"/>
        <v>61992</v>
      </c>
    </row>
    <row r="934" spans="1:11" x14ac:dyDescent="0.35">
      <c r="A934" t="s">
        <v>1135</v>
      </c>
      <c r="B934" s="1">
        <v>45268</v>
      </c>
      <c r="C934" t="s">
        <v>15</v>
      </c>
      <c r="D934" t="s">
        <v>16</v>
      </c>
      <c r="E934" t="s">
        <v>43</v>
      </c>
      <c r="F934" t="s">
        <v>21</v>
      </c>
      <c r="G934">
        <v>16</v>
      </c>
      <c r="H934" t="s">
        <v>14</v>
      </c>
      <c r="I934">
        <v>30</v>
      </c>
      <c r="J934">
        <v>3895.18</v>
      </c>
      <c r="K934">
        <f t="shared" si="16"/>
        <v>62322.879999999997</v>
      </c>
    </row>
    <row r="935" spans="1:11" x14ac:dyDescent="0.35">
      <c r="A935" t="s">
        <v>1136</v>
      </c>
      <c r="B935" s="1">
        <v>45266</v>
      </c>
      <c r="C935" t="s">
        <v>15</v>
      </c>
      <c r="D935" t="s">
        <v>16</v>
      </c>
      <c r="E935" t="s">
        <v>17</v>
      </c>
      <c r="F935" t="s">
        <v>35</v>
      </c>
      <c r="G935">
        <v>16</v>
      </c>
      <c r="H935" t="s">
        <v>33</v>
      </c>
      <c r="I935">
        <v>54</v>
      </c>
      <c r="J935">
        <v>3897.57</v>
      </c>
      <c r="K935">
        <f t="shared" si="16"/>
        <v>62361.120000000003</v>
      </c>
    </row>
    <row r="936" spans="1:11" x14ac:dyDescent="0.35">
      <c r="A936" t="s">
        <v>1137</v>
      </c>
      <c r="B936" s="1">
        <v>45213</v>
      </c>
      <c r="C936" t="s">
        <v>23</v>
      </c>
      <c r="D936" t="s">
        <v>24</v>
      </c>
      <c r="E936" t="s">
        <v>25</v>
      </c>
      <c r="F936" t="s">
        <v>21</v>
      </c>
      <c r="G936">
        <v>14</v>
      </c>
      <c r="H936" t="s">
        <v>31</v>
      </c>
      <c r="I936">
        <v>23</v>
      </c>
      <c r="J936">
        <v>4457.21</v>
      </c>
      <c r="K936">
        <f t="shared" si="16"/>
        <v>62400.94</v>
      </c>
    </row>
    <row r="937" spans="1:11" x14ac:dyDescent="0.35">
      <c r="A937" t="s">
        <v>1138</v>
      </c>
      <c r="B937" s="1">
        <v>45614</v>
      </c>
      <c r="C937" t="s">
        <v>23</v>
      </c>
      <c r="D937" t="s">
        <v>24</v>
      </c>
      <c r="E937" t="s">
        <v>25</v>
      </c>
      <c r="F937" t="s">
        <v>21</v>
      </c>
      <c r="G937">
        <v>14</v>
      </c>
      <c r="H937" t="s">
        <v>28</v>
      </c>
      <c r="I937">
        <v>23</v>
      </c>
      <c r="J937">
        <v>4457.21</v>
      </c>
      <c r="K937">
        <f t="shared" si="16"/>
        <v>62400.94</v>
      </c>
    </row>
    <row r="938" spans="1:11" x14ac:dyDescent="0.35">
      <c r="A938" t="s">
        <v>1139</v>
      </c>
      <c r="B938" s="1">
        <v>45116</v>
      </c>
      <c r="C938" t="s">
        <v>23</v>
      </c>
      <c r="D938" t="s">
        <v>24</v>
      </c>
      <c r="E938" t="s">
        <v>25</v>
      </c>
      <c r="F938" t="s">
        <v>18</v>
      </c>
      <c r="G938">
        <v>17</v>
      </c>
      <c r="H938" t="s">
        <v>26</v>
      </c>
      <c r="I938">
        <v>36</v>
      </c>
      <c r="J938">
        <v>3679.89</v>
      </c>
      <c r="K938">
        <f t="shared" si="16"/>
        <v>62558.13</v>
      </c>
    </row>
    <row r="939" spans="1:11" x14ac:dyDescent="0.35">
      <c r="A939" t="s">
        <v>1140</v>
      </c>
      <c r="B939" s="1">
        <v>44981</v>
      </c>
      <c r="C939" t="s">
        <v>15</v>
      </c>
      <c r="D939" t="s">
        <v>16</v>
      </c>
      <c r="E939" t="s">
        <v>43</v>
      </c>
      <c r="F939" t="s">
        <v>21</v>
      </c>
      <c r="G939">
        <v>16</v>
      </c>
      <c r="H939" t="s">
        <v>96</v>
      </c>
      <c r="I939">
        <v>30</v>
      </c>
      <c r="J939">
        <v>3931.95</v>
      </c>
      <c r="K939">
        <f t="shared" si="16"/>
        <v>62911.199999999997</v>
      </c>
    </row>
    <row r="940" spans="1:11" x14ac:dyDescent="0.35">
      <c r="A940" t="s">
        <v>1141</v>
      </c>
      <c r="B940" s="1">
        <v>45023</v>
      </c>
      <c r="C940" t="s">
        <v>10</v>
      </c>
      <c r="D940" t="s">
        <v>11</v>
      </c>
      <c r="E940" t="s">
        <v>12</v>
      </c>
      <c r="F940" t="s">
        <v>13</v>
      </c>
      <c r="G940">
        <v>13</v>
      </c>
      <c r="H940" t="s">
        <v>26</v>
      </c>
      <c r="I940">
        <v>53</v>
      </c>
      <c r="J940">
        <v>4850.17</v>
      </c>
      <c r="K940">
        <f t="shared" si="16"/>
        <v>63052.21</v>
      </c>
    </row>
    <row r="941" spans="1:11" x14ac:dyDescent="0.35">
      <c r="A941" t="s">
        <v>1142</v>
      </c>
      <c r="B941" s="1">
        <v>45170</v>
      </c>
      <c r="C941" t="s">
        <v>10</v>
      </c>
      <c r="D941" t="s">
        <v>38</v>
      </c>
      <c r="E941" t="s">
        <v>40</v>
      </c>
      <c r="F941" t="s">
        <v>21</v>
      </c>
      <c r="G941">
        <v>19</v>
      </c>
      <c r="H941" t="s">
        <v>195</v>
      </c>
      <c r="I941">
        <v>25</v>
      </c>
      <c r="J941">
        <v>3326.91</v>
      </c>
      <c r="K941">
        <f t="shared" si="16"/>
        <v>63211.289999999994</v>
      </c>
    </row>
    <row r="942" spans="1:11" x14ac:dyDescent="0.35">
      <c r="A942" t="s">
        <v>1143</v>
      </c>
      <c r="B942" s="1">
        <v>45161</v>
      </c>
      <c r="C942" t="s">
        <v>15</v>
      </c>
      <c r="D942" t="s">
        <v>19</v>
      </c>
      <c r="E942" t="s">
        <v>32</v>
      </c>
      <c r="F942" t="s">
        <v>35</v>
      </c>
      <c r="G942">
        <v>19</v>
      </c>
      <c r="H942" t="s">
        <v>30</v>
      </c>
      <c r="I942">
        <v>17</v>
      </c>
      <c r="J942">
        <v>3336.46</v>
      </c>
      <c r="K942">
        <f t="shared" si="16"/>
        <v>63392.74</v>
      </c>
    </row>
    <row r="943" spans="1:11" x14ac:dyDescent="0.35">
      <c r="A943" t="s">
        <v>1144</v>
      </c>
      <c r="B943" s="1">
        <v>44942</v>
      </c>
      <c r="C943" t="s">
        <v>10</v>
      </c>
      <c r="D943" t="s">
        <v>38</v>
      </c>
      <c r="E943" t="s">
        <v>40</v>
      </c>
      <c r="F943" t="s">
        <v>29</v>
      </c>
      <c r="G943">
        <v>18</v>
      </c>
      <c r="H943" t="s">
        <v>30</v>
      </c>
      <c r="I943">
        <v>44</v>
      </c>
      <c r="J943">
        <v>3524.11</v>
      </c>
      <c r="K943">
        <f t="shared" si="16"/>
        <v>63433.98</v>
      </c>
    </row>
    <row r="944" spans="1:11" x14ac:dyDescent="0.35">
      <c r="A944" t="s">
        <v>1145</v>
      </c>
      <c r="B944" s="1">
        <v>45239</v>
      </c>
      <c r="C944" t="s">
        <v>15</v>
      </c>
      <c r="D944" t="s">
        <v>16</v>
      </c>
      <c r="E944" t="s">
        <v>43</v>
      </c>
      <c r="F944" t="s">
        <v>13</v>
      </c>
      <c r="G944">
        <v>16</v>
      </c>
      <c r="H944" t="s">
        <v>37</v>
      </c>
      <c r="I944">
        <v>24</v>
      </c>
      <c r="J944">
        <v>3981.76</v>
      </c>
      <c r="K944">
        <f t="shared" si="16"/>
        <v>63708.160000000003</v>
      </c>
    </row>
    <row r="945" spans="1:11" x14ac:dyDescent="0.35">
      <c r="A945" t="s">
        <v>1146</v>
      </c>
      <c r="B945" s="1">
        <v>45200</v>
      </c>
      <c r="C945" t="s">
        <v>10</v>
      </c>
      <c r="D945" t="s">
        <v>11</v>
      </c>
      <c r="E945" t="s">
        <v>27</v>
      </c>
      <c r="F945" t="s">
        <v>29</v>
      </c>
      <c r="G945">
        <v>16</v>
      </c>
      <c r="H945" t="s">
        <v>31</v>
      </c>
      <c r="I945">
        <v>34</v>
      </c>
      <c r="J945">
        <v>3988.32</v>
      </c>
      <c r="K945">
        <f t="shared" si="16"/>
        <v>63813.120000000003</v>
      </c>
    </row>
    <row r="946" spans="1:11" x14ac:dyDescent="0.35">
      <c r="A946" t="s">
        <v>1147</v>
      </c>
      <c r="B946" s="1">
        <v>45035</v>
      </c>
      <c r="C946" t="s">
        <v>15</v>
      </c>
      <c r="D946" t="s">
        <v>19</v>
      </c>
      <c r="E946" t="s">
        <v>22</v>
      </c>
      <c r="F946" t="s">
        <v>29</v>
      </c>
      <c r="G946">
        <v>13</v>
      </c>
      <c r="H946" t="s">
        <v>26</v>
      </c>
      <c r="I946">
        <v>55</v>
      </c>
      <c r="J946">
        <v>4911.57</v>
      </c>
      <c r="K946">
        <f t="shared" si="16"/>
        <v>63850.409999999996</v>
      </c>
    </row>
    <row r="947" spans="1:11" x14ac:dyDescent="0.35">
      <c r="A947" t="s">
        <v>1148</v>
      </c>
      <c r="B947" s="1">
        <v>45026</v>
      </c>
      <c r="C947" t="s">
        <v>15</v>
      </c>
      <c r="D947" t="s">
        <v>16</v>
      </c>
      <c r="E947" t="s">
        <v>43</v>
      </c>
      <c r="F947" t="s">
        <v>21</v>
      </c>
      <c r="G947">
        <v>15</v>
      </c>
      <c r="H947" t="s">
        <v>14</v>
      </c>
      <c r="I947">
        <v>51</v>
      </c>
      <c r="J947">
        <v>4262.53</v>
      </c>
      <c r="K947">
        <f t="shared" si="16"/>
        <v>63937.95</v>
      </c>
    </row>
    <row r="948" spans="1:11" x14ac:dyDescent="0.35">
      <c r="A948" t="s">
        <v>1149</v>
      </c>
      <c r="B948" s="1">
        <v>45069</v>
      </c>
      <c r="C948" t="s">
        <v>15</v>
      </c>
      <c r="D948" t="s">
        <v>16</v>
      </c>
      <c r="E948" t="s">
        <v>17</v>
      </c>
      <c r="F948" t="s">
        <v>21</v>
      </c>
      <c r="G948">
        <v>15</v>
      </c>
      <c r="H948" t="s">
        <v>96</v>
      </c>
      <c r="I948">
        <v>27</v>
      </c>
      <c r="J948">
        <v>4269.32</v>
      </c>
      <c r="K948">
        <f t="shared" si="16"/>
        <v>64039.799999999996</v>
      </c>
    </row>
    <row r="949" spans="1:11" x14ac:dyDescent="0.35">
      <c r="A949" t="s">
        <v>1150</v>
      </c>
      <c r="B949" s="1">
        <v>44942</v>
      </c>
      <c r="C949" t="s">
        <v>10</v>
      </c>
      <c r="D949" t="s">
        <v>38</v>
      </c>
      <c r="E949" t="s">
        <v>42</v>
      </c>
      <c r="F949" t="s">
        <v>35</v>
      </c>
      <c r="G949">
        <v>18</v>
      </c>
      <c r="H949" t="s">
        <v>31</v>
      </c>
      <c r="I949">
        <v>49</v>
      </c>
      <c r="J949">
        <v>3561.06</v>
      </c>
      <c r="K949">
        <f t="shared" si="16"/>
        <v>64099.08</v>
      </c>
    </row>
    <row r="950" spans="1:11" x14ac:dyDescent="0.35">
      <c r="A950" t="s">
        <v>1151</v>
      </c>
      <c r="B950" s="1">
        <v>45055</v>
      </c>
      <c r="C950" t="s">
        <v>10</v>
      </c>
      <c r="D950" t="s">
        <v>11</v>
      </c>
      <c r="E950" t="s">
        <v>27</v>
      </c>
      <c r="F950" t="s">
        <v>35</v>
      </c>
      <c r="G950">
        <v>19</v>
      </c>
      <c r="H950" t="s">
        <v>14</v>
      </c>
      <c r="I950">
        <v>22</v>
      </c>
      <c r="J950">
        <v>3374.33</v>
      </c>
      <c r="K950">
        <f t="shared" si="16"/>
        <v>64112.27</v>
      </c>
    </row>
    <row r="951" spans="1:11" x14ac:dyDescent="0.35">
      <c r="A951" t="s">
        <v>1152</v>
      </c>
      <c r="B951" s="1">
        <v>45023</v>
      </c>
      <c r="C951" t="s">
        <v>15</v>
      </c>
      <c r="D951" t="s">
        <v>19</v>
      </c>
      <c r="E951" t="s">
        <v>32</v>
      </c>
      <c r="F951" t="s">
        <v>13</v>
      </c>
      <c r="G951">
        <v>17</v>
      </c>
      <c r="H951" t="s">
        <v>36</v>
      </c>
      <c r="I951">
        <v>16</v>
      </c>
      <c r="J951">
        <v>3771.79</v>
      </c>
      <c r="K951">
        <f t="shared" si="16"/>
        <v>64120.43</v>
      </c>
    </row>
    <row r="952" spans="1:11" x14ac:dyDescent="0.35">
      <c r="A952" t="s">
        <v>1153</v>
      </c>
      <c r="B952" s="1">
        <v>45181</v>
      </c>
      <c r="C952" t="s">
        <v>10</v>
      </c>
      <c r="D952" t="s">
        <v>38</v>
      </c>
      <c r="E952" t="s">
        <v>39</v>
      </c>
      <c r="F952" t="s">
        <v>29</v>
      </c>
      <c r="G952">
        <v>17</v>
      </c>
      <c r="H952" t="s">
        <v>26</v>
      </c>
      <c r="I952">
        <v>54</v>
      </c>
      <c r="J952">
        <v>3791.82</v>
      </c>
      <c r="K952">
        <f t="shared" si="16"/>
        <v>64460.94</v>
      </c>
    </row>
    <row r="953" spans="1:11" x14ac:dyDescent="0.35">
      <c r="A953" t="s">
        <v>1154</v>
      </c>
      <c r="B953" s="1">
        <v>45289</v>
      </c>
      <c r="C953" t="s">
        <v>10</v>
      </c>
      <c r="D953" t="s">
        <v>11</v>
      </c>
      <c r="E953" t="s">
        <v>41</v>
      </c>
      <c r="F953" t="s">
        <v>13</v>
      </c>
      <c r="G953">
        <v>13</v>
      </c>
      <c r="H953" t="s">
        <v>28</v>
      </c>
      <c r="I953">
        <v>41</v>
      </c>
      <c r="J953">
        <v>4985.82</v>
      </c>
      <c r="K953">
        <f t="shared" si="16"/>
        <v>64815.659999999996</v>
      </c>
    </row>
    <row r="954" spans="1:11" x14ac:dyDescent="0.35">
      <c r="A954" t="s">
        <v>1155</v>
      </c>
      <c r="B954" s="1">
        <v>45648</v>
      </c>
      <c r="C954" t="s">
        <v>10</v>
      </c>
      <c r="D954" t="s">
        <v>11</v>
      </c>
      <c r="E954" t="s">
        <v>41</v>
      </c>
      <c r="F954" t="s">
        <v>13</v>
      </c>
      <c r="G954">
        <v>13</v>
      </c>
      <c r="H954" t="s">
        <v>28</v>
      </c>
      <c r="I954">
        <v>41</v>
      </c>
      <c r="J954">
        <v>4985.82</v>
      </c>
      <c r="K954">
        <f t="shared" si="16"/>
        <v>64815.659999999996</v>
      </c>
    </row>
    <row r="955" spans="1:11" x14ac:dyDescent="0.35">
      <c r="A955" t="s">
        <v>1156</v>
      </c>
      <c r="B955" s="1">
        <v>45214</v>
      </c>
      <c r="C955" t="s">
        <v>10</v>
      </c>
      <c r="D955" t="s">
        <v>38</v>
      </c>
      <c r="E955" t="s">
        <v>39</v>
      </c>
      <c r="F955" t="s">
        <v>29</v>
      </c>
      <c r="G955">
        <v>18</v>
      </c>
      <c r="H955" t="s">
        <v>195</v>
      </c>
      <c r="I955">
        <v>16</v>
      </c>
      <c r="J955">
        <v>3602.65</v>
      </c>
      <c r="K955">
        <f t="shared" si="16"/>
        <v>64847.700000000004</v>
      </c>
    </row>
    <row r="956" spans="1:11" x14ac:dyDescent="0.35">
      <c r="A956" t="s">
        <v>1157</v>
      </c>
      <c r="B956" s="1">
        <v>45141</v>
      </c>
      <c r="C956" t="s">
        <v>23</v>
      </c>
      <c r="D956" t="s">
        <v>24</v>
      </c>
      <c r="E956" t="s">
        <v>44</v>
      </c>
      <c r="F956" t="s">
        <v>13</v>
      </c>
      <c r="G956">
        <v>18</v>
      </c>
      <c r="H956" t="s">
        <v>26</v>
      </c>
      <c r="I956">
        <v>21</v>
      </c>
      <c r="J956">
        <v>3614.6</v>
      </c>
      <c r="K956">
        <f t="shared" si="16"/>
        <v>65062.799999999996</v>
      </c>
    </row>
    <row r="957" spans="1:11" x14ac:dyDescent="0.35">
      <c r="A957" t="s">
        <v>1158</v>
      </c>
      <c r="B957" s="1">
        <v>45125</v>
      </c>
      <c r="C957" t="s">
        <v>10</v>
      </c>
      <c r="D957" t="s">
        <v>11</v>
      </c>
      <c r="E957" t="s">
        <v>12</v>
      </c>
      <c r="F957" t="s">
        <v>29</v>
      </c>
      <c r="G957">
        <v>14</v>
      </c>
      <c r="H957" t="s">
        <v>195</v>
      </c>
      <c r="I957">
        <v>44</v>
      </c>
      <c r="J957">
        <v>4649.53</v>
      </c>
      <c r="K957">
        <f t="shared" si="16"/>
        <v>65093.42</v>
      </c>
    </row>
    <row r="958" spans="1:11" x14ac:dyDescent="0.35">
      <c r="A958" t="s">
        <v>1159</v>
      </c>
      <c r="B958" s="1">
        <v>45628</v>
      </c>
      <c r="C958" t="s">
        <v>10</v>
      </c>
      <c r="D958" t="s">
        <v>11</v>
      </c>
      <c r="E958" t="s">
        <v>12</v>
      </c>
      <c r="F958" t="s">
        <v>29</v>
      </c>
      <c r="G958">
        <v>14</v>
      </c>
      <c r="H958" t="s">
        <v>195</v>
      </c>
      <c r="I958">
        <v>44</v>
      </c>
      <c r="J958">
        <v>4649.53</v>
      </c>
      <c r="K958">
        <f t="shared" si="16"/>
        <v>65093.42</v>
      </c>
    </row>
    <row r="959" spans="1:11" x14ac:dyDescent="0.35">
      <c r="A959" t="s">
        <v>1160</v>
      </c>
      <c r="B959" s="1">
        <v>44946</v>
      </c>
      <c r="C959" t="s">
        <v>15</v>
      </c>
      <c r="D959" t="s">
        <v>19</v>
      </c>
      <c r="E959" t="s">
        <v>22</v>
      </c>
      <c r="F959" t="s">
        <v>13</v>
      </c>
      <c r="G959">
        <v>20</v>
      </c>
      <c r="H959" t="s">
        <v>28</v>
      </c>
      <c r="I959">
        <v>42</v>
      </c>
      <c r="J959">
        <v>3280.87</v>
      </c>
      <c r="K959">
        <f t="shared" si="16"/>
        <v>65617.399999999994</v>
      </c>
    </row>
    <row r="960" spans="1:11" x14ac:dyDescent="0.35">
      <c r="A960" t="s">
        <v>1161</v>
      </c>
      <c r="B960" s="1">
        <v>45088</v>
      </c>
      <c r="C960" t="s">
        <v>23</v>
      </c>
      <c r="D960" t="s">
        <v>24</v>
      </c>
      <c r="E960" t="s">
        <v>45</v>
      </c>
      <c r="F960" t="s">
        <v>18</v>
      </c>
      <c r="G960">
        <v>17</v>
      </c>
      <c r="H960" t="s">
        <v>37</v>
      </c>
      <c r="I960">
        <v>20</v>
      </c>
      <c r="J960">
        <v>3878.66</v>
      </c>
      <c r="K960">
        <f t="shared" si="16"/>
        <v>65937.22</v>
      </c>
    </row>
    <row r="961" spans="1:11" x14ac:dyDescent="0.35">
      <c r="A961" t="s">
        <v>1162</v>
      </c>
      <c r="B961" s="1">
        <v>45290</v>
      </c>
      <c r="C961" t="s">
        <v>15</v>
      </c>
      <c r="D961" t="s">
        <v>16</v>
      </c>
      <c r="E961" t="s">
        <v>34</v>
      </c>
      <c r="F961" t="s">
        <v>29</v>
      </c>
      <c r="G961">
        <v>15</v>
      </c>
      <c r="H961" t="s">
        <v>37</v>
      </c>
      <c r="I961">
        <v>55</v>
      </c>
      <c r="J961">
        <v>4402.43</v>
      </c>
      <c r="K961">
        <f t="shared" si="16"/>
        <v>66036.450000000012</v>
      </c>
    </row>
    <row r="962" spans="1:11" x14ac:dyDescent="0.35">
      <c r="A962" t="s">
        <v>1163</v>
      </c>
      <c r="B962" s="1">
        <v>45630</v>
      </c>
      <c r="C962" t="s">
        <v>15</v>
      </c>
      <c r="D962" t="s">
        <v>16</v>
      </c>
      <c r="E962" t="s">
        <v>34</v>
      </c>
      <c r="F962" t="s">
        <v>29</v>
      </c>
      <c r="G962">
        <v>15</v>
      </c>
      <c r="H962" t="s">
        <v>28</v>
      </c>
      <c r="I962">
        <v>55</v>
      </c>
      <c r="J962">
        <v>4402.43</v>
      </c>
      <c r="K962">
        <f t="shared" ref="K962:K1025" si="17">G962*J962</f>
        <v>66036.450000000012</v>
      </c>
    </row>
    <row r="963" spans="1:11" x14ac:dyDescent="0.35">
      <c r="A963" t="s">
        <v>1164</v>
      </c>
      <c r="B963" s="1">
        <v>45171</v>
      </c>
      <c r="C963" t="s">
        <v>15</v>
      </c>
      <c r="D963" t="s">
        <v>19</v>
      </c>
      <c r="E963" t="s">
        <v>22</v>
      </c>
      <c r="F963" t="s">
        <v>29</v>
      </c>
      <c r="G963">
        <v>15</v>
      </c>
      <c r="H963" t="s">
        <v>37</v>
      </c>
      <c r="I963">
        <v>19</v>
      </c>
      <c r="J963">
        <v>4426.4399999999996</v>
      </c>
      <c r="K963">
        <f t="shared" si="17"/>
        <v>66396.599999999991</v>
      </c>
    </row>
    <row r="964" spans="1:11" x14ac:dyDescent="0.35">
      <c r="A964" t="s">
        <v>1165</v>
      </c>
      <c r="B964" s="1">
        <v>45131</v>
      </c>
      <c r="C964" t="s">
        <v>15</v>
      </c>
      <c r="D964" t="s">
        <v>19</v>
      </c>
      <c r="E964" t="s">
        <v>32</v>
      </c>
      <c r="F964" t="s">
        <v>18</v>
      </c>
      <c r="G964">
        <v>20</v>
      </c>
      <c r="H964" t="s">
        <v>96</v>
      </c>
      <c r="I964">
        <v>44</v>
      </c>
      <c r="J964">
        <v>3331.04</v>
      </c>
      <c r="K964">
        <f t="shared" si="17"/>
        <v>66620.800000000003</v>
      </c>
    </row>
    <row r="965" spans="1:11" x14ac:dyDescent="0.35">
      <c r="A965" t="s">
        <v>1166</v>
      </c>
      <c r="B965" s="1">
        <v>45193</v>
      </c>
      <c r="C965" t="s">
        <v>15</v>
      </c>
      <c r="D965" t="s">
        <v>19</v>
      </c>
      <c r="E965" t="s">
        <v>22</v>
      </c>
      <c r="F965" t="s">
        <v>35</v>
      </c>
      <c r="G965">
        <v>17</v>
      </c>
      <c r="H965" t="s">
        <v>97</v>
      </c>
      <c r="I965">
        <v>32</v>
      </c>
      <c r="J965">
        <v>3933.92</v>
      </c>
      <c r="K965">
        <f t="shared" si="17"/>
        <v>66876.639999999999</v>
      </c>
    </row>
    <row r="966" spans="1:11" x14ac:dyDescent="0.35">
      <c r="A966" t="s">
        <v>1167</v>
      </c>
      <c r="B966" s="1">
        <v>45201</v>
      </c>
      <c r="C966" t="s">
        <v>10</v>
      </c>
      <c r="D966" t="s">
        <v>38</v>
      </c>
      <c r="E966" t="s">
        <v>39</v>
      </c>
      <c r="F966" t="s">
        <v>29</v>
      </c>
      <c r="G966">
        <v>17</v>
      </c>
      <c r="H966" t="s">
        <v>96</v>
      </c>
      <c r="I966">
        <v>33</v>
      </c>
      <c r="J966">
        <v>3971.7</v>
      </c>
      <c r="K966">
        <f t="shared" si="17"/>
        <v>67518.899999999994</v>
      </c>
    </row>
    <row r="967" spans="1:11" x14ac:dyDescent="0.35">
      <c r="A967" t="s">
        <v>1168</v>
      </c>
      <c r="B967" s="1">
        <v>45266</v>
      </c>
      <c r="C967" t="s">
        <v>10</v>
      </c>
      <c r="D967" t="s">
        <v>38</v>
      </c>
      <c r="E967" t="s">
        <v>40</v>
      </c>
      <c r="F967" t="s">
        <v>29</v>
      </c>
      <c r="G967">
        <v>14</v>
      </c>
      <c r="H967" t="s">
        <v>96</v>
      </c>
      <c r="I967">
        <v>46</v>
      </c>
      <c r="J967">
        <v>4839.1099999999997</v>
      </c>
      <c r="K967">
        <f t="shared" si="17"/>
        <v>67747.539999999994</v>
      </c>
    </row>
    <row r="968" spans="1:11" x14ac:dyDescent="0.35">
      <c r="A968" t="s">
        <v>1169</v>
      </c>
      <c r="B968" s="1">
        <v>45226</v>
      </c>
      <c r="C968" t="s">
        <v>15</v>
      </c>
      <c r="D968" t="s">
        <v>16</v>
      </c>
      <c r="E968" t="s">
        <v>17</v>
      </c>
      <c r="F968" t="s">
        <v>13</v>
      </c>
      <c r="G968">
        <v>15</v>
      </c>
      <c r="H968" t="s">
        <v>195</v>
      </c>
      <c r="I968">
        <v>20</v>
      </c>
      <c r="J968">
        <v>4545.26</v>
      </c>
      <c r="K968">
        <f t="shared" si="17"/>
        <v>68178.900000000009</v>
      </c>
    </row>
    <row r="969" spans="1:11" x14ac:dyDescent="0.35">
      <c r="A969" t="s">
        <v>1170</v>
      </c>
      <c r="B969" s="1">
        <v>45127</v>
      </c>
      <c r="C969" t="s">
        <v>15</v>
      </c>
      <c r="D969" t="s">
        <v>16</v>
      </c>
      <c r="E969" t="s">
        <v>43</v>
      </c>
      <c r="F969" t="s">
        <v>35</v>
      </c>
      <c r="G969">
        <v>14</v>
      </c>
      <c r="H969" t="s">
        <v>33</v>
      </c>
      <c r="I969">
        <v>16</v>
      </c>
      <c r="J969">
        <v>4894.84</v>
      </c>
      <c r="K969">
        <f t="shared" si="17"/>
        <v>68527.760000000009</v>
      </c>
    </row>
    <row r="970" spans="1:11" x14ac:dyDescent="0.35">
      <c r="A970" t="s">
        <v>1171</v>
      </c>
      <c r="B970" s="1">
        <v>45177</v>
      </c>
      <c r="C970" t="s">
        <v>23</v>
      </c>
      <c r="D970" t="s">
        <v>24</v>
      </c>
      <c r="E970" t="s">
        <v>25</v>
      </c>
      <c r="F970" t="s">
        <v>29</v>
      </c>
      <c r="G970">
        <v>17</v>
      </c>
      <c r="H970" t="s">
        <v>30</v>
      </c>
      <c r="I970">
        <v>49</v>
      </c>
      <c r="J970">
        <v>4033.84</v>
      </c>
      <c r="K970">
        <f t="shared" si="17"/>
        <v>68575.28</v>
      </c>
    </row>
    <row r="971" spans="1:11" x14ac:dyDescent="0.35">
      <c r="A971" t="s">
        <v>1172</v>
      </c>
      <c r="B971" s="1">
        <v>45128</v>
      </c>
      <c r="C971" t="s">
        <v>15</v>
      </c>
      <c r="D971" t="s">
        <v>19</v>
      </c>
      <c r="E971" t="s">
        <v>32</v>
      </c>
      <c r="F971" t="s">
        <v>18</v>
      </c>
      <c r="G971">
        <v>15</v>
      </c>
      <c r="H971" t="s">
        <v>30</v>
      </c>
      <c r="I971">
        <v>30</v>
      </c>
      <c r="J971">
        <v>4579.29</v>
      </c>
      <c r="K971">
        <f t="shared" si="17"/>
        <v>68689.350000000006</v>
      </c>
    </row>
    <row r="972" spans="1:11" x14ac:dyDescent="0.35">
      <c r="A972" t="s">
        <v>1173</v>
      </c>
      <c r="B972" s="1">
        <v>45159</v>
      </c>
      <c r="C972" t="s">
        <v>23</v>
      </c>
      <c r="D972" t="s">
        <v>24</v>
      </c>
      <c r="E972" t="s">
        <v>45</v>
      </c>
      <c r="F972" t="s">
        <v>35</v>
      </c>
      <c r="G972">
        <v>20</v>
      </c>
      <c r="H972" t="s">
        <v>14</v>
      </c>
      <c r="I972">
        <v>19</v>
      </c>
      <c r="J972">
        <v>3438.25</v>
      </c>
      <c r="K972">
        <f t="shared" si="17"/>
        <v>68765</v>
      </c>
    </row>
    <row r="973" spans="1:11" x14ac:dyDescent="0.35">
      <c r="A973" t="s">
        <v>1174</v>
      </c>
      <c r="B973" s="1">
        <v>45041</v>
      </c>
      <c r="C973" t="s">
        <v>15</v>
      </c>
      <c r="D973" t="s">
        <v>19</v>
      </c>
      <c r="E973" t="s">
        <v>32</v>
      </c>
      <c r="F973" t="s">
        <v>13</v>
      </c>
      <c r="G973">
        <v>14</v>
      </c>
      <c r="H973" t="s">
        <v>26</v>
      </c>
      <c r="I973">
        <v>38</v>
      </c>
      <c r="J973">
        <v>4935.34</v>
      </c>
      <c r="K973">
        <f t="shared" si="17"/>
        <v>69094.760000000009</v>
      </c>
    </row>
    <row r="974" spans="1:11" x14ac:dyDescent="0.35">
      <c r="A974" t="s">
        <v>1175</v>
      </c>
      <c r="B974" s="1">
        <v>44976</v>
      </c>
      <c r="C974" t="s">
        <v>10</v>
      </c>
      <c r="D974" t="s">
        <v>38</v>
      </c>
      <c r="E974" t="s">
        <v>42</v>
      </c>
      <c r="F974" t="s">
        <v>18</v>
      </c>
      <c r="G974">
        <v>19</v>
      </c>
      <c r="H974" t="s">
        <v>14</v>
      </c>
      <c r="I974">
        <v>18</v>
      </c>
      <c r="J974">
        <v>3649.75</v>
      </c>
      <c r="K974">
        <f t="shared" si="17"/>
        <v>69345.25</v>
      </c>
    </row>
    <row r="975" spans="1:11" x14ac:dyDescent="0.35">
      <c r="A975" t="s">
        <v>1176</v>
      </c>
      <c r="B975" s="1">
        <v>45235</v>
      </c>
      <c r="C975" t="s">
        <v>10</v>
      </c>
      <c r="D975" t="s">
        <v>11</v>
      </c>
      <c r="E975" t="s">
        <v>27</v>
      </c>
      <c r="F975" t="s">
        <v>18</v>
      </c>
      <c r="G975">
        <v>17</v>
      </c>
      <c r="H975" t="s">
        <v>14</v>
      </c>
      <c r="I975">
        <v>46</v>
      </c>
      <c r="J975">
        <v>4082.38</v>
      </c>
      <c r="K975">
        <f t="shared" si="17"/>
        <v>69400.460000000006</v>
      </c>
    </row>
    <row r="976" spans="1:11" x14ac:dyDescent="0.35">
      <c r="A976" t="s">
        <v>1177</v>
      </c>
      <c r="B976" s="1">
        <v>45219</v>
      </c>
      <c r="C976" t="s">
        <v>10</v>
      </c>
      <c r="D976" t="s">
        <v>38</v>
      </c>
      <c r="E976" t="s">
        <v>42</v>
      </c>
      <c r="F976" t="s">
        <v>29</v>
      </c>
      <c r="G976">
        <v>20</v>
      </c>
      <c r="H976" t="s">
        <v>30</v>
      </c>
      <c r="I976">
        <v>30</v>
      </c>
      <c r="J976">
        <v>3470.23</v>
      </c>
      <c r="K976">
        <f t="shared" si="17"/>
        <v>69404.600000000006</v>
      </c>
    </row>
    <row r="977" spans="1:11" x14ac:dyDescent="0.35">
      <c r="A977" t="s">
        <v>1178</v>
      </c>
      <c r="B977" s="1">
        <v>45174</v>
      </c>
      <c r="C977" t="s">
        <v>10</v>
      </c>
      <c r="D977" t="s">
        <v>11</v>
      </c>
      <c r="E977" t="s">
        <v>27</v>
      </c>
      <c r="F977" t="s">
        <v>29</v>
      </c>
      <c r="G977">
        <v>20</v>
      </c>
      <c r="H977" t="s">
        <v>30</v>
      </c>
      <c r="I977">
        <v>25</v>
      </c>
      <c r="J977">
        <v>3474.05</v>
      </c>
      <c r="K977">
        <f t="shared" si="17"/>
        <v>69481</v>
      </c>
    </row>
    <row r="978" spans="1:11" x14ac:dyDescent="0.35">
      <c r="A978" t="s">
        <v>1179</v>
      </c>
      <c r="B978" s="1">
        <v>45180</v>
      </c>
      <c r="C978" t="s">
        <v>15</v>
      </c>
      <c r="D978" t="s">
        <v>16</v>
      </c>
      <c r="E978" t="s">
        <v>43</v>
      </c>
      <c r="F978" t="s">
        <v>18</v>
      </c>
      <c r="G978">
        <v>17</v>
      </c>
      <c r="H978" t="s">
        <v>195</v>
      </c>
      <c r="I978">
        <v>44</v>
      </c>
      <c r="J978">
        <v>4088.77</v>
      </c>
      <c r="K978">
        <f t="shared" si="17"/>
        <v>69509.09</v>
      </c>
    </row>
    <row r="979" spans="1:11" x14ac:dyDescent="0.35">
      <c r="A979" t="s">
        <v>1180</v>
      </c>
      <c r="B979" s="1">
        <v>45200</v>
      </c>
      <c r="C979" t="s">
        <v>15</v>
      </c>
      <c r="D979" t="s">
        <v>16</v>
      </c>
      <c r="E979" t="s">
        <v>43</v>
      </c>
      <c r="F979" t="s">
        <v>21</v>
      </c>
      <c r="G979">
        <v>16</v>
      </c>
      <c r="H979" t="s">
        <v>14</v>
      </c>
      <c r="I979">
        <v>40</v>
      </c>
      <c r="J979">
        <v>4354.03</v>
      </c>
      <c r="K979">
        <f t="shared" si="17"/>
        <v>69664.479999999996</v>
      </c>
    </row>
    <row r="980" spans="1:11" x14ac:dyDescent="0.35">
      <c r="A980" t="s">
        <v>1181</v>
      </c>
      <c r="B980" s="1">
        <v>44961</v>
      </c>
      <c r="C980" t="s">
        <v>10</v>
      </c>
      <c r="D980" t="s">
        <v>11</v>
      </c>
      <c r="E980" t="s">
        <v>12</v>
      </c>
      <c r="F980" t="s">
        <v>35</v>
      </c>
      <c r="G980">
        <v>17</v>
      </c>
      <c r="H980" t="s">
        <v>97</v>
      </c>
      <c r="I980">
        <v>42</v>
      </c>
      <c r="J980">
        <v>4100.2700000000004</v>
      </c>
      <c r="K980">
        <f t="shared" si="17"/>
        <v>69704.590000000011</v>
      </c>
    </row>
    <row r="981" spans="1:11" x14ac:dyDescent="0.35">
      <c r="A981" t="s">
        <v>1182</v>
      </c>
      <c r="B981" s="1">
        <v>45105</v>
      </c>
      <c r="C981" t="s">
        <v>23</v>
      </c>
      <c r="D981" t="s">
        <v>24</v>
      </c>
      <c r="E981" t="s">
        <v>25</v>
      </c>
      <c r="F981" t="s">
        <v>29</v>
      </c>
      <c r="G981">
        <v>16</v>
      </c>
      <c r="H981" t="s">
        <v>14</v>
      </c>
      <c r="I981">
        <v>37</v>
      </c>
      <c r="J981">
        <v>4364.8999999999996</v>
      </c>
      <c r="K981">
        <f t="shared" si="17"/>
        <v>69838.399999999994</v>
      </c>
    </row>
    <row r="982" spans="1:11" x14ac:dyDescent="0.35">
      <c r="A982" t="s">
        <v>1183</v>
      </c>
      <c r="B982" s="1">
        <v>45209</v>
      </c>
      <c r="C982" t="s">
        <v>10</v>
      </c>
      <c r="D982" t="s">
        <v>11</v>
      </c>
      <c r="E982" t="s">
        <v>12</v>
      </c>
      <c r="F982" t="s">
        <v>13</v>
      </c>
      <c r="G982">
        <v>15</v>
      </c>
      <c r="H982" t="s">
        <v>26</v>
      </c>
      <c r="I982">
        <v>25</v>
      </c>
      <c r="J982">
        <v>4657.82</v>
      </c>
      <c r="K982">
        <f t="shared" si="17"/>
        <v>69867.299999999988</v>
      </c>
    </row>
    <row r="983" spans="1:11" x14ac:dyDescent="0.35">
      <c r="A983" t="s">
        <v>1184</v>
      </c>
      <c r="B983" s="1">
        <v>45275</v>
      </c>
      <c r="C983" t="s">
        <v>15</v>
      </c>
      <c r="D983" t="s">
        <v>16</v>
      </c>
      <c r="E983" t="s">
        <v>43</v>
      </c>
      <c r="F983" t="s">
        <v>21</v>
      </c>
      <c r="G983">
        <v>15</v>
      </c>
      <c r="H983" t="s">
        <v>26</v>
      </c>
      <c r="I983">
        <v>52</v>
      </c>
      <c r="J983">
        <v>4659.8</v>
      </c>
      <c r="K983">
        <f t="shared" si="17"/>
        <v>69897</v>
      </c>
    </row>
    <row r="984" spans="1:11" x14ac:dyDescent="0.35">
      <c r="A984" t="s">
        <v>1185</v>
      </c>
      <c r="B984" s="1">
        <v>44977</v>
      </c>
      <c r="C984" t="s">
        <v>10</v>
      </c>
      <c r="D984" t="s">
        <v>11</v>
      </c>
      <c r="E984" t="s">
        <v>41</v>
      </c>
      <c r="F984" t="s">
        <v>18</v>
      </c>
      <c r="G984">
        <v>19</v>
      </c>
      <c r="H984" t="s">
        <v>36</v>
      </c>
      <c r="I984">
        <v>50</v>
      </c>
      <c r="J984">
        <v>3683.04</v>
      </c>
      <c r="K984">
        <f t="shared" si="17"/>
        <v>69977.759999999995</v>
      </c>
    </row>
    <row r="985" spans="1:11" x14ac:dyDescent="0.35">
      <c r="A985" t="s">
        <v>1186</v>
      </c>
      <c r="B985" s="1">
        <v>45178</v>
      </c>
      <c r="C985" t="s">
        <v>23</v>
      </c>
      <c r="D985" t="s">
        <v>24</v>
      </c>
      <c r="E985" t="s">
        <v>25</v>
      </c>
      <c r="F985" t="s">
        <v>35</v>
      </c>
      <c r="G985">
        <v>15</v>
      </c>
      <c r="H985" t="s">
        <v>96</v>
      </c>
      <c r="I985">
        <v>44</v>
      </c>
      <c r="J985">
        <v>4667.42</v>
      </c>
      <c r="K985">
        <f t="shared" si="17"/>
        <v>70011.3</v>
      </c>
    </row>
    <row r="986" spans="1:11" x14ac:dyDescent="0.35">
      <c r="A986" t="s">
        <v>1187</v>
      </c>
      <c r="B986" s="1">
        <v>44965</v>
      </c>
      <c r="C986" t="s">
        <v>10</v>
      </c>
      <c r="D986" t="s">
        <v>38</v>
      </c>
      <c r="E986" t="s">
        <v>40</v>
      </c>
      <c r="F986" t="s">
        <v>29</v>
      </c>
      <c r="G986">
        <v>15</v>
      </c>
      <c r="H986" t="s">
        <v>36</v>
      </c>
      <c r="I986">
        <v>28</v>
      </c>
      <c r="J986">
        <v>4678.57</v>
      </c>
      <c r="K986">
        <f t="shared" si="17"/>
        <v>70178.549999999988</v>
      </c>
    </row>
    <row r="987" spans="1:11" x14ac:dyDescent="0.35">
      <c r="A987" t="s">
        <v>1188</v>
      </c>
      <c r="B987" s="1">
        <v>45129</v>
      </c>
      <c r="C987" t="s">
        <v>23</v>
      </c>
      <c r="D987" t="s">
        <v>24</v>
      </c>
      <c r="E987" t="s">
        <v>45</v>
      </c>
      <c r="F987" t="s">
        <v>29</v>
      </c>
      <c r="G987">
        <v>19</v>
      </c>
      <c r="H987" t="s">
        <v>30</v>
      </c>
      <c r="I987">
        <v>34</v>
      </c>
      <c r="J987">
        <v>3694.62</v>
      </c>
      <c r="K987">
        <f t="shared" si="17"/>
        <v>70197.78</v>
      </c>
    </row>
    <row r="988" spans="1:11" x14ac:dyDescent="0.35">
      <c r="A988" t="s">
        <v>1189</v>
      </c>
      <c r="B988" s="1">
        <v>44934</v>
      </c>
      <c r="C988" t="s">
        <v>10</v>
      </c>
      <c r="D988" t="s">
        <v>38</v>
      </c>
      <c r="E988" t="s">
        <v>39</v>
      </c>
      <c r="F988" t="s">
        <v>13</v>
      </c>
      <c r="G988">
        <v>17</v>
      </c>
      <c r="H988" t="s">
        <v>14</v>
      </c>
      <c r="I988">
        <v>39</v>
      </c>
      <c r="J988">
        <v>4136.3100000000004</v>
      </c>
      <c r="K988">
        <f t="shared" si="17"/>
        <v>70317.27</v>
      </c>
    </row>
    <row r="989" spans="1:11" x14ac:dyDescent="0.35">
      <c r="A989" t="s">
        <v>1190</v>
      </c>
      <c r="B989" s="1">
        <v>45062</v>
      </c>
      <c r="C989" t="s">
        <v>15</v>
      </c>
      <c r="D989" t="s">
        <v>16</v>
      </c>
      <c r="E989" t="s">
        <v>43</v>
      </c>
      <c r="F989" t="s">
        <v>18</v>
      </c>
      <c r="G989">
        <v>18</v>
      </c>
      <c r="H989" t="s">
        <v>31</v>
      </c>
      <c r="I989">
        <v>24</v>
      </c>
      <c r="J989">
        <v>3913.42</v>
      </c>
      <c r="K989">
        <f t="shared" si="17"/>
        <v>70441.56</v>
      </c>
    </row>
    <row r="990" spans="1:11" x14ac:dyDescent="0.35">
      <c r="A990" t="s">
        <v>1191</v>
      </c>
      <c r="B990" s="1">
        <v>45279</v>
      </c>
      <c r="C990" t="s">
        <v>10</v>
      </c>
      <c r="D990" t="s">
        <v>11</v>
      </c>
      <c r="E990" t="s">
        <v>12</v>
      </c>
      <c r="F990" t="s">
        <v>35</v>
      </c>
      <c r="G990">
        <v>19</v>
      </c>
      <c r="H990" t="s">
        <v>96</v>
      </c>
      <c r="I990">
        <v>23</v>
      </c>
      <c r="J990">
        <v>3718.59</v>
      </c>
      <c r="K990">
        <f t="shared" si="17"/>
        <v>70653.210000000006</v>
      </c>
    </row>
    <row r="991" spans="1:11" x14ac:dyDescent="0.35">
      <c r="A991" t="s">
        <v>1192</v>
      </c>
      <c r="B991" s="1">
        <v>45001</v>
      </c>
      <c r="C991" t="s">
        <v>15</v>
      </c>
      <c r="D991" t="s">
        <v>19</v>
      </c>
      <c r="E991" t="s">
        <v>22</v>
      </c>
      <c r="F991" t="s">
        <v>13</v>
      </c>
      <c r="G991">
        <v>15</v>
      </c>
      <c r="H991" t="s">
        <v>14</v>
      </c>
      <c r="I991">
        <v>21</v>
      </c>
      <c r="J991">
        <v>4724.91</v>
      </c>
      <c r="K991">
        <f t="shared" si="17"/>
        <v>70873.649999999994</v>
      </c>
    </row>
    <row r="992" spans="1:11" x14ac:dyDescent="0.35">
      <c r="A992" t="s">
        <v>1193</v>
      </c>
      <c r="B992" s="1">
        <v>45121</v>
      </c>
      <c r="C992" t="s">
        <v>10</v>
      </c>
      <c r="D992" t="s">
        <v>38</v>
      </c>
      <c r="E992" t="s">
        <v>39</v>
      </c>
      <c r="F992" t="s">
        <v>21</v>
      </c>
      <c r="G992">
        <v>18</v>
      </c>
      <c r="H992" t="s">
        <v>26</v>
      </c>
      <c r="I992">
        <v>32</v>
      </c>
      <c r="J992">
        <v>3943.82</v>
      </c>
      <c r="K992">
        <f t="shared" si="17"/>
        <v>70988.760000000009</v>
      </c>
    </row>
    <row r="993" spans="1:11" x14ac:dyDescent="0.35">
      <c r="A993" t="s">
        <v>1194</v>
      </c>
      <c r="B993" s="1">
        <v>45025</v>
      </c>
      <c r="C993" t="s">
        <v>10</v>
      </c>
      <c r="D993" t="s">
        <v>38</v>
      </c>
      <c r="E993" t="s">
        <v>42</v>
      </c>
      <c r="F993" t="s">
        <v>35</v>
      </c>
      <c r="G993">
        <v>18</v>
      </c>
      <c r="H993" t="s">
        <v>195</v>
      </c>
      <c r="I993">
        <v>46</v>
      </c>
      <c r="J993">
        <v>3982.89</v>
      </c>
      <c r="K993">
        <f t="shared" si="17"/>
        <v>71692.02</v>
      </c>
    </row>
    <row r="994" spans="1:11" x14ac:dyDescent="0.35">
      <c r="A994" t="s">
        <v>1195</v>
      </c>
      <c r="B994" s="1">
        <v>45249</v>
      </c>
      <c r="C994" t="s">
        <v>10</v>
      </c>
      <c r="D994" t="s">
        <v>11</v>
      </c>
      <c r="E994" t="s">
        <v>12</v>
      </c>
      <c r="F994" t="s">
        <v>29</v>
      </c>
      <c r="G994">
        <v>15</v>
      </c>
      <c r="H994" t="s">
        <v>37</v>
      </c>
      <c r="I994">
        <v>44</v>
      </c>
      <c r="J994">
        <v>4785.6099999999997</v>
      </c>
      <c r="K994">
        <f t="shared" si="17"/>
        <v>71784.149999999994</v>
      </c>
    </row>
    <row r="995" spans="1:11" x14ac:dyDescent="0.35">
      <c r="A995" t="s">
        <v>1196</v>
      </c>
      <c r="B995" s="1">
        <v>44971</v>
      </c>
      <c r="C995" t="s">
        <v>10</v>
      </c>
      <c r="D995" t="s">
        <v>11</v>
      </c>
      <c r="E995" t="s">
        <v>12</v>
      </c>
      <c r="F995" t="s">
        <v>18</v>
      </c>
      <c r="G995">
        <v>15</v>
      </c>
      <c r="H995" t="s">
        <v>195</v>
      </c>
      <c r="I995">
        <v>22</v>
      </c>
      <c r="J995">
        <v>4822.26</v>
      </c>
      <c r="K995">
        <f t="shared" si="17"/>
        <v>72333.900000000009</v>
      </c>
    </row>
    <row r="996" spans="1:11" x14ac:dyDescent="0.35">
      <c r="A996" t="s">
        <v>1197</v>
      </c>
      <c r="B996" s="1">
        <v>45042</v>
      </c>
      <c r="C996" t="s">
        <v>10</v>
      </c>
      <c r="D996" t="s">
        <v>11</v>
      </c>
      <c r="E996" t="s">
        <v>27</v>
      </c>
      <c r="F996" t="s">
        <v>13</v>
      </c>
      <c r="G996">
        <v>18</v>
      </c>
      <c r="H996" t="s">
        <v>14</v>
      </c>
      <c r="I996">
        <v>28</v>
      </c>
      <c r="J996">
        <v>4022.66</v>
      </c>
      <c r="K996">
        <f t="shared" si="17"/>
        <v>72407.88</v>
      </c>
    </row>
    <row r="997" spans="1:11" x14ac:dyDescent="0.35">
      <c r="A997" t="s">
        <v>1198</v>
      </c>
      <c r="B997" s="1">
        <v>45231</v>
      </c>
      <c r="C997" t="s">
        <v>23</v>
      </c>
      <c r="D997" t="s">
        <v>24</v>
      </c>
      <c r="E997" t="s">
        <v>25</v>
      </c>
      <c r="F997" t="s">
        <v>21</v>
      </c>
      <c r="G997">
        <v>18</v>
      </c>
      <c r="H997" t="s">
        <v>97</v>
      </c>
      <c r="I997">
        <v>40</v>
      </c>
      <c r="J997">
        <v>4059.82</v>
      </c>
      <c r="K997">
        <f t="shared" si="17"/>
        <v>73076.760000000009</v>
      </c>
    </row>
    <row r="998" spans="1:11" x14ac:dyDescent="0.35">
      <c r="A998" t="s">
        <v>1199</v>
      </c>
      <c r="B998" s="1">
        <v>45092</v>
      </c>
      <c r="C998" t="s">
        <v>15</v>
      </c>
      <c r="D998" t="s">
        <v>19</v>
      </c>
      <c r="E998" t="s">
        <v>22</v>
      </c>
      <c r="F998" t="s">
        <v>21</v>
      </c>
      <c r="G998">
        <v>20</v>
      </c>
      <c r="H998" t="s">
        <v>31</v>
      </c>
      <c r="I998">
        <v>38</v>
      </c>
      <c r="J998">
        <v>3684.86</v>
      </c>
      <c r="K998">
        <f t="shared" si="17"/>
        <v>73697.2</v>
      </c>
    </row>
    <row r="999" spans="1:11" x14ac:dyDescent="0.35">
      <c r="A999" t="s">
        <v>1200</v>
      </c>
      <c r="B999" s="1">
        <v>44944</v>
      </c>
      <c r="C999" t="s">
        <v>10</v>
      </c>
      <c r="D999" t="s">
        <v>38</v>
      </c>
      <c r="E999" t="s">
        <v>40</v>
      </c>
      <c r="F999" t="s">
        <v>29</v>
      </c>
      <c r="G999">
        <v>16</v>
      </c>
      <c r="H999" t="s">
        <v>26</v>
      </c>
      <c r="I999">
        <v>25</v>
      </c>
      <c r="J999">
        <v>4614.01</v>
      </c>
      <c r="K999">
        <f t="shared" si="17"/>
        <v>73824.160000000003</v>
      </c>
    </row>
    <row r="1000" spans="1:11" x14ac:dyDescent="0.35">
      <c r="A1000" t="s">
        <v>1201</v>
      </c>
      <c r="B1000" s="1">
        <v>45086</v>
      </c>
      <c r="C1000" t="s">
        <v>15</v>
      </c>
      <c r="D1000" t="s">
        <v>19</v>
      </c>
      <c r="E1000" t="s">
        <v>20</v>
      </c>
      <c r="F1000" t="s">
        <v>13</v>
      </c>
      <c r="G1000">
        <v>18</v>
      </c>
      <c r="H1000" t="s">
        <v>26</v>
      </c>
      <c r="I1000">
        <v>54</v>
      </c>
      <c r="J1000">
        <v>4103.6099999999997</v>
      </c>
      <c r="K1000">
        <f t="shared" si="17"/>
        <v>73864.98</v>
      </c>
    </row>
    <row r="1001" spans="1:11" x14ac:dyDescent="0.35">
      <c r="A1001" t="s">
        <v>1202</v>
      </c>
      <c r="B1001" s="1">
        <v>45223</v>
      </c>
      <c r="C1001" t="s">
        <v>10</v>
      </c>
      <c r="D1001" t="s">
        <v>38</v>
      </c>
      <c r="E1001" t="s">
        <v>39</v>
      </c>
      <c r="F1001" t="s">
        <v>29</v>
      </c>
      <c r="G1001">
        <v>19</v>
      </c>
      <c r="H1001" t="s">
        <v>14</v>
      </c>
      <c r="I1001">
        <v>23</v>
      </c>
      <c r="J1001">
        <v>3907.56</v>
      </c>
      <c r="K1001">
        <f t="shared" si="17"/>
        <v>74243.64</v>
      </c>
    </row>
    <row r="1002" spans="1:11" x14ac:dyDescent="0.35">
      <c r="A1002" t="s">
        <v>1203</v>
      </c>
      <c r="B1002" s="1">
        <v>45139</v>
      </c>
      <c r="C1002" t="s">
        <v>15</v>
      </c>
      <c r="D1002" t="s">
        <v>16</v>
      </c>
      <c r="E1002" t="s">
        <v>34</v>
      </c>
      <c r="F1002" t="s">
        <v>35</v>
      </c>
      <c r="G1002">
        <v>20</v>
      </c>
      <c r="H1002" t="s">
        <v>31</v>
      </c>
      <c r="I1002">
        <v>20</v>
      </c>
      <c r="J1002">
        <v>3728.46</v>
      </c>
      <c r="K1002">
        <f t="shared" si="17"/>
        <v>74569.2</v>
      </c>
    </row>
    <row r="1003" spans="1:11" x14ac:dyDescent="0.35">
      <c r="A1003" t="s">
        <v>1204</v>
      </c>
      <c r="B1003" s="1">
        <v>45029</v>
      </c>
      <c r="C1003" t="s">
        <v>10</v>
      </c>
      <c r="D1003" t="s">
        <v>11</v>
      </c>
      <c r="E1003" t="s">
        <v>41</v>
      </c>
      <c r="F1003" t="s">
        <v>13</v>
      </c>
      <c r="G1003">
        <v>19</v>
      </c>
      <c r="H1003" t="s">
        <v>14</v>
      </c>
      <c r="I1003">
        <v>49</v>
      </c>
      <c r="J1003">
        <v>3927.27</v>
      </c>
      <c r="K1003">
        <f t="shared" si="17"/>
        <v>74618.13</v>
      </c>
    </row>
    <row r="1004" spans="1:11" x14ac:dyDescent="0.35">
      <c r="A1004" t="s">
        <v>1205</v>
      </c>
      <c r="B1004" s="1">
        <v>45286</v>
      </c>
      <c r="C1004" t="s">
        <v>15</v>
      </c>
      <c r="D1004" t="s">
        <v>19</v>
      </c>
      <c r="E1004" t="s">
        <v>32</v>
      </c>
      <c r="F1004" t="s">
        <v>18</v>
      </c>
      <c r="G1004">
        <v>20</v>
      </c>
      <c r="H1004" t="s">
        <v>14</v>
      </c>
      <c r="I1004">
        <v>19</v>
      </c>
      <c r="J1004">
        <v>3751.01</v>
      </c>
      <c r="K1004">
        <f t="shared" si="17"/>
        <v>75020.200000000012</v>
      </c>
    </row>
    <row r="1005" spans="1:11" x14ac:dyDescent="0.35">
      <c r="A1005" t="s">
        <v>1206</v>
      </c>
      <c r="B1005" s="1">
        <v>44935</v>
      </c>
      <c r="C1005" t="s">
        <v>15</v>
      </c>
      <c r="D1005" t="s">
        <v>19</v>
      </c>
      <c r="E1005" t="s">
        <v>22</v>
      </c>
      <c r="F1005" t="s">
        <v>18</v>
      </c>
      <c r="G1005">
        <v>18</v>
      </c>
      <c r="H1005" t="s">
        <v>36</v>
      </c>
      <c r="I1005">
        <v>32</v>
      </c>
      <c r="J1005">
        <v>4168.59</v>
      </c>
      <c r="K1005">
        <f t="shared" si="17"/>
        <v>75034.62</v>
      </c>
    </row>
    <row r="1006" spans="1:11" x14ac:dyDescent="0.35">
      <c r="A1006" t="s">
        <v>1207</v>
      </c>
      <c r="B1006" s="1">
        <v>45091</v>
      </c>
      <c r="C1006" t="s">
        <v>23</v>
      </c>
      <c r="D1006" t="s">
        <v>24</v>
      </c>
      <c r="E1006" t="s">
        <v>45</v>
      </c>
      <c r="F1006" t="s">
        <v>29</v>
      </c>
      <c r="G1006">
        <v>20</v>
      </c>
      <c r="H1006" t="s">
        <v>14</v>
      </c>
      <c r="I1006">
        <v>38</v>
      </c>
      <c r="J1006">
        <v>3753.15</v>
      </c>
      <c r="K1006">
        <f t="shared" si="17"/>
        <v>75063</v>
      </c>
    </row>
    <row r="1007" spans="1:11" x14ac:dyDescent="0.35">
      <c r="A1007" t="s">
        <v>1208</v>
      </c>
      <c r="B1007" s="1">
        <v>45112</v>
      </c>
      <c r="C1007" t="s">
        <v>10</v>
      </c>
      <c r="D1007" t="s">
        <v>38</v>
      </c>
      <c r="E1007" t="s">
        <v>39</v>
      </c>
      <c r="F1007" t="s">
        <v>13</v>
      </c>
      <c r="G1007">
        <v>17</v>
      </c>
      <c r="H1007" t="s">
        <v>14</v>
      </c>
      <c r="I1007">
        <v>43</v>
      </c>
      <c r="J1007">
        <v>4427.79</v>
      </c>
      <c r="K1007">
        <f t="shared" si="17"/>
        <v>75272.429999999993</v>
      </c>
    </row>
    <row r="1008" spans="1:11" x14ac:dyDescent="0.35">
      <c r="A1008" t="s">
        <v>1209</v>
      </c>
      <c r="B1008" s="1">
        <v>45201</v>
      </c>
      <c r="C1008" t="s">
        <v>15</v>
      </c>
      <c r="D1008" t="s">
        <v>16</v>
      </c>
      <c r="E1008" t="s">
        <v>34</v>
      </c>
      <c r="F1008" t="s">
        <v>35</v>
      </c>
      <c r="G1008">
        <v>16</v>
      </c>
      <c r="H1008" t="s">
        <v>36</v>
      </c>
      <c r="I1008">
        <v>49</v>
      </c>
      <c r="J1008">
        <v>4720.2299999999996</v>
      </c>
      <c r="K1008">
        <f t="shared" si="17"/>
        <v>75523.679999999993</v>
      </c>
    </row>
    <row r="1009" spans="1:11" x14ac:dyDescent="0.35">
      <c r="A1009" t="s">
        <v>1210</v>
      </c>
      <c r="B1009" s="1">
        <v>45128</v>
      </c>
      <c r="C1009" t="s">
        <v>10</v>
      </c>
      <c r="D1009" t="s">
        <v>11</v>
      </c>
      <c r="E1009" t="s">
        <v>27</v>
      </c>
      <c r="F1009" t="s">
        <v>18</v>
      </c>
      <c r="G1009">
        <v>16</v>
      </c>
      <c r="H1009" t="s">
        <v>28</v>
      </c>
      <c r="I1009">
        <v>28</v>
      </c>
      <c r="J1009">
        <v>4780.7700000000004</v>
      </c>
      <c r="K1009">
        <f t="shared" si="17"/>
        <v>76492.320000000007</v>
      </c>
    </row>
    <row r="1010" spans="1:11" x14ac:dyDescent="0.35">
      <c r="A1010" t="s">
        <v>1211</v>
      </c>
      <c r="B1010" s="1">
        <v>45127</v>
      </c>
      <c r="C1010" t="s">
        <v>23</v>
      </c>
      <c r="D1010" t="s">
        <v>24</v>
      </c>
      <c r="E1010" t="s">
        <v>25</v>
      </c>
      <c r="F1010" t="s">
        <v>29</v>
      </c>
      <c r="G1010">
        <v>17</v>
      </c>
      <c r="H1010" t="s">
        <v>36</v>
      </c>
      <c r="I1010">
        <v>18</v>
      </c>
      <c r="J1010">
        <v>4502.3900000000003</v>
      </c>
      <c r="K1010">
        <f t="shared" si="17"/>
        <v>76540.63</v>
      </c>
    </row>
    <row r="1011" spans="1:11" x14ac:dyDescent="0.35">
      <c r="A1011" t="s">
        <v>1212</v>
      </c>
      <c r="B1011" s="1">
        <v>45016</v>
      </c>
      <c r="C1011" t="s">
        <v>15</v>
      </c>
      <c r="D1011" t="s">
        <v>19</v>
      </c>
      <c r="E1011" t="s">
        <v>20</v>
      </c>
      <c r="F1011" t="s">
        <v>18</v>
      </c>
      <c r="G1011">
        <v>17</v>
      </c>
      <c r="H1011" t="s">
        <v>30</v>
      </c>
      <c r="I1011">
        <v>44</v>
      </c>
      <c r="J1011">
        <v>4515.21</v>
      </c>
      <c r="K1011">
        <f t="shared" si="17"/>
        <v>76758.570000000007</v>
      </c>
    </row>
    <row r="1012" spans="1:11" x14ac:dyDescent="0.35">
      <c r="A1012" t="s">
        <v>1213</v>
      </c>
      <c r="B1012" s="1">
        <v>45155</v>
      </c>
      <c r="C1012" t="s">
        <v>15</v>
      </c>
      <c r="D1012" t="s">
        <v>16</v>
      </c>
      <c r="E1012" t="s">
        <v>34</v>
      </c>
      <c r="F1012" t="s">
        <v>18</v>
      </c>
      <c r="G1012">
        <v>17</v>
      </c>
      <c r="H1012" t="s">
        <v>14</v>
      </c>
      <c r="I1012">
        <v>39</v>
      </c>
      <c r="J1012">
        <v>4517.78</v>
      </c>
      <c r="K1012">
        <f t="shared" si="17"/>
        <v>76802.259999999995</v>
      </c>
    </row>
    <row r="1013" spans="1:11" x14ac:dyDescent="0.35">
      <c r="A1013" t="s">
        <v>1214</v>
      </c>
      <c r="B1013" s="1">
        <v>45119</v>
      </c>
      <c r="C1013" t="s">
        <v>10</v>
      </c>
      <c r="D1013" t="s">
        <v>38</v>
      </c>
      <c r="E1013" t="s">
        <v>39</v>
      </c>
      <c r="F1013" t="s">
        <v>21</v>
      </c>
      <c r="G1013">
        <v>16</v>
      </c>
      <c r="H1013" t="s">
        <v>37</v>
      </c>
      <c r="I1013">
        <v>34</v>
      </c>
      <c r="J1013">
        <v>4858.3100000000004</v>
      </c>
      <c r="K1013">
        <f t="shared" si="17"/>
        <v>77732.960000000006</v>
      </c>
    </row>
    <row r="1014" spans="1:11" x14ac:dyDescent="0.35">
      <c r="A1014" t="s">
        <v>1215</v>
      </c>
      <c r="B1014" s="1">
        <v>45203</v>
      </c>
      <c r="C1014" t="s">
        <v>23</v>
      </c>
      <c r="D1014" t="s">
        <v>24</v>
      </c>
      <c r="E1014" t="s">
        <v>25</v>
      </c>
      <c r="F1014" t="s">
        <v>35</v>
      </c>
      <c r="G1014">
        <v>16</v>
      </c>
      <c r="H1014" t="s">
        <v>28</v>
      </c>
      <c r="I1014">
        <v>34</v>
      </c>
      <c r="J1014">
        <v>4860.07</v>
      </c>
      <c r="K1014">
        <f t="shared" si="17"/>
        <v>77761.119999999995</v>
      </c>
    </row>
    <row r="1015" spans="1:11" x14ac:dyDescent="0.35">
      <c r="A1015" t="s">
        <v>1216</v>
      </c>
      <c r="B1015" s="1">
        <v>45114</v>
      </c>
      <c r="C1015" t="s">
        <v>15</v>
      </c>
      <c r="D1015" t="s">
        <v>19</v>
      </c>
      <c r="E1015" t="s">
        <v>32</v>
      </c>
      <c r="F1015" t="s">
        <v>21</v>
      </c>
      <c r="G1015">
        <v>20</v>
      </c>
      <c r="H1015" t="s">
        <v>26</v>
      </c>
      <c r="I1015">
        <v>26</v>
      </c>
      <c r="J1015">
        <v>3891.28</v>
      </c>
      <c r="K1015">
        <f t="shared" si="17"/>
        <v>77825.600000000006</v>
      </c>
    </row>
    <row r="1016" spans="1:11" x14ac:dyDescent="0.35">
      <c r="A1016" t="s">
        <v>1217</v>
      </c>
      <c r="B1016" s="1">
        <v>44999</v>
      </c>
      <c r="C1016" t="s">
        <v>15</v>
      </c>
      <c r="D1016" t="s">
        <v>19</v>
      </c>
      <c r="E1016" t="s">
        <v>32</v>
      </c>
      <c r="F1016" t="s">
        <v>13</v>
      </c>
      <c r="G1016">
        <v>19</v>
      </c>
      <c r="H1016" t="s">
        <v>26</v>
      </c>
      <c r="I1016">
        <v>21</v>
      </c>
      <c r="J1016">
        <v>4134.01</v>
      </c>
      <c r="K1016">
        <f t="shared" si="17"/>
        <v>78546.19</v>
      </c>
    </row>
    <row r="1017" spans="1:11" x14ac:dyDescent="0.35">
      <c r="A1017" t="s">
        <v>1218</v>
      </c>
      <c r="B1017" s="1">
        <v>45049</v>
      </c>
      <c r="C1017" t="s">
        <v>10</v>
      </c>
      <c r="D1017" t="s">
        <v>11</v>
      </c>
      <c r="E1017" t="s">
        <v>12</v>
      </c>
      <c r="F1017" t="s">
        <v>18</v>
      </c>
      <c r="G1017">
        <v>19</v>
      </c>
      <c r="H1017" t="s">
        <v>31</v>
      </c>
      <c r="I1017">
        <v>39</v>
      </c>
      <c r="J1017">
        <v>4137.4399999999996</v>
      </c>
      <c r="K1017">
        <f t="shared" si="17"/>
        <v>78611.359999999986</v>
      </c>
    </row>
    <row r="1018" spans="1:11" x14ac:dyDescent="0.35">
      <c r="A1018" t="s">
        <v>1219</v>
      </c>
      <c r="B1018" s="1">
        <v>45044</v>
      </c>
      <c r="C1018" t="s">
        <v>15</v>
      </c>
      <c r="D1018" t="s">
        <v>16</v>
      </c>
      <c r="E1018" t="s">
        <v>17</v>
      </c>
      <c r="F1018" t="s">
        <v>18</v>
      </c>
      <c r="G1018">
        <v>20</v>
      </c>
      <c r="H1018" t="s">
        <v>97</v>
      </c>
      <c r="I1018">
        <v>26</v>
      </c>
      <c r="J1018">
        <v>3937.67</v>
      </c>
      <c r="K1018">
        <f t="shared" si="17"/>
        <v>78753.399999999994</v>
      </c>
    </row>
    <row r="1019" spans="1:11" x14ac:dyDescent="0.35">
      <c r="A1019" t="s">
        <v>1220</v>
      </c>
      <c r="B1019" s="1">
        <v>45089</v>
      </c>
      <c r="C1019" t="s">
        <v>15</v>
      </c>
      <c r="D1019" t="s">
        <v>19</v>
      </c>
      <c r="E1019" t="s">
        <v>20</v>
      </c>
      <c r="F1019" t="s">
        <v>18</v>
      </c>
      <c r="G1019">
        <v>18</v>
      </c>
      <c r="H1019" t="s">
        <v>96</v>
      </c>
      <c r="I1019">
        <v>31</v>
      </c>
      <c r="J1019">
        <v>4403.6899999999996</v>
      </c>
      <c r="K1019">
        <f t="shared" si="17"/>
        <v>79266.42</v>
      </c>
    </row>
    <row r="1020" spans="1:11" x14ac:dyDescent="0.35">
      <c r="A1020" t="s">
        <v>1221</v>
      </c>
      <c r="B1020" s="1">
        <v>45183</v>
      </c>
      <c r="C1020" t="s">
        <v>15</v>
      </c>
      <c r="D1020" t="s">
        <v>19</v>
      </c>
      <c r="E1020" t="s">
        <v>32</v>
      </c>
      <c r="F1020" t="s">
        <v>18</v>
      </c>
      <c r="G1020">
        <v>18</v>
      </c>
      <c r="H1020" t="s">
        <v>26</v>
      </c>
      <c r="I1020">
        <v>55</v>
      </c>
      <c r="J1020">
        <v>4422.21</v>
      </c>
      <c r="K1020">
        <f t="shared" si="17"/>
        <v>79599.78</v>
      </c>
    </row>
    <row r="1021" spans="1:11" x14ac:dyDescent="0.35">
      <c r="A1021" t="s">
        <v>1222</v>
      </c>
      <c r="B1021" s="1">
        <v>45270</v>
      </c>
      <c r="C1021" t="s">
        <v>15</v>
      </c>
      <c r="D1021" t="s">
        <v>16</v>
      </c>
      <c r="E1021" t="s">
        <v>17</v>
      </c>
      <c r="F1021" t="s">
        <v>35</v>
      </c>
      <c r="G1021">
        <v>16</v>
      </c>
      <c r="H1021" t="s">
        <v>37</v>
      </c>
      <c r="I1021">
        <v>21</v>
      </c>
      <c r="J1021">
        <v>4999.8999999999996</v>
      </c>
      <c r="K1021">
        <f t="shared" si="17"/>
        <v>79998.399999999994</v>
      </c>
    </row>
    <row r="1022" spans="1:11" x14ac:dyDescent="0.35">
      <c r="A1022" t="s">
        <v>1223</v>
      </c>
      <c r="B1022" s="1">
        <v>45016</v>
      </c>
      <c r="C1022" t="s">
        <v>15</v>
      </c>
      <c r="D1022" t="s">
        <v>16</v>
      </c>
      <c r="E1022" t="s">
        <v>34</v>
      </c>
      <c r="F1022" t="s">
        <v>35</v>
      </c>
      <c r="G1022">
        <v>18</v>
      </c>
      <c r="H1022" t="s">
        <v>195</v>
      </c>
      <c r="I1022">
        <v>18</v>
      </c>
      <c r="J1022">
        <v>4450.2299999999996</v>
      </c>
      <c r="K1022">
        <f t="shared" si="17"/>
        <v>80104.139999999985</v>
      </c>
    </row>
    <row r="1023" spans="1:11" x14ac:dyDescent="0.35">
      <c r="A1023" t="s">
        <v>1224</v>
      </c>
      <c r="B1023" s="1">
        <v>45006</v>
      </c>
      <c r="C1023" t="s">
        <v>10</v>
      </c>
      <c r="D1023" t="s">
        <v>11</v>
      </c>
      <c r="E1023" t="s">
        <v>41</v>
      </c>
      <c r="F1023" t="s">
        <v>13</v>
      </c>
      <c r="G1023">
        <v>19</v>
      </c>
      <c r="H1023" t="s">
        <v>33</v>
      </c>
      <c r="I1023">
        <v>34</v>
      </c>
      <c r="J1023">
        <v>4229.42</v>
      </c>
      <c r="K1023">
        <f t="shared" si="17"/>
        <v>80358.98</v>
      </c>
    </row>
    <row r="1024" spans="1:11" x14ac:dyDescent="0.35">
      <c r="A1024" t="s">
        <v>1225</v>
      </c>
      <c r="B1024" s="1">
        <v>45097</v>
      </c>
      <c r="C1024" t="s">
        <v>23</v>
      </c>
      <c r="D1024" t="s">
        <v>24</v>
      </c>
      <c r="E1024" t="s">
        <v>25</v>
      </c>
      <c r="F1024" t="s">
        <v>29</v>
      </c>
      <c r="G1024">
        <v>20</v>
      </c>
      <c r="H1024" t="s">
        <v>14</v>
      </c>
      <c r="I1024">
        <v>43</v>
      </c>
      <c r="J1024">
        <v>4035.61</v>
      </c>
      <c r="K1024">
        <f t="shared" si="17"/>
        <v>80712.2</v>
      </c>
    </row>
    <row r="1025" spans="1:11" x14ac:dyDescent="0.35">
      <c r="A1025" t="s">
        <v>1226</v>
      </c>
      <c r="B1025" s="1">
        <v>45258</v>
      </c>
      <c r="C1025" t="s">
        <v>10</v>
      </c>
      <c r="D1025" t="s">
        <v>38</v>
      </c>
      <c r="E1025" t="s">
        <v>42</v>
      </c>
      <c r="F1025" t="s">
        <v>29</v>
      </c>
      <c r="G1025">
        <v>20</v>
      </c>
      <c r="H1025" t="s">
        <v>36</v>
      </c>
      <c r="I1025">
        <v>45</v>
      </c>
      <c r="J1025">
        <v>4066.74</v>
      </c>
      <c r="K1025">
        <f t="shared" si="17"/>
        <v>81334.799999999988</v>
      </c>
    </row>
    <row r="1026" spans="1:11" x14ac:dyDescent="0.35">
      <c r="A1026" t="s">
        <v>1227</v>
      </c>
      <c r="B1026" s="1">
        <v>45011</v>
      </c>
      <c r="C1026" t="s">
        <v>15</v>
      </c>
      <c r="D1026" t="s">
        <v>16</v>
      </c>
      <c r="E1026" t="s">
        <v>34</v>
      </c>
      <c r="F1026" t="s">
        <v>21</v>
      </c>
      <c r="G1026">
        <v>17</v>
      </c>
      <c r="H1026" t="s">
        <v>33</v>
      </c>
      <c r="I1026">
        <v>55</v>
      </c>
      <c r="J1026">
        <v>4825.24</v>
      </c>
      <c r="K1026">
        <f t="shared" ref="K1026:K1046" si="18">G1026*J1026</f>
        <v>82029.08</v>
      </c>
    </row>
    <row r="1027" spans="1:11" x14ac:dyDescent="0.35">
      <c r="A1027" t="s">
        <v>1228</v>
      </c>
      <c r="B1027" s="1">
        <v>45113</v>
      </c>
      <c r="C1027" t="s">
        <v>10</v>
      </c>
      <c r="D1027" t="s">
        <v>38</v>
      </c>
      <c r="E1027" t="s">
        <v>39</v>
      </c>
      <c r="F1027" t="s">
        <v>29</v>
      </c>
      <c r="G1027">
        <v>19</v>
      </c>
      <c r="H1027" t="s">
        <v>97</v>
      </c>
      <c r="I1027">
        <v>28</v>
      </c>
      <c r="J1027">
        <v>4348.7299999999996</v>
      </c>
      <c r="K1027">
        <f t="shared" si="18"/>
        <v>82625.87</v>
      </c>
    </row>
    <row r="1028" spans="1:11" x14ac:dyDescent="0.35">
      <c r="A1028" t="s">
        <v>1229</v>
      </c>
      <c r="B1028" s="1">
        <v>45260</v>
      </c>
      <c r="C1028" t="s">
        <v>15</v>
      </c>
      <c r="D1028" t="s">
        <v>19</v>
      </c>
      <c r="E1028" t="s">
        <v>22</v>
      </c>
      <c r="F1028" t="s">
        <v>29</v>
      </c>
      <c r="G1028">
        <v>17</v>
      </c>
      <c r="H1028" t="s">
        <v>33</v>
      </c>
      <c r="I1028">
        <v>16</v>
      </c>
      <c r="J1028">
        <v>4890.5</v>
      </c>
      <c r="K1028">
        <f t="shared" si="18"/>
        <v>83138.5</v>
      </c>
    </row>
    <row r="1029" spans="1:11" x14ac:dyDescent="0.35">
      <c r="A1029" t="s">
        <v>1230</v>
      </c>
      <c r="B1029" s="1">
        <v>45290</v>
      </c>
      <c r="C1029" t="s">
        <v>15</v>
      </c>
      <c r="D1029" t="s">
        <v>16</v>
      </c>
      <c r="E1029" t="s">
        <v>34</v>
      </c>
      <c r="F1029" t="s">
        <v>29</v>
      </c>
      <c r="G1029">
        <v>19</v>
      </c>
      <c r="H1029" t="s">
        <v>31</v>
      </c>
      <c r="I1029">
        <v>20</v>
      </c>
      <c r="J1029">
        <v>4411.57</v>
      </c>
      <c r="K1029">
        <f t="shared" si="18"/>
        <v>83819.829999999987</v>
      </c>
    </row>
    <row r="1030" spans="1:11" x14ac:dyDescent="0.35">
      <c r="A1030" t="s">
        <v>1231</v>
      </c>
      <c r="B1030" s="1">
        <v>45114</v>
      </c>
      <c r="C1030" t="s">
        <v>15</v>
      </c>
      <c r="D1030" t="s">
        <v>16</v>
      </c>
      <c r="E1030" t="s">
        <v>17</v>
      </c>
      <c r="F1030" t="s">
        <v>29</v>
      </c>
      <c r="G1030">
        <v>19</v>
      </c>
      <c r="H1030" t="s">
        <v>96</v>
      </c>
      <c r="I1030">
        <v>40</v>
      </c>
      <c r="J1030">
        <v>4421.6899999999996</v>
      </c>
      <c r="K1030">
        <f t="shared" si="18"/>
        <v>84012.109999999986</v>
      </c>
    </row>
    <row r="1031" spans="1:11" x14ac:dyDescent="0.35">
      <c r="A1031" t="s">
        <v>1232</v>
      </c>
      <c r="B1031" s="1">
        <v>45140</v>
      </c>
      <c r="C1031" t="s">
        <v>10</v>
      </c>
      <c r="D1031" t="s">
        <v>38</v>
      </c>
      <c r="E1031" t="s">
        <v>39</v>
      </c>
      <c r="F1031" t="s">
        <v>13</v>
      </c>
      <c r="G1031">
        <v>17</v>
      </c>
      <c r="H1031" t="s">
        <v>30</v>
      </c>
      <c r="I1031">
        <v>42</v>
      </c>
      <c r="J1031">
        <v>4953.04</v>
      </c>
      <c r="K1031">
        <f t="shared" si="18"/>
        <v>84201.68</v>
      </c>
    </row>
    <row r="1032" spans="1:11" x14ac:dyDescent="0.35">
      <c r="A1032" t="s">
        <v>1233</v>
      </c>
      <c r="B1032" s="1">
        <v>45258</v>
      </c>
      <c r="C1032" t="s">
        <v>10</v>
      </c>
      <c r="D1032" t="s">
        <v>11</v>
      </c>
      <c r="E1032" t="s">
        <v>41</v>
      </c>
      <c r="F1032" t="s">
        <v>21</v>
      </c>
      <c r="G1032">
        <v>20</v>
      </c>
      <c r="H1032" t="s">
        <v>28</v>
      </c>
      <c r="I1032">
        <v>25</v>
      </c>
      <c r="J1032">
        <v>4226.93</v>
      </c>
      <c r="K1032">
        <f t="shared" si="18"/>
        <v>84538.6</v>
      </c>
    </row>
    <row r="1033" spans="1:11" x14ac:dyDescent="0.35">
      <c r="A1033" t="s">
        <v>1234</v>
      </c>
      <c r="B1033" s="1">
        <v>45105</v>
      </c>
      <c r="C1033" t="s">
        <v>10</v>
      </c>
      <c r="D1033" t="s">
        <v>11</v>
      </c>
      <c r="E1033" t="s">
        <v>27</v>
      </c>
      <c r="F1033" t="s">
        <v>13</v>
      </c>
      <c r="G1033">
        <v>17</v>
      </c>
      <c r="H1033" t="s">
        <v>30</v>
      </c>
      <c r="I1033">
        <v>31</v>
      </c>
      <c r="J1033">
        <v>4982.8100000000004</v>
      </c>
      <c r="K1033">
        <f t="shared" si="18"/>
        <v>84707.77</v>
      </c>
    </row>
    <row r="1034" spans="1:11" x14ac:dyDescent="0.35">
      <c r="A1034" t="s">
        <v>1235</v>
      </c>
      <c r="B1034" s="1">
        <v>44939</v>
      </c>
      <c r="C1034" t="s">
        <v>10</v>
      </c>
      <c r="D1034" t="s">
        <v>11</v>
      </c>
      <c r="E1034" t="s">
        <v>41</v>
      </c>
      <c r="F1034" t="s">
        <v>13</v>
      </c>
      <c r="G1034">
        <v>18</v>
      </c>
      <c r="H1034" t="s">
        <v>36</v>
      </c>
      <c r="I1034">
        <v>42</v>
      </c>
      <c r="J1034">
        <v>4721.4399999999996</v>
      </c>
      <c r="K1034">
        <f t="shared" si="18"/>
        <v>84985.919999999998</v>
      </c>
    </row>
    <row r="1035" spans="1:11" x14ac:dyDescent="0.35">
      <c r="A1035" t="s">
        <v>1236</v>
      </c>
      <c r="B1035" s="1">
        <v>45051</v>
      </c>
      <c r="C1035" t="s">
        <v>10</v>
      </c>
      <c r="D1035" t="s">
        <v>11</v>
      </c>
      <c r="E1035" t="s">
        <v>12</v>
      </c>
      <c r="F1035" t="s">
        <v>29</v>
      </c>
      <c r="G1035">
        <v>20</v>
      </c>
      <c r="H1035" t="s">
        <v>30</v>
      </c>
      <c r="I1035">
        <v>45</v>
      </c>
      <c r="J1035">
        <v>4270.08</v>
      </c>
      <c r="K1035">
        <f t="shared" si="18"/>
        <v>85401.600000000006</v>
      </c>
    </row>
    <row r="1036" spans="1:11" x14ac:dyDescent="0.35">
      <c r="A1036" t="s">
        <v>1237</v>
      </c>
      <c r="B1036" s="1">
        <v>45052</v>
      </c>
      <c r="C1036" t="s">
        <v>23</v>
      </c>
      <c r="D1036" t="s">
        <v>24</v>
      </c>
      <c r="E1036" t="s">
        <v>25</v>
      </c>
      <c r="F1036" t="s">
        <v>13</v>
      </c>
      <c r="G1036">
        <v>18</v>
      </c>
      <c r="H1036" t="s">
        <v>96</v>
      </c>
      <c r="I1036">
        <v>47</v>
      </c>
      <c r="J1036">
        <v>4861.3100000000004</v>
      </c>
      <c r="K1036">
        <f t="shared" si="18"/>
        <v>87503.58</v>
      </c>
    </row>
    <row r="1037" spans="1:11" x14ac:dyDescent="0.35">
      <c r="A1037" t="s">
        <v>1238</v>
      </c>
      <c r="B1037" s="1">
        <v>45154</v>
      </c>
      <c r="C1037" t="s">
        <v>10</v>
      </c>
      <c r="D1037" t="s">
        <v>38</v>
      </c>
      <c r="E1037" t="s">
        <v>39</v>
      </c>
      <c r="F1037" t="s">
        <v>13</v>
      </c>
      <c r="G1037">
        <v>18</v>
      </c>
      <c r="H1037" t="s">
        <v>33</v>
      </c>
      <c r="I1037">
        <v>18</v>
      </c>
      <c r="J1037">
        <v>4862.63</v>
      </c>
      <c r="K1037">
        <f t="shared" si="18"/>
        <v>87527.34</v>
      </c>
    </row>
    <row r="1038" spans="1:11" x14ac:dyDescent="0.35">
      <c r="A1038" t="s">
        <v>1239</v>
      </c>
      <c r="B1038" s="1">
        <v>45081</v>
      </c>
      <c r="C1038" t="s">
        <v>15</v>
      </c>
      <c r="D1038" t="s">
        <v>19</v>
      </c>
      <c r="E1038" t="s">
        <v>20</v>
      </c>
      <c r="F1038" t="s">
        <v>18</v>
      </c>
      <c r="G1038">
        <v>20</v>
      </c>
      <c r="H1038" t="s">
        <v>37</v>
      </c>
      <c r="I1038">
        <v>26</v>
      </c>
      <c r="J1038">
        <v>4398.47</v>
      </c>
      <c r="K1038">
        <f t="shared" si="18"/>
        <v>87969.400000000009</v>
      </c>
    </row>
    <row r="1039" spans="1:11" x14ac:dyDescent="0.35">
      <c r="A1039" t="s">
        <v>1240</v>
      </c>
      <c r="B1039" s="1">
        <v>45224</v>
      </c>
      <c r="C1039" t="s">
        <v>15</v>
      </c>
      <c r="D1039" t="s">
        <v>16</v>
      </c>
      <c r="E1039" t="s">
        <v>34</v>
      </c>
      <c r="F1039" t="s">
        <v>13</v>
      </c>
      <c r="G1039">
        <v>18</v>
      </c>
      <c r="H1039" t="s">
        <v>26</v>
      </c>
      <c r="I1039">
        <v>29</v>
      </c>
      <c r="J1039">
        <v>4888.0200000000004</v>
      </c>
      <c r="K1039">
        <f t="shared" si="18"/>
        <v>87984.360000000015</v>
      </c>
    </row>
    <row r="1040" spans="1:11" x14ac:dyDescent="0.35">
      <c r="A1040" t="s">
        <v>1241</v>
      </c>
      <c r="B1040" s="1">
        <v>44993</v>
      </c>
      <c r="C1040" t="s">
        <v>15</v>
      </c>
      <c r="D1040" t="s">
        <v>19</v>
      </c>
      <c r="E1040" t="s">
        <v>20</v>
      </c>
      <c r="F1040" t="s">
        <v>35</v>
      </c>
      <c r="G1040">
        <v>19</v>
      </c>
      <c r="H1040" t="s">
        <v>97</v>
      </c>
      <c r="I1040">
        <v>37</v>
      </c>
      <c r="J1040">
        <v>4642.84</v>
      </c>
      <c r="K1040">
        <f t="shared" si="18"/>
        <v>88213.96</v>
      </c>
    </row>
    <row r="1041" spans="1:11" x14ac:dyDescent="0.35">
      <c r="A1041" t="s">
        <v>1242</v>
      </c>
      <c r="B1041" s="1">
        <v>44942</v>
      </c>
      <c r="C1041" t="s">
        <v>15</v>
      </c>
      <c r="D1041" t="s">
        <v>19</v>
      </c>
      <c r="E1041" t="s">
        <v>22</v>
      </c>
      <c r="F1041" t="s">
        <v>29</v>
      </c>
      <c r="G1041">
        <v>19</v>
      </c>
      <c r="H1041" t="s">
        <v>14</v>
      </c>
      <c r="I1041">
        <v>43</v>
      </c>
      <c r="J1041">
        <v>4771.5</v>
      </c>
      <c r="K1041">
        <f t="shared" si="18"/>
        <v>90658.5</v>
      </c>
    </row>
    <row r="1042" spans="1:11" x14ac:dyDescent="0.35">
      <c r="A1042" t="s">
        <v>1243</v>
      </c>
      <c r="B1042" s="1">
        <v>44980</v>
      </c>
      <c r="C1042" t="s">
        <v>10</v>
      </c>
      <c r="D1042" t="s">
        <v>11</v>
      </c>
      <c r="E1042" t="s">
        <v>12</v>
      </c>
      <c r="F1042" t="s">
        <v>21</v>
      </c>
      <c r="G1042">
        <v>20</v>
      </c>
      <c r="H1042" t="s">
        <v>14</v>
      </c>
      <c r="I1042">
        <v>27</v>
      </c>
      <c r="J1042">
        <v>4638.2</v>
      </c>
      <c r="K1042">
        <f t="shared" si="18"/>
        <v>92764</v>
      </c>
    </row>
    <row r="1043" spans="1:11" x14ac:dyDescent="0.35">
      <c r="A1043" t="s">
        <v>1244</v>
      </c>
      <c r="B1043" s="1">
        <v>44956</v>
      </c>
      <c r="C1043" t="s">
        <v>10</v>
      </c>
      <c r="D1043" t="s">
        <v>38</v>
      </c>
      <c r="E1043" t="s">
        <v>39</v>
      </c>
      <c r="F1043" t="s">
        <v>13</v>
      </c>
      <c r="G1043">
        <v>19</v>
      </c>
      <c r="H1043" t="s">
        <v>36</v>
      </c>
      <c r="I1043">
        <v>28</v>
      </c>
      <c r="J1043">
        <v>4920.4399999999996</v>
      </c>
      <c r="K1043">
        <f t="shared" si="18"/>
        <v>93488.359999999986</v>
      </c>
    </row>
    <row r="1044" spans="1:11" x14ac:dyDescent="0.35">
      <c r="A1044" t="s">
        <v>1245</v>
      </c>
      <c r="B1044" s="1">
        <v>45040</v>
      </c>
      <c r="C1044" t="s">
        <v>10</v>
      </c>
      <c r="D1044" t="s">
        <v>11</v>
      </c>
      <c r="E1044" t="s">
        <v>27</v>
      </c>
      <c r="F1044" t="s">
        <v>35</v>
      </c>
      <c r="G1044">
        <v>19</v>
      </c>
      <c r="H1044" t="s">
        <v>14</v>
      </c>
      <c r="I1044">
        <v>52</v>
      </c>
      <c r="J1044">
        <v>4943.6899999999996</v>
      </c>
      <c r="K1044">
        <f t="shared" si="18"/>
        <v>93930.109999999986</v>
      </c>
    </row>
    <row r="1045" spans="1:11" x14ac:dyDescent="0.35">
      <c r="A1045" t="s">
        <v>1246</v>
      </c>
      <c r="B1045" s="1">
        <v>45191</v>
      </c>
      <c r="C1045" t="s">
        <v>15</v>
      </c>
      <c r="D1045" t="s">
        <v>19</v>
      </c>
      <c r="E1045" t="s">
        <v>20</v>
      </c>
      <c r="F1045" t="s">
        <v>35</v>
      </c>
      <c r="G1045">
        <v>20</v>
      </c>
      <c r="H1045" t="s">
        <v>14</v>
      </c>
      <c r="I1045">
        <v>37</v>
      </c>
      <c r="J1045">
        <v>4710.8500000000004</v>
      </c>
      <c r="K1045">
        <f t="shared" si="18"/>
        <v>94217</v>
      </c>
    </row>
    <row r="1046" spans="1:11" x14ac:dyDescent="0.35">
      <c r="A1046" t="s">
        <v>1247</v>
      </c>
      <c r="B1046" s="1">
        <v>45200</v>
      </c>
      <c r="C1046" t="s">
        <v>10</v>
      </c>
      <c r="D1046" t="s">
        <v>38</v>
      </c>
      <c r="E1046" t="s">
        <v>42</v>
      </c>
      <c r="F1046" t="s">
        <v>18</v>
      </c>
      <c r="G1046">
        <v>20</v>
      </c>
      <c r="H1046" t="s">
        <v>96</v>
      </c>
      <c r="I1046">
        <v>21</v>
      </c>
      <c r="J1046">
        <v>4712.75</v>
      </c>
      <c r="K1046">
        <f t="shared" si="18"/>
        <v>94255</v>
      </c>
    </row>
    <row r="1047" spans="1:11" x14ac:dyDescent="0.35">
      <c r="K1047"/>
    </row>
    <row r="1048" spans="1:11" x14ac:dyDescent="0.35">
      <c r="K1048"/>
    </row>
    <row r="1049" spans="1:11" x14ac:dyDescent="0.35">
      <c r="K1049"/>
    </row>
    <row r="1050" spans="1:11" x14ac:dyDescent="0.35">
      <c r="K1050"/>
    </row>
    <row r="1051" spans="1:11" x14ac:dyDescent="0.35">
      <c r="K1051"/>
    </row>
    <row r="1052" spans="1:11" x14ac:dyDescent="0.35">
      <c r="K1052"/>
    </row>
    <row r="1053" spans="1:11" x14ac:dyDescent="0.35">
      <c r="K1053"/>
    </row>
    <row r="1054" spans="1:11" x14ac:dyDescent="0.35">
      <c r="K1054"/>
    </row>
    <row r="1055" spans="1:11" x14ac:dyDescent="0.35">
      <c r="K1055"/>
    </row>
    <row r="1056" spans="1:11" x14ac:dyDescent="0.35">
      <c r="K1056"/>
    </row>
    <row r="1057" spans="11:11" x14ac:dyDescent="0.35">
      <c r="K1057"/>
    </row>
    <row r="1058" spans="11:11" x14ac:dyDescent="0.35">
      <c r="K1058"/>
    </row>
    <row r="1059" spans="11:11" x14ac:dyDescent="0.35">
      <c r="K1059"/>
    </row>
  </sheetData>
  <sortState xmlns:xlrd2="http://schemas.microsoft.com/office/spreadsheetml/2017/richdata2" ref="B2:K1062">
    <sortCondition ref="K1:K1062"/>
  </sortState>
  <customSheetViews>
    <customSheetView guid="{87A1CBC9-9776-4993-B904-8709C619272F}" scale="110">
      <selection activeCell="H3" sqref="H3"/>
      <pageMargins left="0.7" right="0.7" top="0.75" bottom="0.75" header="0.3" footer="0.3"/>
    </customSheetView>
  </customSheetViews>
  <phoneticPr fontId="8" type="noConversion"/>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08C1-5ADA-4CDA-B163-2C966511DA47}">
  <dimension ref="C4:H19"/>
  <sheetViews>
    <sheetView zoomScale="145" zoomScaleNormal="145" workbookViewId="0">
      <selection activeCell="C4" sqref="C4:H19"/>
    </sheetView>
  </sheetViews>
  <sheetFormatPr defaultRowHeight="14.5" x14ac:dyDescent="0.35"/>
  <cols>
    <col min="3" max="3" width="11" bestFit="1" customWidth="1"/>
    <col min="4" max="4" width="10.7265625" customWidth="1"/>
    <col min="5" max="5" width="14.453125" customWidth="1"/>
    <col min="6" max="6" width="10.1796875" customWidth="1"/>
    <col min="7" max="7" width="11.54296875" customWidth="1"/>
    <col min="8" max="8" width="12.81640625" customWidth="1"/>
  </cols>
  <sheetData>
    <row r="4" spans="3:8" x14ac:dyDescent="0.35">
      <c r="C4" s="66" t="s">
        <v>4</v>
      </c>
      <c r="D4" s="66" t="s">
        <v>18</v>
      </c>
      <c r="E4" s="66" t="s">
        <v>35</v>
      </c>
      <c r="F4" s="66" t="s">
        <v>29</v>
      </c>
      <c r="G4" s="66" t="s">
        <v>21</v>
      </c>
      <c r="H4" s="66" t="s">
        <v>13</v>
      </c>
    </row>
    <row r="5" spans="3:8" x14ac:dyDescent="0.35">
      <c r="C5" t="s">
        <v>39</v>
      </c>
    </row>
    <row r="6" spans="3:8" x14ac:dyDescent="0.35">
      <c r="C6" t="s">
        <v>43</v>
      </c>
    </row>
    <row r="7" spans="3:8" x14ac:dyDescent="0.35">
      <c r="C7" t="s">
        <v>20</v>
      </c>
    </row>
    <row r="8" spans="3:8" x14ac:dyDescent="0.35">
      <c r="C8" t="s">
        <v>32</v>
      </c>
    </row>
    <row r="9" spans="3:8" x14ac:dyDescent="0.35">
      <c r="C9" t="s">
        <v>45</v>
      </c>
    </row>
    <row r="10" spans="3:8" x14ac:dyDescent="0.35">
      <c r="C10" t="s">
        <v>34</v>
      </c>
    </row>
    <row r="11" spans="3:8" x14ac:dyDescent="0.35">
      <c r="C11" t="s">
        <v>44</v>
      </c>
    </row>
    <row r="12" spans="3:8" x14ac:dyDescent="0.35">
      <c r="C12" t="s">
        <v>22</v>
      </c>
    </row>
    <row r="13" spans="3:8" x14ac:dyDescent="0.35">
      <c r="C13" t="s">
        <v>12</v>
      </c>
    </row>
    <row r="14" spans="3:8" x14ac:dyDescent="0.35">
      <c r="C14" t="s">
        <v>17</v>
      </c>
    </row>
    <row r="15" spans="3:8" x14ac:dyDescent="0.35">
      <c r="C15" t="s">
        <v>27</v>
      </c>
    </row>
    <row r="16" spans="3:8" x14ac:dyDescent="0.35">
      <c r="C16" t="s">
        <v>25</v>
      </c>
    </row>
    <row r="17" spans="3:3" x14ac:dyDescent="0.35">
      <c r="C17" t="s">
        <v>41</v>
      </c>
    </row>
    <row r="18" spans="3:3" x14ac:dyDescent="0.35">
      <c r="C18" t="s">
        <v>42</v>
      </c>
    </row>
    <row r="19" spans="3:3" x14ac:dyDescent="0.35">
      <c r="C19" t="s">
        <v>40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9E71-53CE-4572-A806-BB1795CE3FC0}">
  <dimension ref="D4:AA81"/>
  <sheetViews>
    <sheetView tabSelected="1" topLeftCell="K1" zoomScale="85" zoomScaleNormal="85" workbookViewId="0">
      <selection activeCell="Q7" sqref="Q7"/>
    </sheetView>
  </sheetViews>
  <sheetFormatPr defaultRowHeight="14.5" x14ac:dyDescent="0.35"/>
  <cols>
    <col min="1" max="1" width="11" bestFit="1" customWidth="1"/>
    <col min="2" max="2" width="9.7265625" bestFit="1" customWidth="1"/>
    <col min="3" max="13" width="11" bestFit="1" customWidth="1"/>
    <col min="14" max="14" width="10.7265625" bestFit="1" customWidth="1"/>
    <col min="15" max="56" width="11.6328125" bestFit="1" customWidth="1"/>
    <col min="57" max="57" width="10.7265625" bestFit="1" customWidth="1"/>
  </cols>
  <sheetData>
    <row r="4" spans="4:27" x14ac:dyDescent="0.35">
      <c r="D4" t="e">
        <f>0/0</f>
        <v>#DIV/0!</v>
      </c>
    </row>
    <row r="6" spans="4:27" x14ac:dyDescent="0.35">
      <c r="O6" s="66" t="s">
        <v>4</v>
      </c>
      <c r="P6" s="66" t="s">
        <v>5</v>
      </c>
      <c r="Q6" s="66" t="s">
        <v>31</v>
      </c>
      <c r="R6" s="66" t="s">
        <v>37</v>
      </c>
      <c r="S6" s="66" t="s">
        <v>30</v>
      </c>
      <c r="T6" s="66" t="s">
        <v>97</v>
      </c>
      <c r="U6" s="66" t="s">
        <v>26</v>
      </c>
      <c r="V6" s="66" t="s">
        <v>36</v>
      </c>
      <c r="W6" s="66" t="s">
        <v>28</v>
      </c>
      <c r="X6" s="66" t="s">
        <v>33</v>
      </c>
      <c r="Y6" s="66" t="s">
        <v>14</v>
      </c>
      <c r="Z6" s="66" t="s">
        <v>195</v>
      </c>
      <c r="AA6" s="66" t="s">
        <v>96</v>
      </c>
    </row>
    <row r="7" spans="4:27" x14ac:dyDescent="0.35">
      <c r="O7" s="20" t="s">
        <v>39</v>
      </c>
      <c r="P7" t="s">
        <v>18</v>
      </c>
      <c r="Q7">
        <f>IFERROR(AVERAGEIFS(Table1[[Sales Amount]:[Sales Amount]],Table1[[City]:[City]],$O7,Table1[[Product]:[Product]],$P7,Table1[[Salesman]:[Salesman]],Q$6),0)</f>
        <v>0</v>
      </c>
      <c r="R7">
        <f>IFERROR(AVERAGEIFS(Table1[[Sales Amount]:[Sales Amount]],Table1[[City]:[City]],$O7,Table1[[Product]:[Product]],$P7,Table1[[Salesman]:[Salesman]],R$6),0)</f>
        <v>0</v>
      </c>
      <c r="S7">
        <f>IFERROR(AVERAGEIFS(Table1[[Sales Amount]:[Sales Amount]],Table1[[City]:[City]],$O7,Table1[[Product]:[Product]],$P7,Table1[[Salesman]:[Salesman]],S$6),0)</f>
        <v>0</v>
      </c>
      <c r="T7">
        <f>IFERROR(AVERAGEIFS(Table1[[Sales Amount]:[Sales Amount]],Table1[[City]:[City]],$O7,Table1[[Product]:[Product]],$P7,Table1[[Salesman]:[Salesman]],T$6),0)</f>
        <v>7651</v>
      </c>
      <c r="U7">
        <f>IFERROR(AVERAGEIFS(Table1[[Sales Amount]:[Sales Amount]],Table1[[City]:[City]],$O7,Table1[[Product]:[Product]],$P7,Table1[[Salesman]:[Salesman]],U$6),0)</f>
        <v>0</v>
      </c>
      <c r="V7">
        <f>IFERROR(AVERAGEIFS(Table1[[Sales Amount]:[Sales Amount]],Table1[[City]:[City]],$O7,Table1[[Product]:[Product]],$P7,Table1[[Salesman]:[Salesman]],V$6),0)</f>
        <v>13527.42</v>
      </c>
      <c r="W7">
        <f>IFERROR(AVERAGEIFS(Table1[[Sales Amount]:[Sales Amount]],Table1[[City]:[City]],$O7,Table1[[Product]:[Product]],$P7,Table1[[Salesman]:[Salesman]],W$6),0)</f>
        <v>0</v>
      </c>
      <c r="X7">
        <f>IFERROR(AVERAGEIFS(Table1[[Sales Amount]:[Sales Amount]],Table1[[City]:[City]],$O7,Table1[[Product]:[Product]],$P7,Table1[[Salesman]:[Salesman]],X$6),0)</f>
        <v>0</v>
      </c>
      <c r="Y7">
        <f>IFERROR(AVERAGEIFS(Table1[[Sales Amount]:[Sales Amount]],Table1[[City]:[City]],$O7,Table1[[Product]:[Product]],$P7,Table1[[Salesman]:[Salesman]],Y$6),0)</f>
        <v>0</v>
      </c>
      <c r="Z7">
        <f>IFERROR(AVERAGEIFS(Table1[[Sales Amount]:[Sales Amount]],Table1[[City]:[City]],$O7,Table1[[Product]:[Product]],$P7,Table1[[Salesman]:[Salesman]],Z$6),0)</f>
        <v>9329.82</v>
      </c>
      <c r="AA7">
        <f>IFERROR(AVERAGEIFS(Table1[[Sales Amount]:[Sales Amount]],Table1[[City]:[City]],$O7,Table1[[Product]:[Product]],$P7,Table1[[Salesman]:[Salesman]],AA$6),0)</f>
        <v>40777.230000000003</v>
      </c>
    </row>
    <row r="8" spans="4:27" x14ac:dyDescent="0.35">
      <c r="O8" s="20" t="s">
        <v>39</v>
      </c>
      <c r="P8" t="s">
        <v>35</v>
      </c>
      <c r="Q8">
        <f>IFERROR(AVERAGEIFS(Table1[[Sales Amount]:[Sales Amount]],Table1[[City]:[City]],$O8,Table1[[Product]:[Product]],$P8,Table1[[Salesman]:[Salesman]],Q$6),0)</f>
        <v>12747.04</v>
      </c>
      <c r="R8">
        <f>IFERROR(AVERAGEIFS(Table1[[Sales Amount]:[Sales Amount]],Table1[[City]:[City]],$O8,Table1[[Product]:[Product]],$P8,Table1[[Salesman]:[Salesman]],R$6),0)</f>
        <v>22108.733333333334</v>
      </c>
      <c r="S8">
        <f>IFERROR(AVERAGEIFS(Table1[[Sales Amount]:[Sales Amount]],Table1[[City]:[City]],$O8,Table1[[Product]:[Product]],$P8,Table1[[Salesman]:[Salesman]],S$6),0)</f>
        <v>8435</v>
      </c>
      <c r="T8">
        <f>IFERROR(AVERAGEIFS(Table1[[Sales Amount]:[Sales Amount]],Table1[[City]:[City]],$O8,Table1[[Product]:[Product]],$P8,Table1[[Salesman]:[Salesman]],T$6),0)</f>
        <v>8448.99</v>
      </c>
      <c r="U8">
        <f>IFERROR(AVERAGEIFS(Table1[[Sales Amount]:[Sales Amount]],Table1[[City]:[City]],$O8,Table1[[Product]:[Product]],$P8,Table1[[Salesman]:[Salesman]],U$6),0)</f>
        <v>15329.12</v>
      </c>
      <c r="V8">
        <f>IFERROR(AVERAGEIFS(Table1[[Sales Amount]:[Sales Amount]],Table1[[City]:[City]],$O8,Table1[[Product]:[Product]],$P8,Table1[[Salesman]:[Salesman]],V$6),0)</f>
        <v>42670.600000000006</v>
      </c>
      <c r="W8">
        <f>IFERROR(AVERAGEIFS(Table1[[Sales Amount]:[Sales Amount]],Table1[[City]:[City]],$O8,Table1[[Product]:[Product]],$P8,Table1[[Salesman]:[Salesman]],W$6),0)</f>
        <v>3067.08</v>
      </c>
      <c r="X8">
        <f>IFERROR(AVERAGEIFS(Table1[[Sales Amount]:[Sales Amount]],Table1[[City]:[City]],$O8,Table1[[Product]:[Product]],$P8,Table1[[Salesman]:[Salesman]],X$6),0)</f>
        <v>0</v>
      </c>
      <c r="Y8">
        <f>IFERROR(AVERAGEIFS(Table1[[Sales Amount]:[Sales Amount]],Table1[[City]:[City]],$O8,Table1[[Product]:[Product]],$P8,Table1[[Salesman]:[Salesman]],Y$6),0)</f>
        <v>10342.885</v>
      </c>
      <c r="Z8">
        <f>IFERROR(AVERAGEIFS(Table1[[Sales Amount]:[Sales Amount]],Table1[[City]:[City]],$O8,Table1[[Product]:[Product]],$P8,Table1[[Salesman]:[Salesman]],Z$6),0)</f>
        <v>33768.164999999994</v>
      </c>
      <c r="AA8">
        <f>IFERROR(AVERAGEIFS(Table1[[Sales Amount]:[Sales Amount]],Table1[[City]:[City]],$O8,Table1[[Product]:[Product]],$P8,Table1[[Salesman]:[Salesman]],AA$6),0)</f>
        <v>25702.22</v>
      </c>
    </row>
    <row r="9" spans="4:27" x14ac:dyDescent="0.35">
      <c r="O9" s="20" t="s">
        <v>39</v>
      </c>
      <c r="P9" t="s">
        <v>29</v>
      </c>
      <c r="Q9">
        <f>IFERROR(AVERAGEIFS(Table1[[Sales Amount]:[Sales Amount]],Table1[[City]:[City]],$O9,Table1[[Product]:[Product]],$P9,Table1[[Salesman]:[Salesman]],Q$6),0)</f>
        <v>0</v>
      </c>
      <c r="R9">
        <f>IFERROR(AVERAGEIFS(Table1[[Sales Amount]:[Sales Amount]],Table1[[City]:[City]],$O9,Table1[[Product]:[Product]],$P9,Table1[[Salesman]:[Salesman]],R$6),0)</f>
        <v>864.95</v>
      </c>
      <c r="S9">
        <f>IFERROR(AVERAGEIFS(Table1[[Sales Amount]:[Sales Amount]],Table1[[City]:[City]],$O9,Table1[[Product]:[Product]],$P9,Table1[[Salesman]:[Salesman]],S$6),0)</f>
        <v>49836.160000000003</v>
      </c>
      <c r="T9">
        <f>IFERROR(AVERAGEIFS(Table1[[Sales Amount]:[Sales Amount]],Table1[[City]:[City]],$O9,Table1[[Product]:[Product]],$P9,Table1[[Salesman]:[Salesman]],T$6),0)</f>
        <v>82625.87</v>
      </c>
      <c r="U9">
        <f>IFERROR(AVERAGEIFS(Table1[[Sales Amount]:[Sales Amount]],Table1[[City]:[City]],$O9,Table1[[Product]:[Product]],$P9,Table1[[Salesman]:[Salesman]],U$6),0)</f>
        <v>34634.239999999998</v>
      </c>
      <c r="V9">
        <f>IFERROR(AVERAGEIFS(Table1[[Sales Amount]:[Sales Amount]],Table1[[City]:[City]],$O9,Table1[[Product]:[Product]],$P9,Table1[[Salesman]:[Salesman]],V$6),0)</f>
        <v>4801.1000000000004</v>
      </c>
      <c r="W9">
        <f>IFERROR(AVERAGEIFS(Table1[[Sales Amount]:[Sales Amount]],Table1[[City]:[City]],$O9,Table1[[Product]:[Product]],$P9,Table1[[Salesman]:[Salesman]],W$6),0)</f>
        <v>11182.525</v>
      </c>
      <c r="X9">
        <f>IFERROR(AVERAGEIFS(Table1[[Sales Amount]:[Sales Amount]],Table1[[City]:[City]],$O9,Table1[[Product]:[Product]],$P9,Table1[[Salesman]:[Salesman]],X$6),0)</f>
        <v>0</v>
      </c>
      <c r="Y9">
        <f>IFERROR(AVERAGEIFS(Table1[[Sales Amount]:[Sales Amount]],Table1[[City]:[City]],$O9,Table1[[Product]:[Product]],$P9,Table1[[Salesman]:[Salesman]],Y$6),0)</f>
        <v>40773.573333333334</v>
      </c>
      <c r="Z9">
        <f>IFERROR(AVERAGEIFS(Table1[[Sales Amount]:[Sales Amount]],Table1[[City]:[City]],$O9,Table1[[Product]:[Product]],$P9,Table1[[Salesman]:[Salesman]],Z$6),0)</f>
        <v>45324.55000000001</v>
      </c>
      <c r="AA9">
        <f>IFERROR(AVERAGEIFS(Table1[[Sales Amount]:[Sales Amount]],Table1[[City]:[City]],$O9,Table1[[Product]:[Product]],$P9,Table1[[Salesman]:[Salesman]],AA$6),0)</f>
        <v>56889.974999999999</v>
      </c>
    </row>
    <row r="10" spans="4:27" x14ac:dyDescent="0.35">
      <c r="O10" s="20" t="s">
        <v>39</v>
      </c>
      <c r="P10" t="s">
        <v>21</v>
      </c>
      <c r="Q10">
        <f>IFERROR(AVERAGEIFS(Table1[[Sales Amount]:[Sales Amount]],Table1[[City]:[City]],$O10,Table1[[Product]:[Product]],$P10,Table1[[Salesman]:[Salesman]],Q$6),0)</f>
        <v>2808.3</v>
      </c>
      <c r="R10">
        <f>IFERROR(AVERAGEIFS(Table1[[Sales Amount]:[Sales Amount]],Table1[[City]:[City]],$O10,Table1[[Product]:[Product]],$P10,Table1[[Salesman]:[Salesman]],R$6),0)</f>
        <v>39017.490000000005</v>
      </c>
      <c r="S10">
        <f>IFERROR(AVERAGEIFS(Table1[[Sales Amount]:[Sales Amount]],Table1[[City]:[City]],$O10,Table1[[Product]:[Product]],$P10,Table1[[Salesman]:[Salesman]],S$6),0)</f>
        <v>3931.11</v>
      </c>
      <c r="T10">
        <f>IFERROR(AVERAGEIFS(Table1[[Sales Amount]:[Sales Amount]],Table1[[City]:[City]],$O10,Table1[[Product]:[Product]],$P10,Table1[[Salesman]:[Salesman]],T$6),0)</f>
        <v>0</v>
      </c>
      <c r="U10">
        <f>IFERROR(AVERAGEIFS(Table1[[Sales Amount]:[Sales Amount]],Table1[[City]:[City]],$O10,Table1[[Product]:[Product]],$P10,Table1[[Salesman]:[Salesman]],U$6),0)</f>
        <v>70988.760000000009</v>
      </c>
      <c r="V10">
        <f>IFERROR(AVERAGEIFS(Table1[[Sales Amount]:[Sales Amount]],Table1[[City]:[City]],$O10,Table1[[Product]:[Product]],$P10,Table1[[Salesman]:[Salesman]],V$6),0)</f>
        <v>0</v>
      </c>
      <c r="W10">
        <f>IFERROR(AVERAGEIFS(Table1[[Sales Amount]:[Sales Amount]],Table1[[City]:[City]],$O10,Table1[[Product]:[Product]],$P10,Table1[[Salesman]:[Salesman]],W$6),0)</f>
        <v>28258.915000000001</v>
      </c>
      <c r="X10">
        <f>IFERROR(AVERAGEIFS(Table1[[Sales Amount]:[Sales Amount]],Table1[[City]:[City]],$O10,Table1[[Product]:[Product]],$P10,Table1[[Salesman]:[Salesman]],X$6),0)</f>
        <v>15030.1525</v>
      </c>
      <c r="Y10">
        <f>IFERROR(AVERAGEIFS(Table1[[Sales Amount]:[Sales Amount]],Table1[[City]:[City]],$O10,Table1[[Product]:[Product]],$P10,Table1[[Salesman]:[Salesman]],Y$6),0)</f>
        <v>16267.933333333334</v>
      </c>
      <c r="Z10">
        <f>IFERROR(AVERAGEIFS(Table1[[Sales Amount]:[Sales Amount]],Table1[[City]:[City]],$O10,Table1[[Product]:[Product]],$P10,Table1[[Salesman]:[Salesman]],Z$6),0)</f>
        <v>4185.8600000000006</v>
      </c>
      <c r="AA10">
        <f>IFERROR(AVERAGEIFS(Table1[[Sales Amount]:[Sales Amount]],Table1[[City]:[City]],$O10,Table1[[Product]:[Product]],$P10,Table1[[Salesman]:[Salesman]],AA$6),0)</f>
        <v>11543.79</v>
      </c>
    </row>
    <row r="11" spans="4:27" x14ac:dyDescent="0.35">
      <c r="O11" s="67" t="s">
        <v>39</v>
      </c>
      <c r="P11" t="s">
        <v>13</v>
      </c>
      <c r="Q11">
        <f>IFERROR(AVERAGEIFS(Table1[[Sales Amount]:[Sales Amount]],Table1[[City]:[City]],$O11,Table1[[Product]:[Product]],$P11,Table1[[Salesman]:[Salesman]],Q$6),0)</f>
        <v>0</v>
      </c>
      <c r="R11">
        <f>IFERROR(AVERAGEIFS(Table1[[Sales Amount]:[Sales Amount]],Table1[[City]:[City]],$O11,Table1[[Product]:[Product]],$P11,Table1[[Salesman]:[Salesman]],R$6),0)</f>
        <v>0</v>
      </c>
      <c r="S11">
        <f>IFERROR(AVERAGEIFS(Table1[[Sales Amount]:[Sales Amount]],Table1[[City]:[City]],$O11,Table1[[Product]:[Product]],$P11,Table1[[Salesman]:[Salesman]],S$6),0)</f>
        <v>42426.377500000002</v>
      </c>
      <c r="T11">
        <f>IFERROR(AVERAGEIFS(Table1[[Sales Amount]:[Sales Amount]],Table1[[City]:[City]],$O11,Table1[[Product]:[Product]],$P11,Table1[[Salesman]:[Salesman]],T$6),0)</f>
        <v>43957.760000000002</v>
      </c>
      <c r="U11">
        <f>IFERROR(AVERAGEIFS(Table1[[Sales Amount]:[Sales Amount]],Table1[[City]:[City]],$O11,Table1[[Product]:[Product]],$P11,Table1[[Salesman]:[Salesman]],U$6),0)</f>
        <v>23305.950000000004</v>
      </c>
      <c r="V11">
        <f>IFERROR(AVERAGEIFS(Table1[[Sales Amount]:[Sales Amount]],Table1[[City]:[City]],$O11,Table1[[Product]:[Product]],$P11,Table1[[Salesman]:[Salesman]],V$6),0)</f>
        <v>62782.219999999994</v>
      </c>
      <c r="W11">
        <f>IFERROR(AVERAGEIFS(Table1[[Sales Amount]:[Sales Amount]],Table1[[City]:[City]],$O11,Table1[[Product]:[Product]],$P11,Table1[[Salesman]:[Salesman]],W$6),0)</f>
        <v>4476.92</v>
      </c>
      <c r="X11">
        <f>IFERROR(AVERAGEIFS(Table1[[Sales Amount]:[Sales Amount]],Table1[[City]:[City]],$O11,Table1[[Product]:[Product]],$P11,Table1[[Salesman]:[Salesman]],X$6),0)</f>
        <v>38728.697500000002</v>
      </c>
      <c r="Y11">
        <f>IFERROR(AVERAGEIFS(Table1[[Sales Amount]:[Sales Amount]],Table1[[City]:[City]],$O11,Table1[[Product]:[Product]],$P11,Table1[[Salesman]:[Salesman]],Y$6),0)</f>
        <v>59049.22</v>
      </c>
      <c r="Z11">
        <f>IFERROR(AVERAGEIFS(Table1[[Sales Amount]:[Sales Amount]],Table1[[City]:[City]],$O11,Table1[[Product]:[Product]],$P11,Table1[[Salesman]:[Salesman]],Z$6),0)</f>
        <v>0</v>
      </c>
      <c r="AA11">
        <f>IFERROR(AVERAGEIFS(Table1[[Sales Amount]:[Sales Amount]],Table1[[City]:[City]],$O11,Table1[[Product]:[Product]],$P11,Table1[[Salesman]:[Salesman]],AA$6),0)</f>
        <v>0</v>
      </c>
    </row>
    <row r="12" spans="4:27" x14ac:dyDescent="0.35">
      <c r="O12" s="20" t="s">
        <v>43</v>
      </c>
      <c r="P12" t="s">
        <v>18</v>
      </c>
      <c r="Q12">
        <f>IFERROR(AVERAGEIFS(Table1[[Sales Amount]:[Sales Amount]],Table1[[City]:[City]],$O12,Table1[[Product]:[Product]],$P12,Table1[[Salesman]:[Salesman]],Q$6),0)</f>
        <v>37202.82</v>
      </c>
      <c r="R12">
        <f>IFERROR(AVERAGEIFS(Table1[[Sales Amount]:[Sales Amount]],Table1[[City]:[City]],$O12,Table1[[Product]:[Product]],$P12,Table1[[Salesman]:[Salesman]],R$6),0)</f>
        <v>32983.64</v>
      </c>
      <c r="S12">
        <f>IFERROR(AVERAGEIFS(Table1[[Sales Amount]:[Sales Amount]],Table1[[City]:[City]],$O12,Table1[[Product]:[Product]],$P12,Table1[[Salesman]:[Salesman]],S$6),0)</f>
        <v>54168</v>
      </c>
      <c r="T12">
        <f>IFERROR(AVERAGEIFS(Table1[[Sales Amount]:[Sales Amount]],Table1[[City]:[City]],$O12,Table1[[Product]:[Product]],$P12,Table1[[Salesman]:[Salesman]],T$6),0)</f>
        <v>15202.453333333333</v>
      </c>
      <c r="U12">
        <f>IFERROR(AVERAGEIFS(Table1[[Sales Amount]:[Sales Amount]],Table1[[City]:[City]],$O12,Table1[[Product]:[Product]],$P12,Table1[[Salesman]:[Salesman]],U$6),0)</f>
        <v>49720.24</v>
      </c>
      <c r="V12">
        <f>IFERROR(AVERAGEIFS(Table1[[Sales Amount]:[Sales Amount]],Table1[[City]:[City]],$O12,Table1[[Product]:[Product]],$P12,Table1[[Salesman]:[Salesman]],V$6),0)</f>
        <v>0</v>
      </c>
      <c r="W12">
        <f>IFERROR(AVERAGEIFS(Table1[[Sales Amount]:[Sales Amount]],Table1[[City]:[City]],$O12,Table1[[Product]:[Product]],$P12,Table1[[Salesman]:[Salesman]],W$6),0)</f>
        <v>4723.7699999999995</v>
      </c>
      <c r="X12">
        <f>IFERROR(AVERAGEIFS(Table1[[Sales Amount]:[Sales Amount]],Table1[[City]:[City]],$O12,Table1[[Product]:[Product]],$P12,Table1[[Salesman]:[Salesman]],X$6),0)</f>
        <v>0</v>
      </c>
      <c r="Y12">
        <f>IFERROR(AVERAGEIFS(Table1[[Sales Amount]:[Sales Amount]],Table1[[City]:[City]],$O12,Table1[[Product]:[Product]],$P12,Table1[[Salesman]:[Salesman]],Y$6),0)</f>
        <v>13431.316000000001</v>
      </c>
      <c r="Z12">
        <f>IFERROR(AVERAGEIFS(Table1[[Sales Amount]:[Sales Amount]],Table1[[City]:[City]],$O12,Table1[[Product]:[Product]],$P12,Table1[[Salesman]:[Salesman]],Z$6),0)</f>
        <v>36841.684999999998</v>
      </c>
      <c r="AA12">
        <f>IFERROR(AVERAGEIFS(Table1[[Sales Amount]:[Sales Amount]],Table1[[City]:[City]],$O12,Table1[[Product]:[Product]],$P12,Table1[[Salesman]:[Salesman]],AA$6),0)</f>
        <v>25794.2</v>
      </c>
    </row>
    <row r="13" spans="4:27" x14ac:dyDescent="0.35">
      <c r="O13" s="20" t="s">
        <v>43</v>
      </c>
      <c r="P13" t="s">
        <v>35</v>
      </c>
      <c r="Q13">
        <f>IFERROR(AVERAGEIFS(Table1[[Sales Amount]:[Sales Amount]],Table1[[City]:[City]],$O13,Table1[[Product]:[Product]],$P13,Table1[[Salesman]:[Salesman]],Q$6),0)</f>
        <v>6863.9</v>
      </c>
      <c r="R13">
        <f>IFERROR(AVERAGEIFS(Table1[[Sales Amount]:[Sales Amount]],Table1[[City]:[City]],$O13,Table1[[Product]:[Product]],$P13,Table1[[Salesman]:[Salesman]],R$6),0)</f>
        <v>0</v>
      </c>
      <c r="S13">
        <f>IFERROR(AVERAGEIFS(Table1[[Sales Amount]:[Sales Amount]],Table1[[City]:[City]],$O13,Table1[[Product]:[Product]],$P13,Table1[[Salesman]:[Salesman]],S$6),0)</f>
        <v>0</v>
      </c>
      <c r="T13">
        <f>IFERROR(AVERAGEIFS(Table1[[Sales Amount]:[Sales Amount]],Table1[[City]:[City]],$O13,Table1[[Product]:[Product]],$P13,Table1[[Salesman]:[Salesman]],T$6),0)</f>
        <v>4574.18</v>
      </c>
      <c r="U13">
        <f>IFERROR(AVERAGEIFS(Table1[[Sales Amount]:[Sales Amount]],Table1[[City]:[City]],$O13,Table1[[Product]:[Product]],$P13,Table1[[Salesman]:[Salesman]],U$6),0)</f>
        <v>55105.89</v>
      </c>
      <c r="V13">
        <f>IFERROR(AVERAGEIFS(Table1[[Sales Amount]:[Sales Amount]],Table1[[City]:[City]],$O13,Table1[[Product]:[Product]],$P13,Table1[[Salesman]:[Salesman]],V$6),0)</f>
        <v>4643.7300000000005</v>
      </c>
      <c r="W13">
        <f>IFERROR(AVERAGEIFS(Table1[[Sales Amount]:[Sales Amount]],Table1[[City]:[City]],$O13,Table1[[Product]:[Product]],$P13,Table1[[Salesman]:[Salesman]],W$6),0)</f>
        <v>4574.18</v>
      </c>
      <c r="X13">
        <f>IFERROR(AVERAGEIFS(Table1[[Sales Amount]:[Sales Amount]],Table1[[City]:[City]],$O13,Table1[[Product]:[Product]],$P13,Table1[[Salesman]:[Salesman]],X$6),0)</f>
        <v>51873.320000000007</v>
      </c>
      <c r="Y13">
        <f>IFERROR(AVERAGEIFS(Table1[[Sales Amount]:[Sales Amount]],Table1[[City]:[City]],$O13,Table1[[Product]:[Product]],$P13,Table1[[Salesman]:[Salesman]],Y$6),0)</f>
        <v>11466.956666666667</v>
      </c>
      <c r="Z13">
        <f>IFERROR(AVERAGEIFS(Table1[[Sales Amount]:[Sales Amount]],Table1[[City]:[City]],$O13,Table1[[Product]:[Product]],$P13,Table1[[Salesman]:[Salesman]],Z$6),0)</f>
        <v>8152.1999999999989</v>
      </c>
      <c r="AA13">
        <f>IFERROR(AVERAGEIFS(Table1[[Sales Amount]:[Sales Amount]],Table1[[City]:[City]],$O13,Table1[[Product]:[Product]],$P13,Table1[[Salesman]:[Salesman]],AA$6),0)</f>
        <v>0</v>
      </c>
    </row>
    <row r="14" spans="4:27" x14ac:dyDescent="0.35">
      <c r="O14" s="20" t="s">
        <v>43</v>
      </c>
      <c r="P14" t="s">
        <v>29</v>
      </c>
      <c r="Q14">
        <f>IFERROR(AVERAGEIFS(Table1[[Sales Amount]:[Sales Amount]],Table1[[City]:[City]],$O14,Table1[[Product]:[Product]],$P14,Table1[[Salesman]:[Salesman]],Q$6),0)</f>
        <v>0</v>
      </c>
      <c r="R14">
        <f>IFERROR(AVERAGEIFS(Table1[[Sales Amount]:[Sales Amount]],Table1[[City]:[City]],$O14,Table1[[Product]:[Product]],$P14,Table1[[Salesman]:[Salesman]],R$6),0)</f>
        <v>8427.5149999999994</v>
      </c>
      <c r="S14">
        <f>IFERROR(AVERAGEIFS(Table1[[Sales Amount]:[Sales Amount]],Table1[[City]:[City]],$O14,Table1[[Product]:[Product]],$P14,Table1[[Salesman]:[Salesman]],S$6),0)</f>
        <v>0</v>
      </c>
      <c r="T14">
        <f>IFERROR(AVERAGEIFS(Table1[[Sales Amount]:[Sales Amount]],Table1[[City]:[City]],$O14,Table1[[Product]:[Product]],$P14,Table1[[Salesman]:[Salesman]],T$6),0)</f>
        <v>12069.8</v>
      </c>
      <c r="U14">
        <f>IFERROR(AVERAGEIFS(Table1[[Sales Amount]:[Sales Amount]],Table1[[City]:[City]],$O14,Table1[[Product]:[Product]],$P14,Table1[[Salesman]:[Salesman]],U$6),0)</f>
        <v>0</v>
      </c>
      <c r="V14">
        <f>IFERROR(AVERAGEIFS(Table1[[Sales Amount]:[Sales Amount]],Table1[[City]:[City]],$O14,Table1[[Product]:[Product]],$P14,Table1[[Salesman]:[Salesman]],V$6),0)</f>
        <v>33699.126666666671</v>
      </c>
      <c r="W14">
        <f>IFERROR(AVERAGEIFS(Table1[[Sales Amount]:[Sales Amount]],Table1[[City]:[City]],$O14,Table1[[Product]:[Product]],$P14,Table1[[Salesman]:[Salesman]],W$6),0)</f>
        <v>2888.2</v>
      </c>
      <c r="X14">
        <f>IFERROR(AVERAGEIFS(Table1[[Sales Amount]:[Sales Amount]],Table1[[City]:[City]],$O14,Table1[[Product]:[Product]],$P14,Table1[[Salesman]:[Salesman]],X$6),0)</f>
        <v>35512.200000000004</v>
      </c>
      <c r="Y14">
        <f>IFERROR(AVERAGEIFS(Table1[[Sales Amount]:[Sales Amount]],Table1[[City]:[City]],$O14,Table1[[Product]:[Product]],$P14,Table1[[Salesman]:[Salesman]],Y$6),0)</f>
        <v>17959.48</v>
      </c>
      <c r="Z14">
        <f>IFERROR(AVERAGEIFS(Table1[[Sales Amount]:[Sales Amount]],Table1[[City]:[City]],$O14,Table1[[Product]:[Product]],$P14,Table1[[Salesman]:[Salesman]],Z$6),0)</f>
        <v>0</v>
      </c>
      <c r="AA14">
        <f>IFERROR(AVERAGEIFS(Table1[[Sales Amount]:[Sales Amount]],Table1[[City]:[City]],$O14,Table1[[Product]:[Product]],$P14,Table1[[Salesman]:[Salesman]],AA$6),0)</f>
        <v>7975.88</v>
      </c>
    </row>
    <row r="15" spans="4:27" x14ac:dyDescent="0.35">
      <c r="O15" s="20" t="s">
        <v>43</v>
      </c>
      <c r="P15" t="s">
        <v>21</v>
      </c>
      <c r="Q15">
        <f>IFERROR(AVERAGEIFS(Table1[[Sales Amount]:[Sales Amount]],Table1[[City]:[City]],$O15,Table1[[Product]:[Product]],$P15,Table1[[Salesman]:[Salesman]],Q$6),0)</f>
        <v>39499.79</v>
      </c>
      <c r="R15">
        <f>IFERROR(AVERAGEIFS(Table1[[Sales Amount]:[Sales Amount]],Table1[[City]:[City]],$O15,Table1[[Product]:[Product]],$P15,Table1[[Salesman]:[Salesman]],R$6),0)</f>
        <v>5972.16</v>
      </c>
      <c r="S15">
        <f>IFERROR(AVERAGEIFS(Table1[[Sales Amount]:[Sales Amount]],Table1[[City]:[City]],$O15,Table1[[Product]:[Product]],$P15,Table1[[Salesman]:[Salesman]],S$6),0)</f>
        <v>6598.08</v>
      </c>
      <c r="T15">
        <f>IFERROR(AVERAGEIFS(Table1[[Sales Amount]:[Sales Amount]],Table1[[City]:[City]],$O15,Table1[[Product]:[Product]],$P15,Table1[[Salesman]:[Salesman]],T$6),0)</f>
        <v>13245.84</v>
      </c>
      <c r="U15">
        <f>IFERROR(AVERAGEIFS(Table1[[Sales Amount]:[Sales Amount]],Table1[[City]:[City]],$O15,Table1[[Product]:[Product]],$P15,Table1[[Salesman]:[Salesman]],U$6),0)</f>
        <v>47646.9</v>
      </c>
      <c r="V15">
        <f>IFERROR(AVERAGEIFS(Table1[[Sales Amount]:[Sales Amount]],Table1[[City]:[City]],$O15,Table1[[Product]:[Product]],$P15,Table1[[Salesman]:[Salesman]],V$6),0)</f>
        <v>16767.837500000001</v>
      </c>
      <c r="W15">
        <f>IFERROR(AVERAGEIFS(Table1[[Sales Amount]:[Sales Amount]],Table1[[City]:[City]],$O15,Table1[[Product]:[Product]],$P15,Table1[[Salesman]:[Salesman]],W$6),0)</f>
        <v>12722.72</v>
      </c>
      <c r="X15">
        <f>IFERROR(AVERAGEIFS(Table1[[Sales Amount]:[Sales Amount]],Table1[[City]:[City]],$O15,Table1[[Product]:[Product]],$P15,Table1[[Salesman]:[Salesman]],X$6),0)</f>
        <v>18736.16</v>
      </c>
      <c r="Y15">
        <f>IFERROR(AVERAGEIFS(Table1[[Sales Amount]:[Sales Amount]],Table1[[City]:[City]],$O15,Table1[[Product]:[Product]],$P15,Table1[[Salesman]:[Salesman]],Y$6),0)</f>
        <v>42810.583333333336</v>
      </c>
      <c r="Z15">
        <f>IFERROR(AVERAGEIFS(Table1[[Sales Amount]:[Sales Amount]],Table1[[City]:[City]],$O15,Table1[[Product]:[Product]],$P15,Table1[[Salesman]:[Salesman]],Z$6),0)</f>
        <v>33174.03</v>
      </c>
      <c r="AA15">
        <f>IFERROR(AVERAGEIFS(Table1[[Sales Amount]:[Sales Amount]],Table1[[City]:[City]],$O15,Table1[[Product]:[Product]],$P15,Table1[[Salesman]:[Salesman]],AA$6),0)</f>
        <v>49308.959999999999</v>
      </c>
    </row>
    <row r="16" spans="4:27" x14ac:dyDescent="0.35">
      <c r="O16" s="67" t="s">
        <v>43</v>
      </c>
      <c r="P16" t="s">
        <v>13</v>
      </c>
      <c r="Q16">
        <f>IFERROR(AVERAGEIFS(Table1[[Sales Amount]:[Sales Amount]],Table1[[City]:[City]],$O16,Table1[[Product]:[Product]],$P16,Table1[[Salesman]:[Salesman]],Q$6),0)</f>
        <v>15748.64</v>
      </c>
      <c r="R16">
        <f>IFERROR(AVERAGEIFS(Table1[[Sales Amount]:[Sales Amount]],Table1[[City]:[City]],$O16,Table1[[Product]:[Product]],$P16,Table1[[Salesman]:[Salesman]],R$6),0)</f>
        <v>54218.18</v>
      </c>
      <c r="S16">
        <f>IFERROR(AVERAGEIFS(Table1[[Sales Amount]:[Sales Amount]],Table1[[City]:[City]],$O16,Table1[[Product]:[Product]],$P16,Table1[[Salesman]:[Salesman]],S$6),0)</f>
        <v>0</v>
      </c>
      <c r="T16">
        <f>IFERROR(AVERAGEIFS(Table1[[Sales Amount]:[Sales Amount]],Table1[[City]:[City]],$O16,Table1[[Product]:[Product]],$P16,Table1[[Salesman]:[Salesman]],T$6),0)</f>
        <v>20585.599999999999</v>
      </c>
      <c r="U16">
        <f>IFERROR(AVERAGEIFS(Table1[[Sales Amount]:[Sales Amount]],Table1[[City]:[City]],$O16,Table1[[Product]:[Product]],$P16,Table1[[Salesman]:[Salesman]],U$6),0)</f>
        <v>0</v>
      </c>
      <c r="V16">
        <f>IFERROR(AVERAGEIFS(Table1[[Sales Amount]:[Sales Amount]],Table1[[City]:[City]],$O16,Table1[[Product]:[Product]],$P16,Table1[[Salesman]:[Salesman]],V$6),0)</f>
        <v>0</v>
      </c>
      <c r="W16">
        <f>IFERROR(AVERAGEIFS(Table1[[Sales Amount]:[Sales Amount]],Table1[[City]:[City]],$O16,Table1[[Product]:[Product]],$P16,Table1[[Salesman]:[Salesman]],W$6),0)</f>
        <v>9737.5300000000007</v>
      </c>
      <c r="X16">
        <f>IFERROR(AVERAGEIFS(Table1[[Sales Amount]:[Sales Amount]],Table1[[City]:[City]],$O16,Table1[[Product]:[Product]],$P16,Table1[[Salesman]:[Salesman]],X$6),0)</f>
        <v>0</v>
      </c>
      <c r="Y16">
        <f>IFERROR(AVERAGEIFS(Table1[[Sales Amount]:[Sales Amount]],Table1[[City]:[City]],$O16,Table1[[Product]:[Product]],$P16,Table1[[Salesman]:[Salesman]],Y$6),0)</f>
        <v>28116.239999999998</v>
      </c>
      <c r="Z16">
        <f>IFERROR(AVERAGEIFS(Table1[[Sales Amount]:[Sales Amount]],Table1[[City]:[City]],$O16,Table1[[Product]:[Product]],$P16,Table1[[Salesman]:[Salesman]],Z$6),0)</f>
        <v>8747.17</v>
      </c>
      <c r="AA16">
        <f>IFERROR(AVERAGEIFS(Table1[[Sales Amount]:[Sales Amount]],Table1[[City]:[City]],$O16,Table1[[Product]:[Product]],$P16,Table1[[Salesman]:[Salesman]],AA$6),0)</f>
        <v>38933.449999999997</v>
      </c>
    </row>
    <row r="17" spans="15:27" x14ac:dyDescent="0.35">
      <c r="O17" s="20" t="s">
        <v>20</v>
      </c>
      <c r="P17" t="s">
        <v>18</v>
      </c>
      <c r="Q17">
        <f>IFERROR(AVERAGEIFS(Table1[[Sales Amount]:[Sales Amount]],Table1[[City]:[City]],$O17,Table1[[Product]:[Product]],$P17,Table1[[Salesman]:[Salesman]],Q$6),0)</f>
        <v>421.27</v>
      </c>
      <c r="R17">
        <f>IFERROR(AVERAGEIFS(Table1[[Sales Amount]:[Sales Amount]],Table1[[City]:[City]],$O17,Table1[[Product]:[Product]],$P17,Table1[[Salesman]:[Salesman]],R$6),0)</f>
        <v>65216.200000000004</v>
      </c>
      <c r="S17">
        <f>IFERROR(AVERAGEIFS(Table1[[Sales Amount]:[Sales Amount]],Table1[[City]:[City]],$O17,Table1[[Product]:[Product]],$P17,Table1[[Salesman]:[Salesman]],S$6),0)</f>
        <v>76758.570000000007</v>
      </c>
      <c r="T17">
        <f>IFERROR(AVERAGEIFS(Table1[[Sales Amount]:[Sales Amount]],Table1[[City]:[City]],$O17,Table1[[Product]:[Product]],$P17,Table1[[Salesman]:[Salesman]],T$6),0)</f>
        <v>48853.7</v>
      </c>
      <c r="U17">
        <f>IFERROR(AVERAGEIFS(Table1[[Sales Amount]:[Sales Amount]],Table1[[City]:[City]],$O17,Table1[[Product]:[Product]],$P17,Table1[[Salesman]:[Salesman]],U$6),0)</f>
        <v>0</v>
      </c>
      <c r="V17">
        <f>IFERROR(AVERAGEIFS(Table1[[Sales Amount]:[Sales Amount]],Table1[[City]:[City]],$O17,Table1[[Product]:[Product]],$P17,Table1[[Salesman]:[Salesman]],V$6),0)</f>
        <v>1520.97</v>
      </c>
      <c r="W17">
        <f>IFERROR(AVERAGEIFS(Table1[[Sales Amount]:[Sales Amount]],Table1[[City]:[City]],$O17,Table1[[Product]:[Product]],$P17,Table1[[Salesman]:[Salesman]],W$6),0)</f>
        <v>15693.610000000002</v>
      </c>
      <c r="X17">
        <f>IFERROR(AVERAGEIFS(Table1[[Sales Amount]:[Sales Amount]],Table1[[City]:[City]],$O17,Table1[[Product]:[Product]],$P17,Table1[[Salesman]:[Salesman]],X$6),0)</f>
        <v>42241.279999999999</v>
      </c>
      <c r="Y17">
        <f>IFERROR(AVERAGEIFS(Table1[[Sales Amount]:[Sales Amount]],Table1[[City]:[City]],$O17,Table1[[Product]:[Product]],$P17,Table1[[Salesman]:[Salesman]],Y$6),0)</f>
        <v>7384.52</v>
      </c>
      <c r="Z17">
        <f>IFERROR(AVERAGEIFS(Table1[[Sales Amount]:[Sales Amount]],Table1[[City]:[City]],$O17,Table1[[Product]:[Product]],$P17,Table1[[Salesman]:[Salesman]],Z$6),0)</f>
        <v>0</v>
      </c>
      <c r="AA17">
        <f>IFERROR(AVERAGEIFS(Table1[[Sales Amount]:[Sales Amount]],Table1[[City]:[City]],$O17,Table1[[Product]:[Product]],$P17,Table1[[Salesman]:[Salesman]],AA$6),0)</f>
        <v>79266.42</v>
      </c>
    </row>
    <row r="18" spans="15:27" x14ac:dyDescent="0.35">
      <c r="O18" s="20" t="s">
        <v>20</v>
      </c>
      <c r="P18" t="s">
        <v>35</v>
      </c>
      <c r="Q18">
        <f>IFERROR(AVERAGEIFS(Table1[[Sales Amount]:[Sales Amount]],Table1[[City]:[City]],$O18,Table1[[Product]:[Product]],$P18,Table1[[Salesman]:[Salesman]],Q$6),0)</f>
        <v>35010.17</v>
      </c>
      <c r="R18">
        <f>IFERROR(AVERAGEIFS(Table1[[Sales Amount]:[Sales Amount]],Table1[[City]:[City]],$O18,Table1[[Product]:[Product]],$P18,Table1[[Salesman]:[Salesman]],R$6),0)</f>
        <v>0</v>
      </c>
      <c r="S18">
        <f>IFERROR(AVERAGEIFS(Table1[[Sales Amount]:[Sales Amount]],Table1[[City]:[City]],$O18,Table1[[Product]:[Product]],$P18,Table1[[Salesman]:[Salesman]],S$6),0)</f>
        <v>0</v>
      </c>
      <c r="T18">
        <f>IFERROR(AVERAGEIFS(Table1[[Sales Amount]:[Sales Amount]],Table1[[City]:[City]],$O18,Table1[[Product]:[Product]],$P18,Table1[[Salesman]:[Salesman]],T$6),0)</f>
        <v>88213.96</v>
      </c>
      <c r="U18">
        <f>IFERROR(AVERAGEIFS(Table1[[Sales Amount]:[Sales Amount]],Table1[[City]:[City]],$O18,Table1[[Product]:[Product]],$P18,Table1[[Salesman]:[Salesman]],U$6),0)</f>
        <v>12090.88</v>
      </c>
      <c r="V18">
        <f>IFERROR(AVERAGEIFS(Table1[[Sales Amount]:[Sales Amount]],Table1[[City]:[City]],$O18,Table1[[Product]:[Product]],$P18,Table1[[Salesman]:[Salesman]],V$6),0)</f>
        <v>0</v>
      </c>
      <c r="W18">
        <f>IFERROR(AVERAGEIFS(Table1[[Sales Amount]:[Sales Amount]],Table1[[City]:[City]],$O18,Table1[[Product]:[Product]],$P18,Table1[[Salesman]:[Salesman]],W$6),0)</f>
        <v>2559</v>
      </c>
      <c r="X18">
        <f>IFERROR(AVERAGEIFS(Table1[[Sales Amount]:[Sales Amount]],Table1[[City]:[City]],$O18,Table1[[Product]:[Product]],$P18,Table1[[Salesman]:[Salesman]],X$6),0)</f>
        <v>18105.78</v>
      </c>
      <c r="Y18">
        <f>IFERROR(AVERAGEIFS(Table1[[Sales Amount]:[Sales Amount]],Table1[[City]:[City]],$O18,Table1[[Product]:[Product]],$P18,Table1[[Salesman]:[Salesman]],Y$6),0)</f>
        <v>53306.754999999997</v>
      </c>
      <c r="Z18">
        <f>IFERROR(AVERAGEIFS(Table1[[Sales Amount]:[Sales Amount]],Table1[[City]:[City]],$O18,Table1[[Product]:[Product]],$P18,Table1[[Salesman]:[Salesman]],Z$6),0)</f>
        <v>12396.51</v>
      </c>
      <c r="AA18">
        <f>IFERROR(AVERAGEIFS(Table1[[Sales Amount]:[Sales Amount]],Table1[[City]:[City]],$O18,Table1[[Product]:[Product]],$P18,Table1[[Salesman]:[Salesman]],AA$6),0)</f>
        <v>23029.38</v>
      </c>
    </row>
    <row r="19" spans="15:27" x14ac:dyDescent="0.35">
      <c r="O19" s="20" t="s">
        <v>20</v>
      </c>
      <c r="P19" t="s">
        <v>29</v>
      </c>
      <c r="Q19">
        <f>IFERROR(AVERAGEIFS(Table1[[Sales Amount]:[Sales Amount]],Table1[[City]:[City]],$O19,Table1[[Product]:[Product]],$P19,Table1[[Salesman]:[Salesman]],Q$6),0)</f>
        <v>0</v>
      </c>
      <c r="R19">
        <f>IFERROR(AVERAGEIFS(Table1[[Sales Amount]:[Sales Amount]],Table1[[City]:[City]],$O19,Table1[[Product]:[Product]],$P19,Table1[[Salesman]:[Salesman]],R$6),0)</f>
        <v>23492.399999999998</v>
      </c>
      <c r="S19">
        <f>IFERROR(AVERAGEIFS(Table1[[Sales Amount]:[Sales Amount]],Table1[[City]:[City]],$O19,Table1[[Product]:[Product]],$P19,Table1[[Salesman]:[Salesman]],S$6),0)</f>
        <v>2984.58</v>
      </c>
      <c r="T19">
        <f>IFERROR(AVERAGEIFS(Table1[[Sales Amount]:[Sales Amount]],Table1[[City]:[City]],$O19,Table1[[Product]:[Product]],$P19,Table1[[Salesman]:[Salesman]],T$6),0)</f>
        <v>0</v>
      </c>
      <c r="U19">
        <f>IFERROR(AVERAGEIFS(Table1[[Sales Amount]:[Sales Amount]],Table1[[City]:[City]],$O19,Table1[[Product]:[Product]],$P19,Table1[[Salesman]:[Salesman]],U$6),0)</f>
        <v>0</v>
      </c>
      <c r="V19">
        <f>IFERROR(AVERAGEIFS(Table1[[Sales Amount]:[Sales Amount]],Table1[[City]:[City]],$O19,Table1[[Product]:[Product]],$P19,Table1[[Salesman]:[Salesman]],V$6),0)</f>
        <v>10599.900000000001</v>
      </c>
      <c r="W19">
        <f>IFERROR(AVERAGEIFS(Table1[[Sales Amount]:[Sales Amount]],Table1[[City]:[City]],$O19,Table1[[Product]:[Product]],$P19,Table1[[Salesman]:[Salesman]],W$6),0)</f>
        <v>16247.88</v>
      </c>
      <c r="X19">
        <f>IFERROR(AVERAGEIFS(Table1[[Sales Amount]:[Sales Amount]],Table1[[City]:[City]],$O19,Table1[[Product]:[Product]],$P19,Table1[[Salesman]:[Salesman]],X$6),0)</f>
        <v>16233.92</v>
      </c>
      <c r="Y19">
        <f>IFERROR(AVERAGEIFS(Table1[[Sales Amount]:[Sales Amount]],Table1[[City]:[City]],$O19,Table1[[Product]:[Product]],$P19,Table1[[Salesman]:[Salesman]],Y$6),0)</f>
        <v>0</v>
      </c>
      <c r="Z19">
        <f>IFERROR(AVERAGEIFS(Table1[[Sales Amount]:[Sales Amount]],Table1[[City]:[City]],$O19,Table1[[Product]:[Product]],$P19,Table1[[Salesman]:[Salesman]],Z$6),0)</f>
        <v>0</v>
      </c>
      <c r="AA19">
        <f>IFERROR(AVERAGEIFS(Table1[[Sales Amount]:[Sales Amount]],Table1[[City]:[City]],$O19,Table1[[Product]:[Product]],$P19,Table1[[Salesman]:[Salesman]],AA$6),0)</f>
        <v>4831.0199999999995</v>
      </c>
    </row>
    <row r="20" spans="15:27" x14ac:dyDescent="0.35">
      <c r="O20" s="20" t="s">
        <v>20</v>
      </c>
      <c r="P20" t="s">
        <v>21</v>
      </c>
      <c r="Q20">
        <f>IFERROR(AVERAGEIFS(Table1[[Sales Amount]:[Sales Amount]],Table1[[City]:[City]],$O20,Table1[[Product]:[Product]],$P20,Table1[[Salesman]:[Salesman]],Q$6),0)</f>
        <v>22614.94</v>
      </c>
      <c r="R20">
        <f>IFERROR(AVERAGEIFS(Table1[[Sales Amount]:[Sales Amount]],Table1[[City]:[City]],$O20,Table1[[Product]:[Product]],$P20,Table1[[Salesman]:[Salesman]],R$6),0)</f>
        <v>7228.6</v>
      </c>
      <c r="S20">
        <f>IFERROR(AVERAGEIFS(Table1[[Sales Amount]:[Sales Amount]],Table1[[City]:[City]],$O20,Table1[[Product]:[Product]],$P20,Table1[[Salesman]:[Salesman]],S$6),0)</f>
        <v>0</v>
      </c>
      <c r="T20">
        <f>IFERROR(AVERAGEIFS(Table1[[Sales Amount]:[Sales Amount]],Table1[[City]:[City]],$O20,Table1[[Product]:[Product]],$P20,Table1[[Salesman]:[Salesman]],T$6),0)</f>
        <v>4979.45</v>
      </c>
      <c r="U20">
        <f>IFERROR(AVERAGEIFS(Table1[[Sales Amount]:[Sales Amount]],Table1[[City]:[City]],$O20,Table1[[Product]:[Product]],$P20,Table1[[Salesman]:[Salesman]],U$6),0)</f>
        <v>1558.7</v>
      </c>
      <c r="V20">
        <f>IFERROR(AVERAGEIFS(Table1[[Sales Amount]:[Sales Amount]],Table1[[City]:[City]],$O20,Table1[[Product]:[Product]],$P20,Table1[[Salesman]:[Salesman]],V$6),0)</f>
        <v>47034.464999999997</v>
      </c>
      <c r="W20">
        <f>IFERROR(AVERAGEIFS(Table1[[Sales Amount]:[Sales Amount]],Table1[[City]:[City]],$O20,Table1[[Product]:[Product]],$P20,Table1[[Salesman]:[Salesman]],W$6),0)</f>
        <v>0</v>
      </c>
      <c r="X20">
        <f>IFERROR(AVERAGEIFS(Table1[[Sales Amount]:[Sales Amount]],Table1[[City]:[City]],$O20,Table1[[Product]:[Product]],$P20,Table1[[Salesman]:[Salesman]],X$6),0)</f>
        <v>20898.36</v>
      </c>
      <c r="Y20">
        <f>IFERROR(AVERAGEIFS(Table1[[Sales Amount]:[Sales Amount]],Table1[[City]:[City]],$O20,Table1[[Product]:[Product]],$P20,Table1[[Salesman]:[Salesman]],Y$6),0)</f>
        <v>44259.329999999994</v>
      </c>
      <c r="Z20">
        <f>IFERROR(AVERAGEIFS(Table1[[Sales Amount]:[Sales Amount]],Table1[[City]:[City]],$O20,Table1[[Product]:[Product]],$P20,Table1[[Salesman]:[Salesman]],Z$6),0)</f>
        <v>1470.26</v>
      </c>
      <c r="AA20">
        <f>IFERROR(AVERAGEIFS(Table1[[Sales Amount]:[Sales Amount]],Table1[[City]:[City]],$O20,Table1[[Product]:[Product]],$P20,Table1[[Salesman]:[Salesman]],AA$6),0)</f>
        <v>21007.224999999999</v>
      </c>
    </row>
    <row r="21" spans="15:27" x14ac:dyDescent="0.35">
      <c r="O21" s="67" t="s">
        <v>20</v>
      </c>
      <c r="P21" t="s">
        <v>13</v>
      </c>
      <c r="Q21">
        <f>IFERROR(AVERAGEIFS(Table1[[Sales Amount]:[Sales Amount]],Table1[[City]:[City]],$O21,Table1[[Product]:[Product]],$P21,Table1[[Salesman]:[Salesman]],Q$6),0)</f>
        <v>0</v>
      </c>
      <c r="R21">
        <f>IFERROR(AVERAGEIFS(Table1[[Sales Amount]:[Sales Amount]],Table1[[City]:[City]],$O21,Table1[[Product]:[Product]],$P21,Table1[[Salesman]:[Salesman]],R$6),0)</f>
        <v>32686.775000000001</v>
      </c>
      <c r="S21">
        <f>IFERROR(AVERAGEIFS(Table1[[Sales Amount]:[Sales Amount]],Table1[[City]:[City]],$O21,Table1[[Product]:[Product]],$P21,Table1[[Salesman]:[Salesman]],S$6),0)</f>
        <v>22947.423333333336</v>
      </c>
      <c r="T21">
        <f>IFERROR(AVERAGEIFS(Table1[[Sales Amount]:[Sales Amount]],Table1[[City]:[City]],$O21,Table1[[Product]:[Product]],$P21,Table1[[Salesman]:[Salesman]],T$6),0)</f>
        <v>23041.050000000003</v>
      </c>
      <c r="U21">
        <f>IFERROR(AVERAGEIFS(Table1[[Sales Amount]:[Sales Amount]],Table1[[City]:[City]],$O21,Table1[[Product]:[Product]],$P21,Table1[[Salesman]:[Salesman]],U$6),0)</f>
        <v>73864.98</v>
      </c>
      <c r="V21">
        <f>IFERROR(AVERAGEIFS(Table1[[Sales Amount]:[Sales Amount]],Table1[[City]:[City]],$O21,Table1[[Product]:[Product]],$P21,Table1[[Salesman]:[Salesman]],V$6),0)</f>
        <v>2551.56</v>
      </c>
      <c r="W21">
        <f>IFERROR(AVERAGEIFS(Table1[[Sales Amount]:[Sales Amount]],Table1[[City]:[City]],$O21,Table1[[Product]:[Product]],$P21,Table1[[Salesman]:[Salesman]],W$6),0)</f>
        <v>6732.25</v>
      </c>
      <c r="X21">
        <f>IFERROR(AVERAGEIFS(Table1[[Sales Amount]:[Sales Amount]],Table1[[City]:[City]],$O21,Table1[[Product]:[Product]],$P21,Table1[[Salesman]:[Salesman]],X$6),0)</f>
        <v>0</v>
      </c>
      <c r="Y21">
        <f>IFERROR(AVERAGEIFS(Table1[[Sales Amount]:[Sales Amount]],Table1[[City]:[City]],$O21,Table1[[Product]:[Product]],$P21,Table1[[Salesman]:[Salesman]],Y$6),0)</f>
        <v>28475.1</v>
      </c>
      <c r="Z21">
        <f>IFERROR(AVERAGEIFS(Table1[[Sales Amount]:[Sales Amount]],Table1[[City]:[City]],$O21,Table1[[Product]:[Product]],$P21,Table1[[Salesman]:[Salesman]],Z$6),0)</f>
        <v>20427.840000000004</v>
      </c>
      <c r="AA21">
        <f>IFERROR(AVERAGEIFS(Table1[[Sales Amount]:[Sales Amount]],Table1[[City]:[City]],$O21,Table1[[Product]:[Product]],$P21,Table1[[Salesman]:[Salesman]],AA$6),0)</f>
        <v>0</v>
      </c>
    </row>
    <row r="22" spans="15:27" x14ac:dyDescent="0.35">
      <c r="O22" s="20" t="s">
        <v>32</v>
      </c>
      <c r="P22" t="s">
        <v>18</v>
      </c>
      <c r="Q22">
        <f>IFERROR(AVERAGEIFS(Table1[[Sales Amount]:[Sales Amount]],Table1[[City]:[City]],$O22,Table1[[Product]:[Product]],$P22,Table1[[Salesman]:[Salesman]],Q$6),0)</f>
        <v>19844.04</v>
      </c>
      <c r="R22">
        <f>IFERROR(AVERAGEIFS(Table1[[Sales Amount]:[Sales Amount]],Table1[[City]:[City]],$O22,Table1[[Product]:[Product]],$P22,Table1[[Salesman]:[Salesman]],R$6),0)</f>
        <v>21405.75</v>
      </c>
      <c r="S22">
        <f>IFERROR(AVERAGEIFS(Table1[[Sales Amount]:[Sales Amount]],Table1[[City]:[City]],$O22,Table1[[Product]:[Product]],$P22,Table1[[Salesman]:[Salesman]],S$6),0)</f>
        <v>68689.350000000006</v>
      </c>
      <c r="T22">
        <f>IFERROR(AVERAGEIFS(Table1[[Sales Amount]:[Sales Amount]],Table1[[City]:[City]],$O22,Table1[[Product]:[Product]],$P22,Table1[[Salesman]:[Salesman]],T$6),0)</f>
        <v>9702.08</v>
      </c>
      <c r="U22">
        <f>IFERROR(AVERAGEIFS(Table1[[Sales Amount]:[Sales Amount]],Table1[[City]:[City]],$O22,Table1[[Product]:[Product]],$P22,Table1[[Salesman]:[Salesman]],U$6),0)</f>
        <v>79599.78</v>
      </c>
      <c r="V22">
        <f>IFERROR(AVERAGEIFS(Table1[[Sales Amount]:[Sales Amount]],Table1[[City]:[City]],$O22,Table1[[Product]:[Product]],$P22,Table1[[Salesman]:[Salesman]],V$6),0)</f>
        <v>0</v>
      </c>
      <c r="W22">
        <f>IFERROR(AVERAGEIFS(Table1[[Sales Amount]:[Sales Amount]],Table1[[City]:[City]],$O22,Table1[[Product]:[Product]],$P22,Table1[[Salesman]:[Salesman]],W$6),0)</f>
        <v>0</v>
      </c>
      <c r="X22">
        <f>IFERROR(AVERAGEIFS(Table1[[Sales Amount]:[Sales Amount]],Table1[[City]:[City]],$O22,Table1[[Product]:[Product]],$P22,Table1[[Salesman]:[Salesman]],X$6),0)</f>
        <v>29726.140000000003</v>
      </c>
      <c r="Y22">
        <f>IFERROR(AVERAGEIFS(Table1[[Sales Amount]:[Sales Amount]],Table1[[City]:[City]],$O22,Table1[[Product]:[Product]],$P22,Table1[[Salesman]:[Salesman]],Y$6),0)</f>
        <v>42830.87000000001</v>
      </c>
      <c r="Z22">
        <f>IFERROR(AVERAGEIFS(Table1[[Sales Amount]:[Sales Amount]],Table1[[City]:[City]],$O22,Table1[[Product]:[Product]],$P22,Table1[[Salesman]:[Salesman]],Z$6),0)</f>
        <v>16856.739999999998</v>
      </c>
      <c r="AA22">
        <f>IFERROR(AVERAGEIFS(Table1[[Sales Amount]:[Sales Amount]],Table1[[City]:[City]],$O22,Table1[[Product]:[Product]],$P22,Table1[[Salesman]:[Salesman]],AA$6),0)</f>
        <v>35532.01</v>
      </c>
    </row>
    <row r="23" spans="15:27" x14ac:dyDescent="0.35">
      <c r="O23" s="20" t="s">
        <v>32</v>
      </c>
      <c r="P23" t="s">
        <v>35</v>
      </c>
      <c r="Q23">
        <f>IFERROR(AVERAGEIFS(Table1[[Sales Amount]:[Sales Amount]],Table1[[City]:[City]],$O23,Table1[[Product]:[Product]],$P23,Table1[[Salesman]:[Salesman]],Q$6),0)</f>
        <v>11924.56</v>
      </c>
      <c r="R23">
        <f>IFERROR(AVERAGEIFS(Table1[[Sales Amount]:[Sales Amount]],Table1[[City]:[City]],$O23,Table1[[Product]:[Product]],$P23,Table1[[Salesman]:[Salesman]],R$6),0)</f>
        <v>0</v>
      </c>
      <c r="S23">
        <f>IFERROR(AVERAGEIFS(Table1[[Sales Amount]:[Sales Amount]],Table1[[City]:[City]],$O23,Table1[[Product]:[Product]],$P23,Table1[[Salesman]:[Salesman]],S$6),0)</f>
        <v>33680.299999999996</v>
      </c>
      <c r="T23">
        <f>IFERROR(AVERAGEIFS(Table1[[Sales Amount]:[Sales Amount]],Table1[[City]:[City]],$O23,Table1[[Product]:[Product]],$P23,Table1[[Salesman]:[Salesman]],T$6),0)</f>
        <v>0</v>
      </c>
      <c r="U23">
        <f>IFERROR(AVERAGEIFS(Table1[[Sales Amount]:[Sales Amount]],Table1[[City]:[City]],$O23,Table1[[Product]:[Product]],$P23,Table1[[Salesman]:[Salesman]],U$6),0)</f>
        <v>41480.400000000001</v>
      </c>
      <c r="V23">
        <f>IFERROR(AVERAGEIFS(Table1[[Sales Amount]:[Sales Amount]],Table1[[City]:[City]],$O23,Table1[[Product]:[Product]],$P23,Table1[[Salesman]:[Salesman]],V$6),0)</f>
        <v>1558.27</v>
      </c>
      <c r="W23">
        <f>IFERROR(AVERAGEIFS(Table1[[Sales Amount]:[Sales Amount]],Table1[[City]:[City]],$O23,Table1[[Product]:[Product]],$P23,Table1[[Salesman]:[Salesman]],W$6),0)</f>
        <v>27255.724999999999</v>
      </c>
      <c r="X23">
        <f>IFERROR(AVERAGEIFS(Table1[[Sales Amount]:[Sales Amount]],Table1[[City]:[City]],$O23,Table1[[Product]:[Product]],$P23,Table1[[Salesman]:[Salesman]],X$6),0)</f>
        <v>48926.2</v>
      </c>
      <c r="Y23">
        <f>IFERROR(AVERAGEIFS(Table1[[Sales Amount]:[Sales Amount]],Table1[[City]:[City]],$O23,Table1[[Product]:[Product]],$P23,Table1[[Salesman]:[Salesman]],Y$6),0)</f>
        <v>25556.153333333332</v>
      </c>
      <c r="Z23">
        <f>IFERROR(AVERAGEIFS(Table1[[Sales Amount]:[Sales Amount]],Table1[[City]:[City]],$O23,Table1[[Product]:[Product]],$P23,Table1[[Salesman]:[Salesman]],Z$6),0)</f>
        <v>11388.724999999999</v>
      </c>
      <c r="AA23">
        <f>IFERROR(AVERAGEIFS(Table1[[Sales Amount]:[Sales Amount]],Table1[[City]:[City]],$O23,Table1[[Product]:[Product]],$P23,Table1[[Salesman]:[Salesman]],AA$6),0)</f>
        <v>4424.76</v>
      </c>
    </row>
    <row r="24" spans="15:27" x14ac:dyDescent="0.35">
      <c r="O24" s="20" t="s">
        <v>32</v>
      </c>
      <c r="P24" t="s">
        <v>29</v>
      </c>
      <c r="Q24">
        <f>IFERROR(AVERAGEIFS(Table1[[Sales Amount]:[Sales Amount]],Table1[[City]:[City]],$O24,Table1[[Product]:[Product]],$P24,Table1[[Salesman]:[Salesman]],Q$6),0)</f>
        <v>9707.7759999999998</v>
      </c>
      <c r="R24">
        <f>IFERROR(AVERAGEIFS(Table1[[Sales Amount]:[Sales Amount]],Table1[[City]:[City]],$O24,Table1[[Product]:[Product]],$P24,Table1[[Salesman]:[Salesman]],R$6),0)</f>
        <v>17904.39</v>
      </c>
      <c r="S24">
        <f>IFERROR(AVERAGEIFS(Table1[[Sales Amount]:[Sales Amount]],Table1[[City]:[City]],$O24,Table1[[Product]:[Product]],$P24,Table1[[Salesman]:[Salesman]],S$6),0)</f>
        <v>0</v>
      </c>
      <c r="T24">
        <f>IFERROR(AVERAGEIFS(Table1[[Sales Amount]:[Sales Amount]],Table1[[City]:[City]],$O24,Table1[[Product]:[Product]],$P24,Table1[[Salesman]:[Salesman]],T$6),0)</f>
        <v>26786.637500000001</v>
      </c>
      <c r="U24">
        <f>IFERROR(AVERAGEIFS(Table1[[Sales Amount]:[Sales Amount]],Table1[[City]:[City]],$O24,Table1[[Product]:[Product]],$P24,Table1[[Salesman]:[Salesman]],U$6),0)</f>
        <v>0</v>
      </c>
      <c r="V24">
        <f>IFERROR(AVERAGEIFS(Table1[[Sales Amount]:[Sales Amount]],Table1[[City]:[City]],$O24,Table1[[Product]:[Product]],$P24,Table1[[Salesman]:[Salesman]],V$6),0)</f>
        <v>5519.1</v>
      </c>
      <c r="W24">
        <f>IFERROR(AVERAGEIFS(Table1[[Sales Amount]:[Sales Amount]],Table1[[City]:[City]],$O24,Table1[[Product]:[Product]],$P24,Table1[[Salesman]:[Salesman]],W$6),0)</f>
        <v>9994.4599999999991</v>
      </c>
      <c r="X24">
        <f>IFERROR(AVERAGEIFS(Table1[[Sales Amount]:[Sales Amount]],Table1[[City]:[City]],$O24,Table1[[Product]:[Product]],$P24,Table1[[Salesman]:[Salesman]],X$6),0)</f>
        <v>3734.74</v>
      </c>
      <c r="Y24">
        <f>IFERROR(AVERAGEIFS(Table1[[Sales Amount]:[Sales Amount]],Table1[[City]:[City]],$O24,Table1[[Product]:[Product]],$P24,Table1[[Salesman]:[Salesman]],Y$6),0)</f>
        <v>12406.099999999999</v>
      </c>
      <c r="Z24">
        <f>IFERROR(AVERAGEIFS(Table1[[Sales Amount]:[Sales Amount]],Table1[[City]:[City]],$O24,Table1[[Product]:[Product]],$P24,Table1[[Salesman]:[Salesman]],Z$6),0)</f>
        <v>18574.677499999998</v>
      </c>
      <c r="AA24">
        <f>IFERROR(AVERAGEIFS(Table1[[Sales Amount]:[Sales Amount]],Table1[[City]:[City]],$O24,Table1[[Product]:[Product]],$P24,Table1[[Salesman]:[Salesman]],AA$6),0)</f>
        <v>632.39</v>
      </c>
    </row>
    <row r="25" spans="15:27" x14ac:dyDescent="0.35">
      <c r="O25" s="20" t="s">
        <v>32</v>
      </c>
      <c r="P25" t="s">
        <v>21</v>
      </c>
      <c r="Q25">
        <f>IFERROR(AVERAGEIFS(Table1[[Sales Amount]:[Sales Amount]],Table1[[City]:[City]],$O25,Table1[[Product]:[Product]],$P25,Table1[[Salesman]:[Salesman]],Q$6),0)</f>
        <v>4935.21</v>
      </c>
      <c r="R25">
        <f>IFERROR(AVERAGEIFS(Table1[[Sales Amount]:[Sales Amount]],Table1[[City]:[City]],$O25,Table1[[Product]:[Product]],$P25,Table1[[Salesman]:[Salesman]],R$6),0)</f>
        <v>47189.760000000002</v>
      </c>
      <c r="S25">
        <f>IFERROR(AVERAGEIFS(Table1[[Sales Amount]:[Sales Amount]],Table1[[City]:[City]],$O25,Table1[[Product]:[Product]],$P25,Table1[[Salesman]:[Salesman]],S$6),0)</f>
        <v>0</v>
      </c>
      <c r="T25">
        <f>IFERROR(AVERAGEIFS(Table1[[Sales Amount]:[Sales Amount]],Table1[[City]:[City]],$O25,Table1[[Product]:[Product]],$P25,Table1[[Salesman]:[Salesman]],T$6),0)</f>
        <v>6667.5</v>
      </c>
      <c r="U25">
        <f>IFERROR(AVERAGEIFS(Table1[[Sales Amount]:[Sales Amount]],Table1[[City]:[City]],$O25,Table1[[Product]:[Product]],$P25,Table1[[Salesman]:[Salesman]],U$6),0)</f>
        <v>48669.120000000003</v>
      </c>
      <c r="V25">
        <f>IFERROR(AVERAGEIFS(Table1[[Sales Amount]:[Sales Amount]],Table1[[City]:[City]],$O25,Table1[[Product]:[Product]],$P25,Table1[[Salesman]:[Salesman]],V$6),0)</f>
        <v>44384.793333333335</v>
      </c>
      <c r="W25">
        <f>IFERROR(AVERAGEIFS(Table1[[Sales Amount]:[Sales Amount]],Table1[[City]:[City]],$O25,Table1[[Product]:[Product]],$P25,Table1[[Salesman]:[Salesman]],W$6),0)</f>
        <v>31225.9</v>
      </c>
      <c r="X25">
        <f>IFERROR(AVERAGEIFS(Table1[[Sales Amount]:[Sales Amount]],Table1[[City]:[City]],$O25,Table1[[Product]:[Product]],$P25,Table1[[Salesman]:[Salesman]],X$6),0)</f>
        <v>0</v>
      </c>
      <c r="Y25">
        <f>IFERROR(AVERAGEIFS(Table1[[Sales Amount]:[Sales Amount]],Table1[[City]:[City]],$O25,Table1[[Product]:[Product]],$P25,Table1[[Salesman]:[Salesman]],Y$6),0)</f>
        <v>0</v>
      </c>
      <c r="Z25">
        <f>IFERROR(AVERAGEIFS(Table1[[Sales Amount]:[Sales Amount]],Table1[[City]:[City]],$O25,Table1[[Product]:[Product]],$P25,Table1[[Salesman]:[Salesman]],Z$6),0)</f>
        <v>19763.843333333334</v>
      </c>
      <c r="AA25">
        <f>IFERROR(AVERAGEIFS(Table1[[Sales Amount]:[Sales Amount]],Table1[[City]:[City]],$O25,Table1[[Product]:[Product]],$P25,Table1[[Salesman]:[Salesman]],AA$6),0)</f>
        <v>39175.4</v>
      </c>
    </row>
    <row r="26" spans="15:27" x14ac:dyDescent="0.35">
      <c r="O26" s="67" t="s">
        <v>32</v>
      </c>
      <c r="P26" t="s">
        <v>13</v>
      </c>
      <c r="Q26">
        <f>IFERROR(AVERAGEIFS(Table1[[Sales Amount]:[Sales Amount]],Table1[[City]:[City]],$O26,Table1[[Product]:[Product]],$P26,Table1[[Salesman]:[Salesman]],Q$6),0)</f>
        <v>0</v>
      </c>
      <c r="R26">
        <f>IFERROR(AVERAGEIFS(Table1[[Sales Amount]:[Sales Amount]],Table1[[City]:[City]],$O26,Table1[[Product]:[Product]],$P26,Table1[[Salesman]:[Salesman]],R$6),0)</f>
        <v>5686</v>
      </c>
      <c r="S26">
        <f>IFERROR(AVERAGEIFS(Table1[[Sales Amount]:[Sales Amount]],Table1[[City]:[City]],$O26,Table1[[Product]:[Product]],$P26,Table1[[Salesman]:[Salesman]],S$6),0)</f>
        <v>13263.06</v>
      </c>
      <c r="T26">
        <f>IFERROR(AVERAGEIFS(Table1[[Sales Amount]:[Sales Amount]],Table1[[City]:[City]],$O26,Table1[[Product]:[Product]],$P26,Table1[[Salesman]:[Salesman]],T$6),0)</f>
        <v>0</v>
      </c>
      <c r="U26">
        <f>IFERROR(AVERAGEIFS(Table1[[Sales Amount]:[Sales Amount]],Table1[[City]:[City]],$O26,Table1[[Product]:[Product]],$P26,Table1[[Salesman]:[Salesman]],U$6),0)</f>
        <v>50101.93</v>
      </c>
      <c r="V26">
        <f>IFERROR(AVERAGEIFS(Table1[[Sales Amount]:[Sales Amount]],Table1[[City]:[City]],$O26,Table1[[Product]:[Product]],$P26,Table1[[Salesman]:[Salesman]],V$6),0)</f>
        <v>64120.43</v>
      </c>
      <c r="W26">
        <f>IFERROR(AVERAGEIFS(Table1[[Sales Amount]:[Sales Amount]],Table1[[City]:[City]],$O26,Table1[[Product]:[Product]],$P26,Table1[[Salesman]:[Salesman]],W$6),0)</f>
        <v>23539.26</v>
      </c>
      <c r="X26">
        <f>IFERROR(AVERAGEIFS(Table1[[Sales Amount]:[Sales Amount]],Table1[[City]:[City]],$O26,Table1[[Product]:[Product]],$P26,Table1[[Salesman]:[Salesman]],X$6),0)</f>
        <v>56130.619999999995</v>
      </c>
      <c r="Y26">
        <f>IFERROR(AVERAGEIFS(Table1[[Sales Amount]:[Sales Amount]],Table1[[City]:[City]],$O26,Table1[[Product]:[Product]],$P26,Table1[[Salesman]:[Salesman]],Y$6),0)</f>
        <v>17833.759999999998</v>
      </c>
      <c r="Z26">
        <f>IFERROR(AVERAGEIFS(Table1[[Sales Amount]:[Sales Amount]],Table1[[City]:[City]],$O26,Table1[[Product]:[Product]],$P26,Table1[[Salesman]:[Salesman]],Z$6),0)</f>
        <v>20521.605</v>
      </c>
      <c r="AA26">
        <f>IFERROR(AVERAGEIFS(Table1[[Sales Amount]:[Sales Amount]],Table1[[City]:[City]],$O26,Table1[[Product]:[Product]],$P26,Table1[[Salesman]:[Salesman]],AA$6),0)</f>
        <v>26691.279999999999</v>
      </c>
    </row>
    <row r="27" spans="15:27" x14ac:dyDescent="0.35">
      <c r="O27" s="20" t="s">
        <v>45</v>
      </c>
      <c r="P27" t="s">
        <v>18</v>
      </c>
      <c r="Q27">
        <f>IFERROR(AVERAGEIFS(Table1[[Sales Amount]:[Sales Amount]],Table1[[City]:[City]],$O27,Table1[[Product]:[Product]],$P27,Table1[[Salesman]:[Salesman]],Q$6),0)</f>
        <v>0</v>
      </c>
      <c r="R27">
        <f>IFERROR(AVERAGEIFS(Table1[[Sales Amount]:[Sales Amount]],Table1[[City]:[City]],$O27,Table1[[Product]:[Product]],$P27,Table1[[Salesman]:[Salesman]],R$6),0)</f>
        <v>46959.355000000003</v>
      </c>
      <c r="S27">
        <f>IFERROR(AVERAGEIFS(Table1[[Sales Amount]:[Sales Amount]],Table1[[City]:[City]],$O27,Table1[[Product]:[Product]],$P27,Table1[[Salesman]:[Salesman]],S$6),0)</f>
        <v>18751.86</v>
      </c>
      <c r="T27">
        <f>IFERROR(AVERAGEIFS(Table1[[Sales Amount]:[Sales Amount]],Table1[[City]:[City]],$O27,Table1[[Product]:[Product]],$P27,Table1[[Salesman]:[Salesman]],T$6),0)</f>
        <v>19280.36</v>
      </c>
      <c r="U27">
        <f>IFERROR(AVERAGEIFS(Table1[[Sales Amount]:[Sales Amount]],Table1[[City]:[City]],$O27,Table1[[Product]:[Product]],$P27,Table1[[Salesman]:[Salesman]],U$6),0)</f>
        <v>0</v>
      </c>
      <c r="V27">
        <f>IFERROR(AVERAGEIFS(Table1[[Sales Amount]:[Sales Amount]],Table1[[City]:[City]],$O27,Table1[[Product]:[Product]],$P27,Table1[[Salesman]:[Salesman]],V$6),0)</f>
        <v>15907.4</v>
      </c>
      <c r="W27">
        <f>IFERROR(AVERAGEIFS(Table1[[Sales Amount]:[Sales Amount]],Table1[[City]:[City]],$O27,Table1[[Product]:[Product]],$P27,Table1[[Salesman]:[Salesman]],W$6),0)</f>
        <v>19090.100000000002</v>
      </c>
      <c r="X27">
        <f>IFERROR(AVERAGEIFS(Table1[[Sales Amount]:[Sales Amount]],Table1[[City]:[City]],$O27,Table1[[Product]:[Product]],$P27,Table1[[Salesman]:[Salesman]],X$6),0)</f>
        <v>7717.3600000000006</v>
      </c>
      <c r="Y27">
        <f>IFERROR(AVERAGEIFS(Table1[[Sales Amount]:[Sales Amount]],Table1[[City]:[City]],$O27,Table1[[Product]:[Product]],$P27,Table1[[Salesman]:[Salesman]],Y$6),0)</f>
        <v>1793.18</v>
      </c>
      <c r="Z27">
        <f>IFERROR(AVERAGEIFS(Table1[[Sales Amount]:[Sales Amount]],Table1[[City]:[City]],$O27,Table1[[Product]:[Product]],$P27,Table1[[Salesman]:[Salesman]],Z$6),0)</f>
        <v>0</v>
      </c>
      <c r="AA27">
        <f>IFERROR(AVERAGEIFS(Table1[[Sales Amount]:[Sales Amount]],Table1[[City]:[City]],$O27,Table1[[Product]:[Product]],$P27,Table1[[Salesman]:[Salesman]],AA$6),0)</f>
        <v>13406.7</v>
      </c>
    </row>
    <row r="28" spans="15:27" x14ac:dyDescent="0.35">
      <c r="O28" s="20" t="s">
        <v>45</v>
      </c>
      <c r="P28" t="s">
        <v>35</v>
      </c>
      <c r="Q28">
        <f>IFERROR(AVERAGEIFS(Table1[[Sales Amount]:[Sales Amount]],Table1[[City]:[City]],$O28,Table1[[Product]:[Product]],$P28,Table1[[Salesman]:[Salesman]],Q$6),0)</f>
        <v>0</v>
      </c>
      <c r="R28">
        <f>IFERROR(AVERAGEIFS(Table1[[Sales Amount]:[Sales Amount]],Table1[[City]:[City]],$O28,Table1[[Product]:[Product]],$P28,Table1[[Salesman]:[Salesman]],R$6),0)</f>
        <v>20297.305</v>
      </c>
      <c r="S28">
        <f>IFERROR(AVERAGEIFS(Table1[[Sales Amount]:[Sales Amount]],Table1[[City]:[City]],$O28,Table1[[Product]:[Product]],$P28,Table1[[Salesman]:[Salesman]],S$6),0)</f>
        <v>4725.5600000000004</v>
      </c>
      <c r="T28">
        <f>IFERROR(AVERAGEIFS(Table1[[Sales Amount]:[Sales Amount]],Table1[[City]:[City]],$O28,Table1[[Product]:[Product]],$P28,Table1[[Salesman]:[Salesman]],T$6),0)</f>
        <v>0</v>
      </c>
      <c r="U28">
        <f>IFERROR(AVERAGEIFS(Table1[[Sales Amount]:[Sales Amount]],Table1[[City]:[City]],$O28,Table1[[Product]:[Product]],$P28,Table1[[Salesman]:[Salesman]],U$6),0)</f>
        <v>20827.05</v>
      </c>
      <c r="V28">
        <f>IFERROR(AVERAGEIFS(Table1[[Sales Amount]:[Sales Amount]],Table1[[City]:[City]],$O28,Table1[[Product]:[Product]],$P28,Table1[[Salesman]:[Salesman]],V$6),0)</f>
        <v>47776.08</v>
      </c>
      <c r="W28">
        <f>IFERROR(AVERAGEIFS(Table1[[Sales Amount]:[Sales Amount]],Table1[[City]:[City]],$O28,Table1[[Product]:[Product]],$P28,Table1[[Salesman]:[Salesman]],W$6),0)</f>
        <v>0</v>
      </c>
      <c r="X28">
        <f>IFERROR(AVERAGEIFS(Table1[[Sales Amount]:[Sales Amount]],Table1[[City]:[City]],$O28,Table1[[Product]:[Product]],$P28,Table1[[Salesman]:[Salesman]],X$6),0)</f>
        <v>0</v>
      </c>
      <c r="Y28">
        <f>IFERROR(AVERAGEIFS(Table1[[Sales Amount]:[Sales Amount]],Table1[[City]:[City]],$O28,Table1[[Product]:[Product]],$P28,Table1[[Salesman]:[Salesman]],Y$6),0)</f>
        <v>31228.473333333332</v>
      </c>
      <c r="Z28">
        <f>IFERROR(AVERAGEIFS(Table1[[Sales Amount]:[Sales Amount]],Table1[[City]:[City]],$O28,Table1[[Product]:[Product]],$P28,Table1[[Salesman]:[Salesman]],Z$6),0)</f>
        <v>8311.8449999999993</v>
      </c>
      <c r="AA28">
        <f>IFERROR(AVERAGEIFS(Table1[[Sales Amount]:[Sales Amount]],Table1[[City]:[City]],$O28,Table1[[Product]:[Product]],$P28,Table1[[Salesman]:[Salesman]],AA$6),0)</f>
        <v>0</v>
      </c>
    </row>
    <row r="29" spans="15:27" x14ac:dyDescent="0.35">
      <c r="O29" s="20" t="s">
        <v>45</v>
      </c>
      <c r="P29" t="s">
        <v>29</v>
      </c>
      <c r="Q29">
        <f>IFERROR(AVERAGEIFS(Table1[[Sales Amount]:[Sales Amount]],Table1[[City]:[City]],$O29,Table1[[Product]:[Product]],$P29,Table1[[Salesman]:[Salesman]],Q$6),0)</f>
        <v>0</v>
      </c>
      <c r="R29">
        <f>IFERROR(AVERAGEIFS(Table1[[Sales Amount]:[Sales Amount]],Table1[[City]:[City]],$O29,Table1[[Product]:[Product]],$P29,Table1[[Salesman]:[Salesman]],R$6),0)</f>
        <v>19504.5</v>
      </c>
      <c r="S29">
        <f>IFERROR(AVERAGEIFS(Table1[[Sales Amount]:[Sales Amount]],Table1[[City]:[City]],$O29,Table1[[Product]:[Product]],$P29,Table1[[Salesman]:[Salesman]],S$6),0)</f>
        <v>48175.29</v>
      </c>
      <c r="T29">
        <f>IFERROR(AVERAGEIFS(Table1[[Sales Amount]:[Sales Amount]],Table1[[City]:[City]],$O29,Table1[[Product]:[Product]],$P29,Table1[[Salesman]:[Salesman]],T$6),0)</f>
        <v>0</v>
      </c>
      <c r="U29">
        <f>IFERROR(AVERAGEIFS(Table1[[Sales Amount]:[Sales Amount]],Table1[[City]:[City]],$O29,Table1[[Product]:[Product]],$P29,Table1[[Salesman]:[Salesman]],U$6),0)</f>
        <v>18404.75</v>
      </c>
      <c r="V29">
        <f>IFERROR(AVERAGEIFS(Table1[[Sales Amount]:[Sales Amount]],Table1[[City]:[City]],$O29,Table1[[Product]:[Product]],$P29,Table1[[Salesman]:[Salesman]],V$6),0)</f>
        <v>0</v>
      </c>
      <c r="W29">
        <f>IFERROR(AVERAGEIFS(Table1[[Sales Amount]:[Sales Amount]],Table1[[City]:[City]],$O29,Table1[[Product]:[Product]],$P29,Table1[[Salesman]:[Salesman]],W$6),0)</f>
        <v>2645.16</v>
      </c>
      <c r="X29">
        <f>IFERROR(AVERAGEIFS(Table1[[Sales Amount]:[Sales Amount]],Table1[[City]:[City]],$O29,Table1[[Product]:[Product]],$P29,Table1[[Salesman]:[Salesman]],X$6),0)</f>
        <v>25666.084999999999</v>
      </c>
      <c r="Y29">
        <f>IFERROR(AVERAGEIFS(Table1[[Sales Amount]:[Sales Amount]],Table1[[City]:[City]],$O29,Table1[[Product]:[Product]],$P29,Table1[[Salesman]:[Salesman]],Y$6),0)</f>
        <v>39613.173333333332</v>
      </c>
      <c r="Z29">
        <f>IFERROR(AVERAGEIFS(Table1[[Sales Amount]:[Sales Amount]],Table1[[City]:[City]],$O29,Table1[[Product]:[Product]],$P29,Table1[[Salesman]:[Salesman]],Z$6),0)</f>
        <v>0</v>
      </c>
      <c r="AA29">
        <f>IFERROR(AVERAGEIFS(Table1[[Sales Amount]:[Sales Amount]],Table1[[City]:[City]],$O29,Table1[[Product]:[Product]],$P29,Table1[[Salesman]:[Salesman]],AA$6),0)</f>
        <v>0</v>
      </c>
    </row>
    <row r="30" spans="15:27" x14ac:dyDescent="0.35">
      <c r="O30" s="20" t="s">
        <v>45</v>
      </c>
      <c r="P30" t="s">
        <v>21</v>
      </c>
      <c r="Q30">
        <f>IFERROR(AVERAGEIFS(Table1[[Sales Amount]:[Sales Amount]],Table1[[City]:[City]],$O30,Table1[[Product]:[Product]],$P30,Table1[[Salesman]:[Salesman]],Q$6),0)</f>
        <v>10159.540000000001</v>
      </c>
      <c r="R30">
        <f>IFERROR(AVERAGEIFS(Table1[[Sales Amount]:[Sales Amount]],Table1[[City]:[City]],$O30,Table1[[Product]:[Product]],$P30,Table1[[Salesman]:[Salesman]],R$6),0)</f>
        <v>0</v>
      </c>
      <c r="S30">
        <f>IFERROR(AVERAGEIFS(Table1[[Sales Amount]:[Sales Amount]],Table1[[City]:[City]],$O30,Table1[[Product]:[Product]],$P30,Table1[[Salesman]:[Salesman]],S$6),0)</f>
        <v>12515.73</v>
      </c>
      <c r="T30">
        <f>IFERROR(AVERAGEIFS(Table1[[Sales Amount]:[Sales Amount]],Table1[[City]:[City]],$O30,Table1[[Product]:[Product]],$P30,Table1[[Salesman]:[Salesman]],T$6),0)</f>
        <v>38449.376666666671</v>
      </c>
      <c r="U30">
        <f>IFERROR(AVERAGEIFS(Table1[[Sales Amount]:[Sales Amount]],Table1[[City]:[City]],$O30,Table1[[Product]:[Product]],$P30,Table1[[Salesman]:[Salesman]],U$6),0)</f>
        <v>0</v>
      </c>
      <c r="V30">
        <f>IFERROR(AVERAGEIFS(Table1[[Sales Amount]:[Sales Amount]],Table1[[City]:[City]],$O30,Table1[[Product]:[Product]],$P30,Table1[[Salesman]:[Salesman]],V$6),0)</f>
        <v>28413.84</v>
      </c>
      <c r="W30">
        <f>IFERROR(AVERAGEIFS(Table1[[Sales Amount]:[Sales Amount]],Table1[[City]:[City]],$O30,Table1[[Product]:[Product]],$P30,Table1[[Salesman]:[Salesman]],W$6),0)</f>
        <v>0</v>
      </c>
      <c r="X30">
        <f>IFERROR(AVERAGEIFS(Table1[[Sales Amount]:[Sales Amount]],Table1[[City]:[City]],$O30,Table1[[Product]:[Product]],$P30,Table1[[Salesman]:[Salesman]],X$6),0)</f>
        <v>9054.7450000000008</v>
      </c>
      <c r="Y30">
        <f>IFERROR(AVERAGEIFS(Table1[[Sales Amount]:[Sales Amount]],Table1[[City]:[City]],$O30,Table1[[Product]:[Product]],$P30,Table1[[Salesman]:[Salesman]],Y$6),0)</f>
        <v>45506.07</v>
      </c>
      <c r="Z30">
        <f>IFERROR(AVERAGEIFS(Table1[[Sales Amount]:[Sales Amount]],Table1[[City]:[City]],$O30,Table1[[Product]:[Product]],$P30,Table1[[Salesman]:[Salesman]],Z$6),0)</f>
        <v>0</v>
      </c>
      <c r="AA30">
        <f>IFERROR(AVERAGEIFS(Table1[[Sales Amount]:[Sales Amount]],Table1[[City]:[City]],$O30,Table1[[Product]:[Product]],$P30,Table1[[Salesman]:[Salesman]],AA$6),0)</f>
        <v>31792.809999999998</v>
      </c>
    </row>
    <row r="31" spans="15:27" x14ac:dyDescent="0.35">
      <c r="O31" s="67" t="s">
        <v>45</v>
      </c>
      <c r="P31" t="s">
        <v>13</v>
      </c>
      <c r="Q31">
        <f>IFERROR(AVERAGEIFS(Table1[[Sales Amount]:[Sales Amount]],Table1[[City]:[City]],$O31,Table1[[Product]:[Product]],$P31,Table1[[Salesman]:[Salesman]],Q$6),0)</f>
        <v>28038.06</v>
      </c>
      <c r="R31">
        <f>IFERROR(AVERAGEIFS(Table1[[Sales Amount]:[Sales Amount]],Table1[[City]:[City]],$O31,Table1[[Product]:[Product]],$P31,Table1[[Salesman]:[Salesman]],R$6),0)</f>
        <v>0</v>
      </c>
      <c r="S31">
        <f>IFERROR(AVERAGEIFS(Table1[[Sales Amount]:[Sales Amount]],Table1[[City]:[City]],$O31,Table1[[Product]:[Product]],$P31,Table1[[Salesman]:[Salesman]],S$6),0)</f>
        <v>0</v>
      </c>
      <c r="T31">
        <f>IFERROR(AVERAGEIFS(Table1[[Sales Amount]:[Sales Amount]],Table1[[City]:[City]],$O31,Table1[[Product]:[Product]],$P31,Table1[[Salesman]:[Salesman]],T$6),0)</f>
        <v>32717.159999999996</v>
      </c>
      <c r="U31">
        <f>IFERROR(AVERAGEIFS(Table1[[Sales Amount]:[Sales Amount]],Table1[[City]:[City]],$O31,Table1[[Product]:[Product]],$P31,Table1[[Salesman]:[Salesman]],U$6),0)</f>
        <v>8484.85</v>
      </c>
      <c r="V31">
        <f>IFERROR(AVERAGEIFS(Table1[[Sales Amount]:[Sales Amount]],Table1[[City]:[City]],$O31,Table1[[Product]:[Product]],$P31,Table1[[Salesman]:[Salesman]],V$6),0)</f>
        <v>11915.48</v>
      </c>
      <c r="W31">
        <f>IFERROR(AVERAGEIFS(Table1[[Sales Amount]:[Sales Amount]],Table1[[City]:[City]],$O31,Table1[[Product]:[Product]],$P31,Table1[[Salesman]:[Salesman]],W$6),0)</f>
        <v>0</v>
      </c>
      <c r="X31">
        <f>IFERROR(AVERAGEIFS(Table1[[Sales Amount]:[Sales Amount]],Table1[[City]:[City]],$O31,Table1[[Product]:[Product]],$P31,Table1[[Salesman]:[Salesman]],X$6),0)</f>
        <v>0</v>
      </c>
      <c r="Y31">
        <f>IFERROR(AVERAGEIFS(Table1[[Sales Amount]:[Sales Amount]],Table1[[City]:[City]],$O31,Table1[[Product]:[Product]],$P31,Table1[[Salesman]:[Salesman]],Y$6),0)</f>
        <v>0</v>
      </c>
      <c r="Z31">
        <f>IFERROR(AVERAGEIFS(Table1[[Sales Amount]:[Sales Amount]],Table1[[City]:[City]],$O31,Table1[[Product]:[Product]],$P31,Table1[[Salesman]:[Salesman]],Z$6),0)</f>
        <v>1071.25</v>
      </c>
      <c r="AA31">
        <f>IFERROR(AVERAGEIFS(Table1[[Sales Amount]:[Sales Amount]],Table1[[City]:[City]],$O31,Table1[[Product]:[Product]],$P31,Table1[[Salesman]:[Salesman]],AA$6),0)</f>
        <v>0</v>
      </c>
    </row>
    <row r="32" spans="15:27" x14ac:dyDescent="0.35">
      <c r="O32" s="20" t="s">
        <v>34</v>
      </c>
      <c r="P32" t="s">
        <v>18</v>
      </c>
      <c r="Q32">
        <f>IFERROR(AVERAGEIFS(Table1[[Sales Amount]:[Sales Amount]],Table1[[City]:[City]],$O32,Table1[[Product]:[Product]],$P32,Table1[[Salesman]:[Salesman]],Q$6),0)</f>
        <v>24932.43</v>
      </c>
      <c r="R32">
        <f>IFERROR(AVERAGEIFS(Table1[[Sales Amount]:[Sales Amount]],Table1[[City]:[City]],$O32,Table1[[Product]:[Product]],$P32,Table1[[Salesman]:[Salesman]],R$6),0)</f>
        <v>14355.6</v>
      </c>
      <c r="S32">
        <f>IFERROR(AVERAGEIFS(Table1[[Sales Amount]:[Sales Amount]],Table1[[City]:[City]],$O32,Table1[[Product]:[Product]],$P32,Table1[[Salesman]:[Salesman]],S$6),0)</f>
        <v>1109.8</v>
      </c>
      <c r="T32">
        <f>IFERROR(AVERAGEIFS(Table1[[Sales Amount]:[Sales Amount]],Table1[[City]:[City]],$O32,Table1[[Product]:[Product]],$P32,Table1[[Salesman]:[Salesman]],T$6),0)</f>
        <v>16055.826666666666</v>
      </c>
      <c r="U32">
        <f>IFERROR(AVERAGEIFS(Table1[[Sales Amount]:[Sales Amount]],Table1[[City]:[City]],$O32,Table1[[Product]:[Product]],$P32,Table1[[Salesman]:[Salesman]],U$6),0)</f>
        <v>25680.75</v>
      </c>
      <c r="V32">
        <f>IFERROR(AVERAGEIFS(Table1[[Sales Amount]:[Sales Amount]],Table1[[City]:[City]],$O32,Table1[[Product]:[Product]],$P32,Table1[[Salesman]:[Salesman]],V$6),0)</f>
        <v>8457.4249999999993</v>
      </c>
      <c r="W32">
        <f>IFERROR(AVERAGEIFS(Table1[[Sales Amount]:[Sales Amount]],Table1[[City]:[City]],$O32,Table1[[Product]:[Product]],$P32,Table1[[Salesman]:[Salesman]],W$6),0)</f>
        <v>10335.24</v>
      </c>
      <c r="X32">
        <f>IFERROR(AVERAGEIFS(Table1[[Sales Amount]:[Sales Amount]],Table1[[City]:[City]],$O32,Table1[[Product]:[Product]],$P32,Table1[[Salesman]:[Salesman]],X$6),0)</f>
        <v>0</v>
      </c>
      <c r="Y32">
        <f>IFERROR(AVERAGEIFS(Table1[[Sales Amount]:[Sales Amount]],Table1[[City]:[City]],$O32,Table1[[Product]:[Product]],$P32,Table1[[Salesman]:[Salesman]],Y$6),0)</f>
        <v>52593.05</v>
      </c>
      <c r="Z32">
        <f>IFERROR(AVERAGEIFS(Table1[[Sales Amount]:[Sales Amount]],Table1[[City]:[City]],$O32,Table1[[Product]:[Product]],$P32,Table1[[Salesman]:[Salesman]],Z$6),0)</f>
        <v>16796.786666666667</v>
      </c>
      <c r="AA32">
        <f>IFERROR(AVERAGEIFS(Table1[[Sales Amount]:[Sales Amount]],Table1[[City]:[City]],$O32,Table1[[Product]:[Product]],$P32,Table1[[Salesman]:[Salesman]],AA$6),0)</f>
        <v>0</v>
      </c>
    </row>
    <row r="33" spans="15:27" x14ac:dyDescent="0.35">
      <c r="O33" s="20" t="s">
        <v>34</v>
      </c>
      <c r="P33" t="s">
        <v>35</v>
      </c>
      <c r="Q33">
        <f>IFERROR(AVERAGEIFS(Table1[[Sales Amount]:[Sales Amount]],Table1[[City]:[City]],$O33,Table1[[Product]:[Product]],$P33,Table1[[Salesman]:[Salesman]],Q$6),0)</f>
        <v>74569.2</v>
      </c>
      <c r="R33">
        <f>IFERROR(AVERAGEIFS(Table1[[Sales Amount]:[Sales Amount]],Table1[[City]:[City]],$O33,Table1[[Product]:[Product]],$P33,Table1[[Salesman]:[Salesman]],R$6),0)</f>
        <v>0</v>
      </c>
      <c r="S33">
        <f>IFERROR(AVERAGEIFS(Table1[[Sales Amount]:[Sales Amount]],Table1[[City]:[City]],$O33,Table1[[Product]:[Product]],$P33,Table1[[Salesman]:[Salesman]],S$6),0)</f>
        <v>0</v>
      </c>
      <c r="T33">
        <f>IFERROR(AVERAGEIFS(Table1[[Sales Amount]:[Sales Amount]],Table1[[City]:[City]],$O33,Table1[[Product]:[Product]],$P33,Table1[[Salesman]:[Salesman]],T$6),0)</f>
        <v>0</v>
      </c>
      <c r="U33">
        <f>IFERROR(AVERAGEIFS(Table1[[Sales Amount]:[Sales Amount]],Table1[[City]:[City]],$O33,Table1[[Product]:[Product]],$P33,Table1[[Salesman]:[Salesman]],U$6),0)</f>
        <v>12737.880000000001</v>
      </c>
      <c r="V33">
        <f>IFERROR(AVERAGEIFS(Table1[[Sales Amount]:[Sales Amount]],Table1[[City]:[City]],$O33,Table1[[Product]:[Product]],$P33,Table1[[Salesman]:[Salesman]],V$6),0)</f>
        <v>29700.979999999996</v>
      </c>
      <c r="W33">
        <f>IFERROR(AVERAGEIFS(Table1[[Sales Amount]:[Sales Amount]],Table1[[City]:[City]],$O33,Table1[[Product]:[Product]],$P33,Table1[[Salesman]:[Salesman]],W$6),0)</f>
        <v>17603.945</v>
      </c>
      <c r="X33">
        <f>IFERROR(AVERAGEIFS(Table1[[Sales Amount]:[Sales Amount]],Table1[[City]:[City]],$O33,Table1[[Product]:[Product]],$P33,Table1[[Salesman]:[Salesman]],X$6),0)</f>
        <v>979.17</v>
      </c>
      <c r="Y33">
        <f>IFERROR(AVERAGEIFS(Table1[[Sales Amount]:[Sales Amount]],Table1[[City]:[City]],$O33,Table1[[Product]:[Product]],$P33,Table1[[Salesman]:[Salesman]],Y$6),0)</f>
        <v>10697.323333333334</v>
      </c>
      <c r="Z33">
        <f>IFERROR(AVERAGEIFS(Table1[[Sales Amount]:[Sales Amount]],Table1[[City]:[City]],$O33,Table1[[Product]:[Product]],$P33,Table1[[Salesman]:[Salesman]],Z$6),0)</f>
        <v>46323.539999999994</v>
      </c>
      <c r="AA33">
        <f>IFERROR(AVERAGEIFS(Table1[[Sales Amount]:[Sales Amount]],Table1[[City]:[City]],$O33,Table1[[Product]:[Product]],$P33,Table1[[Salesman]:[Salesman]],AA$6),0)</f>
        <v>0</v>
      </c>
    </row>
    <row r="34" spans="15:27" x14ac:dyDescent="0.35">
      <c r="O34" s="20" t="s">
        <v>34</v>
      </c>
      <c r="P34" t="s">
        <v>29</v>
      </c>
      <c r="Q34">
        <f>IFERROR(AVERAGEIFS(Table1[[Sales Amount]:[Sales Amount]],Table1[[City]:[City]],$O34,Table1[[Product]:[Product]],$P34,Table1[[Salesman]:[Salesman]],Q$6),0)</f>
        <v>32435.35</v>
      </c>
      <c r="R34">
        <f>IFERROR(AVERAGEIFS(Table1[[Sales Amount]:[Sales Amount]],Table1[[City]:[City]],$O34,Table1[[Product]:[Product]],$P34,Table1[[Salesman]:[Salesman]],R$6),0)</f>
        <v>66036.450000000012</v>
      </c>
      <c r="S34">
        <f>IFERROR(AVERAGEIFS(Table1[[Sales Amount]:[Sales Amount]],Table1[[City]:[City]],$O34,Table1[[Product]:[Product]],$P34,Table1[[Salesman]:[Salesman]],S$6),0)</f>
        <v>0</v>
      </c>
      <c r="T34">
        <f>IFERROR(AVERAGEIFS(Table1[[Sales Amount]:[Sales Amount]],Table1[[City]:[City]],$O34,Table1[[Product]:[Product]],$P34,Table1[[Salesman]:[Salesman]],T$6),0)</f>
        <v>0</v>
      </c>
      <c r="U34">
        <f>IFERROR(AVERAGEIFS(Table1[[Sales Amount]:[Sales Amount]],Table1[[City]:[City]],$O34,Table1[[Product]:[Product]],$P34,Table1[[Salesman]:[Salesman]],U$6),0)</f>
        <v>0</v>
      </c>
      <c r="V34">
        <f>IFERROR(AVERAGEIFS(Table1[[Sales Amount]:[Sales Amount]],Table1[[City]:[City]],$O34,Table1[[Product]:[Product]],$P34,Table1[[Salesman]:[Salesman]],V$6),0)</f>
        <v>0</v>
      </c>
      <c r="W34">
        <f>IFERROR(AVERAGEIFS(Table1[[Sales Amount]:[Sales Amount]],Table1[[City]:[City]],$O34,Table1[[Product]:[Product]],$P34,Table1[[Salesman]:[Salesman]],W$6),0)</f>
        <v>45624.21</v>
      </c>
      <c r="X34">
        <f>IFERROR(AVERAGEIFS(Table1[[Sales Amount]:[Sales Amount]],Table1[[City]:[City]],$O34,Table1[[Product]:[Product]],$P34,Table1[[Salesman]:[Salesman]],X$6),0)</f>
        <v>23789.165000000001</v>
      </c>
      <c r="Y34">
        <f>IFERROR(AVERAGEIFS(Table1[[Sales Amount]:[Sales Amount]],Table1[[City]:[City]],$O34,Table1[[Product]:[Product]],$P34,Table1[[Salesman]:[Salesman]],Y$6),0)</f>
        <v>13629.213333333333</v>
      </c>
      <c r="Z34">
        <f>IFERROR(AVERAGEIFS(Table1[[Sales Amount]:[Sales Amount]],Table1[[City]:[City]],$O34,Table1[[Product]:[Product]],$P34,Table1[[Salesman]:[Salesman]],Z$6),0)</f>
        <v>33694.020000000004</v>
      </c>
      <c r="AA34">
        <f>IFERROR(AVERAGEIFS(Table1[[Sales Amount]:[Sales Amount]],Table1[[City]:[City]],$O34,Table1[[Product]:[Product]],$P34,Table1[[Salesman]:[Salesman]],AA$6),0)</f>
        <v>5927.25</v>
      </c>
    </row>
    <row r="35" spans="15:27" x14ac:dyDescent="0.35">
      <c r="O35" s="20" t="s">
        <v>34</v>
      </c>
      <c r="P35" t="s">
        <v>21</v>
      </c>
      <c r="Q35">
        <f>IFERROR(AVERAGEIFS(Table1[[Sales Amount]:[Sales Amount]],Table1[[City]:[City]],$O35,Table1[[Product]:[Product]],$P35,Table1[[Salesman]:[Salesman]],Q$6),0)</f>
        <v>24017.373333333333</v>
      </c>
      <c r="R35">
        <f>IFERROR(AVERAGEIFS(Table1[[Sales Amount]:[Sales Amount]],Table1[[City]:[City]],$O35,Table1[[Product]:[Product]],$P35,Table1[[Salesman]:[Salesman]],R$6),0)</f>
        <v>41915.68</v>
      </c>
      <c r="S35">
        <f>IFERROR(AVERAGEIFS(Table1[[Sales Amount]:[Sales Amount]],Table1[[City]:[City]],$O35,Table1[[Product]:[Product]],$P35,Table1[[Salesman]:[Salesman]],S$6),0)</f>
        <v>59578.44</v>
      </c>
      <c r="T35">
        <f>IFERROR(AVERAGEIFS(Table1[[Sales Amount]:[Sales Amount]],Table1[[City]:[City]],$O35,Table1[[Product]:[Product]],$P35,Table1[[Salesman]:[Salesman]],T$6),0)</f>
        <v>35196</v>
      </c>
      <c r="U35">
        <f>IFERROR(AVERAGEIFS(Table1[[Sales Amount]:[Sales Amount]],Table1[[City]:[City]],$O35,Table1[[Product]:[Product]],$P35,Table1[[Salesman]:[Salesman]],U$6),0)</f>
        <v>20744.579999999998</v>
      </c>
      <c r="V35">
        <f>IFERROR(AVERAGEIFS(Table1[[Sales Amount]:[Sales Amount]],Table1[[City]:[City]],$O35,Table1[[Product]:[Product]],$P35,Table1[[Salesman]:[Salesman]],V$6),0)</f>
        <v>41962.399999999994</v>
      </c>
      <c r="W35">
        <f>IFERROR(AVERAGEIFS(Table1[[Sales Amount]:[Sales Amount]],Table1[[City]:[City]],$O35,Table1[[Product]:[Product]],$P35,Table1[[Salesman]:[Salesman]],W$6),0)</f>
        <v>0</v>
      </c>
      <c r="X35">
        <f>IFERROR(AVERAGEIFS(Table1[[Sales Amount]:[Sales Amount]],Table1[[City]:[City]],$O35,Table1[[Product]:[Product]],$P35,Table1[[Salesman]:[Salesman]],X$6),0)</f>
        <v>43507.6</v>
      </c>
      <c r="Y35">
        <f>IFERROR(AVERAGEIFS(Table1[[Sales Amount]:[Sales Amount]],Table1[[City]:[City]],$O35,Table1[[Product]:[Product]],$P35,Table1[[Salesman]:[Salesman]],Y$6),0)</f>
        <v>26514.237500000003</v>
      </c>
      <c r="Z35">
        <f>IFERROR(AVERAGEIFS(Table1[[Sales Amount]:[Sales Amount]],Table1[[City]:[City]],$O35,Table1[[Product]:[Product]],$P35,Table1[[Salesman]:[Salesman]],Z$6),0)</f>
        <v>54944.11</v>
      </c>
      <c r="AA35">
        <f>IFERROR(AVERAGEIFS(Table1[[Sales Amount]:[Sales Amount]],Table1[[City]:[City]],$O35,Table1[[Product]:[Product]],$P35,Table1[[Salesman]:[Salesman]],AA$6),0)</f>
        <v>20800.199999999997</v>
      </c>
    </row>
    <row r="36" spans="15:27" x14ac:dyDescent="0.35">
      <c r="O36" s="67" t="s">
        <v>34</v>
      </c>
      <c r="P36" t="s">
        <v>13</v>
      </c>
      <c r="Q36">
        <f>IFERROR(AVERAGEIFS(Table1[[Sales Amount]:[Sales Amount]],Table1[[City]:[City]],$O36,Table1[[Product]:[Product]],$P36,Table1[[Salesman]:[Salesman]],Q$6),0)</f>
        <v>55844.46</v>
      </c>
      <c r="R36">
        <f>IFERROR(AVERAGEIFS(Table1[[Sales Amount]:[Sales Amount]],Table1[[City]:[City]],$O36,Table1[[Product]:[Product]],$P36,Table1[[Salesman]:[Salesman]],R$6),0)</f>
        <v>3754.28</v>
      </c>
      <c r="S36">
        <f>IFERROR(AVERAGEIFS(Table1[[Sales Amount]:[Sales Amount]],Table1[[City]:[City]],$O36,Table1[[Product]:[Product]],$P36,Table1[[Salesman]:[Salesman]],S$6),0)</f>
        <v>11914.4175</v>
      </c>
      <c r="T36">
        <f>IFERROR(AVERAGEIFS(Table1[[Sales Amount]:[Sales Amount]],Table1[[City]:[City]],$O36,Table1[[Product]:[Product]],$P36,Table1[[Salesman]:[Salesman]],T$6),0)</f>
        <v>44439.72</v>
      </c>
      <c r="U36">
        <f>IFERROR(AVERAGEIFS(Table1[[Sales Amount]:[Sales Amount]],Table1[[City]:[City]],$O36,Table1[[Product]:[Product]],$P36,Table1[[Salesman]:[Salesman]],U$6),0)</f>
        <v>87984.360000000015</v>
      </c>
      <c r="V36">
        <f>IFERROR(AVERAGEIFS(Table1[[Sales Amount]:[Sales Amount]],Table1[[City]:[City]],$O36,Table1[[Product]:[Product]],$P36,Table1[[Salesman]:[Salesman]],V$6),0)</f>
        <v>0</v>
      </c>
      <c r="W36">
        <f>IFERROR(AVERAGEIFS(Table1[[Sales Amount]:[Sales Amount]],Table1[[City]:[City]],$O36,Table1[[Product]:[Product]],$P36,Table1[[Salesman]:[Salesman]],W$6),0)</f>
        <v>0</v>
      </c>
      <c r="X36">
        <f>IFERROR(AVERAGEIFS(Table1[[Sales Amount]:[Sales Amount]],Table1[[City]:[City]],$O36,Table1[[Product]:[Product]],$P36,Table1[[Salesman]:[Salesman]],X$6),0)</f>
        <v>38447.78</v>
      </c>
      <c r="Y36">
        <f>IFERROR(AVERAGEIFS(Table1[[Sales Amount]:[Sales Amount]],Table1[[City]:[City]],$O36,Table1[[Product]:[Product]],$P36,Table1[[Salesman]:[Salesman]],Y$6),0)</f>
        <v>37127.264999999999</v>
      </c>
      <c r="Z36">
        <f>IFERROR(AVERAGEIFS(Table1[[Sales Amount]:[Sales Amount]],Table1[[City]:[City]],$O36,Table1[[Product]:[Product]],$P36,Table1[[Salesman]:[Salesman]],Z$6),0)</f>
        <v>18212.099999999999</v>
      </c>
      <c r="AA36">
        <f>IFERROR(AVERAGEIFS(Table1[[Sales Amount]:[Sales Amount]],Table1[[City]:[City]],$O36,Table1[[Product]:[Product]],$P36,Table1[[Salesman]:[Salesman]],AA$6),0)</f>
        <v>37815.605000000003</v>
      </c>
    </row>
    <row r="37" spans="15:27" x14ac:dyDescent="0.35">
      <c r="O37" s="20" t="s">
        <v>44</v>
      </c>
      <c r="P37" t="s">
        <v>18</v>
      </c>
      <c r="Q37">
        <f>IFERROR(AVERAGEIFS(Table1[[Sales Amount]:[Sales Amount]],Table1[[City]:[City]],$O37,Table1[[Product]:[Product]],$P37,Table1[[Salesman]:[Salesman]],Q$6),0)</f>
        <v>38699.819999999992</v>
      </c>
      <c r="R37">
        <f>IFERROR(AVERAGEIFS(Table1[[Sales Amount]:[Sales Amount]],Table1[[City]:[City]],$O37,Table1[[Product]:[Product]],$P37,Table1[[Salesman]:[Salesman]],R$6),0)</f>
        <v>7690.3</v>
      </c>
      <c r="S37">
        <f>IFERROR(AVERAGEIFS(Table1[[Sales Amount]:[Sales Amount]],Table1[[City]:[City]],$O37,Table1[[Product]:[Product]],$P37,Table1[[Salesman]:[Salesman]],S$6),0)</f>
        <v>11937.08</v>
      </c>
      <c r="T37">
        <f>IFERROR(AVERAGEIFS(Table1[[Sales Amount]:[Sales Amount]],Table1[[City]:[City]],$O37,Table1[[Product]:[Product]],$P37,Table1[[Salesman]:[Salesman]],T$6),0)</f>
        <v>12194.73</v>
      </c>
      <c r="U37">
        <f>IFERROR(AVERAGEIFS(Table1[[Sales Amount]:[Sales Amount]],Table1[[City]:[City]],$O37,Table1[[Product]:[Product]],$P37,Table1[[Salesman]:[Salesman]],U$6),0)</f>
        <v>35326.520000000004</v>
      </c>
      <c r="V37">
        <f>IFERROR(AVERAGEIFS(Table1[[Sales Amount]:[Sales Amount]],Table1[[City]:[City]],$O37,Table1[[Product]:[Product]],$P37,Table1[[Salesman]:[Salesman]],V$6),0)</f>
        <v>6726.6200000000008</v>
      </c>
      <c r="W37">
        <f>IFERROR(AVERAGEIFS(Table1[[Sales Amount]:[Sales Amount]],Table1[[City]:[City]],$O37,Table1[[Product]:[Product]],$P37,Table1[[Salesman]:[Salesman]],W$6),0)</f>
        <v>0</v>
      </c>
      <c r="X37">
        <f>IFERROR(AVERAGEIFS(Table1[[Sales Amount]:[Sales Amount]],Table1[[City]:[City]],$O37,Table1[[Product]:[Product]],$P37,Table1[[Salesman]:[Salesman]],X$6),0)</f>
        <v>2710.56</v>
      </c>
      <c r="Y37">
        <f>IFERROR(AVERAGEIFS(Table1[[Sales Amount]:[Sales Amount]],Table1[[City]:[City]],$O37,Table1[[Product]:[Product]],$P37,Table1[[Salesman]:[Salesman]],Y$6),0)</f>
        <v>3197.92</v>
      </c>
      <c r="Z37">
        <f>IFERROR(AVERAGEIFS(Table1[[Sales Amount]:[Sales Amount]],Table1[[City]:[City]],$O37,Table1[[Product]:[Product]],$P37,Table1[[Salesman]:[Salesman]],Z$6),0)</f>
        <v>0</v>
      </c>
      <c r="AA37">
        <f>IFERROR(AVERAGEIFS(Table1[[Sales Amount]:[Sales Amount]],Table1[[City]:[City]],$O37,Table1[[Product]:[Product]],$P37,Table1[[Salesman]:[Salesman]],AA$6),0)</f>
        <v>36160.78</v>
      </c>
    </row>
    <row r="38" spans="15:27" x14ac:dyDescent="0.35">
      <c r="O38" s="20" t="s">
        <v>44</v>
      </c>
      <c r="P38" t="s">
        <v>35</v>
      </c>
      <c r="Q38">
        <f>IFERROR(AVERAGEIFS(Table1[[Sales Amount]:[Sales Amount]],Table1[[City]:[City]],$O38,Table1[[Product]:[Product]],$P38,Table1[[Salesman]:[Salesman]],Q$6),0)</f>
        <v>0</v>
      </c>
      <c r="R38">
        <f>IFERROR(AVERAGEIFS(Table1[[Sales Amount]:[Sales Amount]],Table1[[City]:[City]],$O38,Table1[[Product]:[Product]],$P38,Table1[[Salesman]:[Salesman]],R$6),0)</f>
        <v>15657.72</v>
      </c>
      <c r="S38">
        <f>IFERROR(AVERAGEIFS(Table1[[Sales Amount]:[Sales Amount]],Table1[[City]:[City]],$O38,Table1[[Product]:[Product]],$P38,Table1[[Salesman]:[Salesman]],S$6),0)</f>
        <v>4239.0200000000004</v>
      </c>
      <c r="T38">
        <f>IFERROR(AVERAGEIFS(Table1[[Sales Amount]:[Sales Amount]],Table1[[City]:[City]],$O38,Table1[[Product]:[Product]],$P38,Table1[[Salesman]:[Salesman]],T$6),0)</f>
        <v>0</v>
      </c>
      <c r="U38">
        <f>IFERROR(AVERAGEIFS(Table1[[Sales Amount]:[Sales Amount]],Table1[[City]:[City]],$O38,Table1[[Product]:[Product]],$P38,Table1[[Salesman]:[Salesman]],U$6),0)</f>
        <v>59055.619999999995</v>
      </c>
      <c r="V38">
        <f>IFERROR(AVERAGEIFS(Table1[[Sales Amount]:[Sales Amount]],Table1[[City]:[City]],$O38,Table1[[Product]:[Product]],$P38,Table1[[Salesman]:[Salesman]],V$6),0)</f>
        <v>0</v>
      </c>
      <c r="W38">
        <f>IFERROR(AVERAGEIFS(Table1[[Sales Amount]:[Sales Amount]],Table1[[City]:[City]],$O38,Table1[[Product]:[Product]],$P38,Table1[[Salesman]:[Salesman]],W$6),0)</f>
        <v>0</v>
      </c>
      <c r="X38">
        <f>IFERROR(AVERAGEIFS(Table1[[Sales Amount]:[Sales Amount]],Table1[[City]:[City]],$O38,Table1[[Product]:[Product]],$P38,Table1[[Salesman]:[Salesman]],X$6),0)</f>
        <v>0</v>
      </c>
      <c r="Y38">
        <f>IFERROR(AVERAGEIFS(Table1[[Sales Amount]:[Sales Amount]],Table1[[City]:[City]],$O38,Table1[[Product]:[Product]],$P38,Table1[[Salesman]:[Salesman]],Y$6),0)</f>
        <v>15736.893333333335</v>
      </c>
      <c r="Z38">
        <f>IFERROR(AVERAGEIFS(Table1[[Sales Amount]:[Sales Amount]],Table1[[City]:[City]],$O38,Table1[[Product]:[Product]],$P38,Table1[[Salesman]:[Salesman]],Z$6),0)</f>
        <v>1591.88</v>
      </c>
      <c r="AA38">
        <f>IFERROR(AVERAGEIFS(Table1[[Sales Amount]:[Sales Amount]],Table1[[City]:[City]],$O38,Table1[[Product]:[Product]],$P38,Table1[[Salesman]:[Salesman]],AA$6),0)</f>
        <v>4148.1000000000004</v>
      </c>
    </row>
    <row r="39" spans="15:27" x14ac:dyDescent="0.35">
      <c r="O39" s="20" t="s">
        <v>44</v>
      </c>
      <c r="P39" t="s">
        <v>29</v>
      </c>
      <c r="Q39">
        <f>IFERROR(AVERAGEIFS(Table1[[Sales Amount]:[Sales Amount]],Table1[[City]:[City]],$O39,Table1[[Product]:[Product]],$P39,Table1[[Salesman]:[Salesman]],Q$6),0)</f>
        <v>37990.485000000001</v>
      </c>
      <c r="R39">
        <f>IFERROR(AVERAGEIFS(Table1[[Sales Amount]:[Sales Amount]],Table1[[City]:[City]],$O39,Table1[[Product]:[Product]],$P39,Table1[[Salesman]:[Salesman]],R$6),0)</f>
        <v>0</v>
      </c>
      <c r="S39">
        <f>IFERROR(AVERAGEIFS(Table1[[Sales Amount]:[Sales Amount]],Table1[[City]:[City]],$O39,Table1[[Product]:[Product]],$P39,Table1[[Salesman]:[Salesman]],S$6),0)</f>
        <v>19242.494999999999</v>
      </c>
      <c r="T39">
        <f>IFERROR(AVERAGEIFS(Table1[[Sales Amount]:[Sales Amount]],Table1[[City]:[City]],$O39,Table1[[Product]:[Product]],$P39,Table1[[Salesman]:[Salesman]],T$6),0)</f>
        <v>15317.960000000001</v>
      </c>
      <c r="U39">
        <f>IFERROR(AVERAGEIFS(Table1[[Sales Amount]:[Sales Amount]],Table1[[City]:[City]],$O39,Table1[[Product]:[Product]],$P39,Table1[[Salesman]:[Salesman]],U$6),0)</f>
        <v>0</v>
      </c>
      <c r="V39">
        <f>IFERROR(AVERAGEIFS(Table1[[Sales Amount]:[Sales Amount]],Table1[[City]:[City]],$O39,Table1[[Product]:[Product]],$P39,Table1[[Salesman]:[Salesman]],V$6),0)</f>
        <v>10428.34</v>
      </c>
      <c r="W39">
        <f>IFERROR(AVERAGEIFS(Table1[[Sales Amount]:[Sales Amount]],Table1[[City]:[City]],$O39,Table1[[Product]:[Product]],$P39,Table1[[Salesman]:[Salesman]],W$6),0)</f>
        <v>0</v>
      </c>
      <c r="X39">
        <f>IFERROR(AVERAGEIFS(Table1[[Sales Amount]:[Sales Amount]],Table1[[City]:[City]],$O39,Table1[[Product]:[Product]],$P39,Table1[[Salesman]:[Salesman]],X$6),0)</f>
        <v>31850.400000000001</v>
      </c>
      <c r="Y39">
        <f>IFERROR(AVERAGEIFS(Table1[[Sales Amount]:[Sales Amount]],Table1[[City]:[City]],$O39,Table1[[Product]:[Product]],$P39,Table1[[Salesman]:[Salesman]],Y$6),0)</f>
        <v>21357.986666666668</v>
      </c>
      <c r="Z39">
        <f>IFERROR(AVERAGEIFS(Table1[[Sales Amount]:[Sales Amount]],Table1[[City]:[City]],$O39,Table1[[Product]:[Product]],$P39,Table1[[Salesman]:[Salesman]],Z$6),0)</f>
        <v>0</v>
      </c>
      <c r="AA39">
        <f>IFERROR(AVERAGEIFS(Table1[[Sales Amount]:[Sales Amount]],Table1[[City]:[City]],$O39,Table1[[Product]:[Product]],$P39,Table1[[Salesman]:[Salesman]],AA$6),0)</f>
        <v>9050.0999999999985</v>
      </c>
    </row>
    <row r="40" spans="15:27" x14ac:dyDescent="0.35">
      <c r="O40" s="20" t="s">
        <v>44</v>
      </c>
      <c r="P40" t="s">
        <v>21</v>
      </c>
      <c r="Q40">
        <f>IFERROR(AVERAGEIFS(Table1[[Sales Amount]:[Sales Amount]],Table1[[City]:[City]],$O40,Table1[[Product]:[Product]],$P40,Table1[[Salesman]:[Salesman]],Q$6),0)</f>
        <v>38141.534999999996</v>
      </c>
      <c r="R40">
        <f>IFERROR(AVERAGEIFS(Table1[[Sales Amount]:[Sales Amount]],Table1[[City]:[City]],$O40,Table1[[Product]:[Product]],$P40,Table1[[Salesman]:[Salesman]],R$6),0)</f>
        <v>11233.17</v>
      </c>
      <c r="S40">
        <f>IFERROR(AVERAGEIFS(Table1[[Sales Amount]:[Sales Amount]],Table1[[City]:[City]],$O40,Table1[[Product]:[Product]],$P40,Table1[[Salesman]:[Salesman]],S$6),0)</f>
        <v>0</v>
      </c>
      <c r="T40">
        <f>IFERROR(AVERAGEIFS(Table1[[Sales Amount]:[Sales Amount]],Table1[[City]:[City]],$O40,Table1[[Product]:[Product]],$P40,Table1[[Salesman]:[Salesman]],T$6),0)</f>
        <v>0</v>
      </c>
      <c r="U40">
        <f>IFERROR(AVERAGEIFS(Table1[[Sales Amount]:[Sales Amount]],Table1[[City]:[City]],$O40,Table1[[Product]:[Product]],$P40,Table1[[Salesman]:[Salesman]],U$6),0)</f>
        <v>0</v>
      </c>
      <c r="V40">
        <f>IFERROR(AVERAGEIFS(Table1[[Sales Amount]:[Sales Amount]],Table1[[City]:[City]],$O40,Table1[[Product]:[Product]],$P40,Table1[[Salesman]:[Salesman]],V$6),0)</f>
        <v>0</v>
      </c>
      <c r="W40">
        <f>IFERROR(AVERAGEIFS(Table1[[Sales Amount]:[Sales Amount]],Table1[[City]:[City]],$O40,Table1[[Product]:[Product]],$P40,Table1[[Salesman]:[Salesman]],W$6),0)</f>
        <v>33129.03</v>
      </c>
      <c r="X40">
        <f>IFERROR(AVERAGEIFS(Table1[[Sales Amount]:[Sales Amount]],Table1[[City]:[City]],$O40,Table1[[Product]:[Product]],$P40,Table1[[Salesman]:[Salesman]],X$6),0)</f>
        <v>7060.4</v>
      </c>
      <c r="Y40">
        <f>IFERROR(AVERAGEIFS(Table1[[Sales Amount]:[Sales Amount]],Table1[[City]:[City]],$O40,Table1[[Product]:[Product]],$P40,Table1[[Salesman]:[Salesman]],Y$6),0)</f>
        <v>15762.555</v>
      </c>
      <c r="Z40">
        <f>IFERROR(AVERAGEIFS(Table1[[Sales Amount]:[Sales Amount]],Table1[[City]:[City]],$O40,Table1[[Product]:[Product]],$P40,Table1[[Salesman]:[Salesman]],Z$6),0)</f>
        <v>46895.200000000004</v>
      </c>
      <c r="AA40">
        <f>IFERROR(AVERAGEIFS(Table1[[Sales Amount]:[Sales Amount]],Table1[[City]:[City]],$O40,Table1[[Product]:[Product]],$P40,Table1[[Salesman]:[Salesman]],AA$6),0)</f>
        <v>1981.82</v>
      </c>
    </row>
    <row r="41" spans="15:27" x14ac:dyDescent="0.35">
      <c r="O41" s="67" t="s">
        <v>44</v>
      </c>
      <c r="P41" t="s">
        <v>13</v>
      </c>
      <c r="Q41">
        <f>IFERROR(AVERAGEIFS(Table1[[Sales Amount]:[Sales Amount]],Table1[[City]:[City]],$O41,Table1[[Product]:[Product]],$P41,Table1[[Salesman]:[Salesman]],Q$6),0)</f>
        <v>24545.897499999999</v>
      </c>
      <c r="R41">
        <f>IFERROR(AVERAGEIFS(Table1[[Sales Amount]:[Sales Amount]],Table1[[City]:[City]],$O41,Table1[[Product]:[Product]],$P41,Table1[[Salesman]:[Salesman]],R$6),0)</f>
        <v>0</v>
      </c>
      <c r="S41">
        <f>IFERROR(AVERAGEIFS(Table1[[Sales Amount]:[Sales Amount]],Table1[[City]:[City]],$O41,Table1[[Product]:[Product]],$P41,Table1[[Salesman]:[Salesman]],S$6),0)</f>
        <v>0</v>
      </c>
      <c r="T41">
        <f>IFERROR(AVERAGEIFS(Table1[[Sales Amount]:[Sales Amount]],Table1[[City]:[City]],$O41,Table1[[Product]:[Product]],$P41,Table1[[Salesman]:[Salesman]],T$6),0)</f>
        <v>0</v>
      </c>
      <c r="U41">
        <f>IFERROR(AVERAGEIFS(Table1[[Sales Amount]:[Sales Amount]],Table1[[City]:[City]],$O41,Table1[[Product]:[Product]],$P41,Table1[[Salesman]:[Salesman]],U$6),0)</f>
        <v>54783.24</v>
      </c>
      <c r="V41">
        <f>IFERROR(AVERAGEIFS(Table1[[Sales Amount]:[Sales Amount]],Table1[[City]:[City]],$O41,Table1[[Product]:[Product]],$P41,Table1[[Salesman]:[Salesman]],V$6),0)</f>
        <v>3781.47</v>
      </c>
      <c r="W41">
        <f>IFERROR(AVERAGEIFS(Table1[[Sales Amount]:[Sales Amount]],Table1[[City]:[City]],$O41,Table1[[Product]:[Product]],$P41,Table1[[Salesman]:[Salesman]],W$6),0)</f>
        <v>0</v>
      </c>
      <c r="X41">
        <f>IFERROR(AVERAGEIFS(Table1[[Sales Amount]:[Sales Amount]],Table1[[City]:[City]],$O41,Table1[[Product]:[Product]],$P41,Table1[[Salesman]:[Salesman]],X$6),0)</f>
        <v>4511.88</v>
      </c>
      <c r="Y41">
        <f>IFERROR(AVERAGEIFS(Table1[[Sales Amount]:[Sales Amount]],Table1[[City]:[City]],$O41,Table1[[Product]:[Product]],$P41,Table1[[Salesman]:[Salesman]],Y$6),0)</f>
        <v>27477.489999999998</v>
      </c>
      <c r="Z41">
        <f>IFERROR(AVERAGEIFS(Table1[[Sales Amount]:[Sales Amount]],Table1[[City]:[City]],$O41,Table1[[Product]:[Product]],$P41,Table1[[Salesman]:[Salesman]],Z$6),0)</f>
        <v>4815.0600000000004</v>
      </c>
      <c r="AA41">
        <f>IFERROR(AVERAGEIFS(Table1[[Sales Amount]:[Sales Amount]],Table1[[City]:[City]],$O41,Table1[[Product]:[Product]],$P41,Table1[[Salesman]:[Salesman]],AA$6),0)</f>
        <v>25522.720000000001</v>
      </c>
    </row>
    <row r="42" spans="15:27" x14ac:dyDescent="0.35">
      <c r="O42" s="20" t="s">
        <v>22</v>
      </c>
      <c r="P42" t="s">
        <v>18</v>
      </c>
      <c r="Q42">
        <f>IFERROR(AVERAGEIFS(Table1[[Sales Amount]:[Sales Amount]],Table1[[City]:[City]],$O42,Table1[[Product]:[Product]],$P42,Table1[[Salesman]:[Salesman]],Q$6),0)</f>
        <v>5543.8</v>
      </c>
      <c r="R42">
        <f>IFERROR(AVERAGEIFS(Table1[[Sales Amount]:[Sales Amount]],Table1[[City]:[City]],$O42,Table1[[Product]:[Product]],$P42,Table1[[Salesman]:[Salesman]],R$6),0)</f>
        <v>11848.32</v>
      </c>
      <c r="S42">
        <f>IFERROR(AVERAGEIFS(Table1[[Sales Amount]:[Sales Amount]],Table1[[City]:[City]],$O42,Table1[[Product]:[Product]],$P42,Table1[[Salesman]:[Salesman]],S$6),0)</f>
        <v>0</v>
      </c>
      <c r="T42">
        <f>IFERROR(AVERAGEIFS(Table1[[Sales Amount]:[Sales Amount]],Table1[[City]:[City]],$O42,Table1[[Product]:[Product]],$P42,Table1[[Salesman]:[Salesman]],T$6),0)</f>
        <v>33811.953333333331</v>
      </c>
      <c r="U42">
        <f>IFERROR(AVERAGEIFS(Table1[[Sales Amount]:[Sales Amount]],Table1[[City]:[City]],$O42,Table1[[Product]:[Product]],$P42,Table1[[Salesman]:[Salesman]],U$6),0)</f>
        <v>1611.17</v>
      </c>
      <c r="V42">
        <f>IFERROR(AVERAGEIFS(Table1[[Sales Amount]:[Sales Amount]],Table1[[City]:[City]],$O42,Table1[[Product]:[Product]],$P42,Table1[[Salesman]:[Salesman]],V$6),0)</f>
        <v>60714.899999999994</v>
      </c>
      <c r="W42">
        <f>IFERROR(AVERAGEIFS(Table1[[Sales Amount]:[Sales Amount]],Table1[[City]:[City]],$O42,Table1[[Product]:[Product]],$P42,Table1[[Salesman]:[Salesman]],W$6),0)</f>
        <v>32229.86</v>
      </c>
      <c r="X42">
        <f>IFERROR(AVERAGEIFS(Table1[[Sales Amount]:[Sales Amount]],Table1[[City]:[City]],$O42,Table1[[Product]:[Product]],$P42,Table1[[Salesman]:[Salesman]],X$6),0)</f>
        <v>32616.749999999996</v>
      </c>
      <c r="Y42">
        <f>IFERROR(AVERAGEIFS(Table1[[Sales Amount]:[Sales Amount]],Table1[[City]:[City]],$O42,Table1[[Product]:[Product]],$P42,Table1[[Salesman]:[Salesman]],Y$6),0)</f>
        <v>18376.03</v>
      </c>
      <c r="Z42">
        <f>IFERROR(AVERAGEIFS(Table1[[Sales Amount]:[Sales Amount]],Table1[[City]:[City]],$O42,Table1[[Product]:[Product]],$P42,Table1[[Salesman]:[Salesman]],Z$6),0)</f>
        <v>11870.27</v>
      </c>
      <c r="AA42">
        <f>IFERROR(AVERAGEIFS(Table1[[Sales Amount]:[Sales Amount]],Table1[[City]:[City]],$O42,Table1[[Product]:[Product]],$P42,Table1[[Salesman]:[Salesman]],AA$6),0)</f>
        <v>18824.715</v>
      </c>
    </row>
    <row r="43" spans="15:27" x14ac:dyDescent="0.35">
      <c r="O43" s="20" t="s">
        <v>22</v>
      </c>
      <c r="P43" t="s">
        <v>35</v>
      </c>
      <c r="Q43">
        <f>IFERROR(AVERAGEIFS(Table1[[Sales Amount]:[Sales Amount]],Table1[[City]:[City]],$O43,Table1[[Product]:[Product]],$P43,Table1[[Salesman]:[Salesman]],Q$6),0)</f>
        <v>29392.11</v>
      </c>
      <c r="R43">
        <f>IFERROR(AVERAGEIFS(Table1[[Sales Amount]:[Sales Amount]],Table1[[City]:[City]],$O43,Table1[[Product]:[Product]],$P43,Table1[[Salesman]:[Salesman]],R$6),0)</f>
        <v>5208.32</v>
      </c>
      <c r="S43">
        <f>IFERROR(AVERAGEIFS(Table1[[Sales Amount]:[Sales Amount]],Table1[[City]:[City]],$O43,Table1[[Product]:[Product]],$P43,Table1[[Salesman]:[Salesman]],S$6),0)</f>
        <v>15869.88</v>
      </c>
      <c r="T43">
        <f>IFERROR(AVERAGEIFS(Table1[[Sales Amount]:[Sales Amount]],Table1[[City]:[City]],$O43,Table1[[Product]:[Product]],$P43,Table1[[Salesman]:[Salesman]],T$6),0)</f>
        <v>66876.639999999999</v>
      </c>
      <c r="U43">
        <f>IFERROR(AVERAGEIFS(Table1[[Sales Amount]:[Sales Amount]],Table1[[City]:[City]],$O43,Table1[[Product]:[Product]],$P43,Table1[[Salesman]:[Salesman]],U$6),0)</f>
        <v>4005.87</v>
      </c>
      <c r="V43">
        <f>IFERROR(AVERAGEIFS(Table1[[Sales Amount]:[Sales Amount]],Table1[[City]:[City]],$O43,Table1[[Product]:[Product]],$P43,Table1[[Salesman]:[Salesman]],V$6),0)</f>
        <v>31374.42</v>
      </c>
      <c r="W43">
        <f>IFERROR(AVERAGEIFS(Table1[[Sales Amount]:[Sales Amount]],Table1[[City]:[City]],$O43,Table1[[Product]:[Product]],$P43,Table1[[Salesman]:[Salesman]],W$6),0)</f>
        <v>0</v>
      </c>
      <c r="X43">
        <f>IFERROR(AVERAGEIFS(Table1[[Sales Amount]:[Sales Amount]],Table1[[City]:[City]],$O43,Table1[[Product]:[Product]],$P43,Table1[[Salesman]:[Salesman]],X$6),0)</f>
        <v>21850.920000000002</v>
      </c>
      <c r="Y43">
        <f>IFERROR(AVERAGEIFS(Table1[[Sales Amount]:[Sales Amount]],Table1[[City]:[City]],$O43,Table1[[Product]:[Product]],$P43,Table1[[Salesman]:[Salesman]],Y$6),0)</f>
        <v>2469.44</v>
      </c>
      <c r="Z43">
        <f>IFERROR(AVERAGEIFS(Table1[[Sales Amount]:[Sales Amount]],Table1[[City]:[City]],$O43,Table1[[Product]:[Product]],$P43,Table1[[Salesman]:[Salesman]],Z$6),0)</f>
        <v>585.58000000000004</v>
      </c>
      <c r="AA43">
        <f>IFERROR(AVERAGEIFS(Table1[[Sales Amount]:[Sales Amount]],Table1[[City]:[City]],$O43,Table1[[Product]:[Product]],$P43,Table1[[Salesman]:[Salesman]],AA$6),0)</f>
        <v>35332.81</v>
      </c>
    </row>
    <row r="44" spans="15:27" x14ac:dyDescent="0.35">
      <c r="O44" s="20" t="s">
        <v>22</v>
      </c>
      <c r="P44" t="s">
        <v>29</v>
      </c>
      <c r="Q44">
        <f>IFERROR(AVERAGEIFS(Table1[[Sales Amount]:[Sales Amount]],Table1[[City]:[City]],$O44,Table1[[Product]:[Product]],$P44,Table1[[Salesman]:[Salesman]],Q$6),0)</f>
        <v>13089.900000000001</v>
      </c>
      <c r="R44">
        <f>IFERROR(AVERAGEIFS(Table1[[Sales Amount]:[Sales Amount]],Table1[[City]:[City]],$O44,Table1[[Product]:[Product]],$P44,Table1[[Salesman]:[Salesman]],R$6),0)</f>
        <v>31996.926666666663</v>
      </c>
      <c r="S44">
        <f>IFERROR(AVERAGEIFS(Table1[[Sales Amount]:[Sales Amount]],Table1[[City]:[City]],$O44,Table1[[Product]:[Product]],$P44,Table1[[Salesman]:[Salesman]],S$6),0)</f>
        <v>28616.199999999997</v>
      </c>
      <c r="T44">
        <f>IFERROR(AVERAGEIFS(Table1[[Sales Amount]:[Sales Amount]],Table1[[City]:[City]],$O44,Table1[[Product]:[Product]],$P44,Table1[[Salesman]:[Salesman]],T$6),0)</f>
        <v>0</v>
      </c>
      <c r="U44">
        <f>IFERROR(AVERAGEIFS(Table1[[Sales Amount]:[Sales Amount]],Table1[[City]:[City]],$O44,Table1[[Product]:[Product]],$P44,Table1[[Salesman]:[Salesman]],U$6),0)</f>
        <v>63850.409999999996</v>
      </c>
      <c r="V44">
        <f>IFERROR(AVERAGEIFS(Table1[[Sales Amount]:[Sales Amount]],Table1[[City]:[City]],$O44,Table1[[Product]:[Product]],$P44,Table1[[Salesman]:[Salesman]],V$6),0)</f>
        <v>19066.580000000002</v>
      </c>
      <c r="W44">
        <f>IFERROR(AVERAGEIFS(Table1[[Sales Amount]:[Sales Amount]],Table1[[City]:[City]],$O44,Table1[[Product]:[Product]],$P44,Table1[[Salesman]:[Salesman]],W$6),0)</f>
        <v>6144.96</v>
      </c>
      <c r="X44">
        <f>IFERROR(AVERAGEIFS(Table1[[Sales Amount]:[Sales Amount]],Table1[[City]:[City]],$O44,Table1[[Product]:[Product]],$P44,Table1[[Salesman]:[Salesman]],X$6),0)</f>
        <v>83138.5</v>
      </c>
      <c r="Y44">
        <f>IFERROR(AVERAGEIFS(Table1[[Sales Amount]:[Sales Amount]],Table1[[City]:[City]],$O44,Table1[[Product]:[Product]],$P44,Table1[[Salesman]:[Salesman]],Y$6),0)</f>
        <v>39192.373333333329</v>
      </c>
      <c r="Z44">
        <f>IFERROR(AVERAGEIFS(Table1[[Sales Amount]:[Sales Amount]],Table1[[City]:[City]],$O44,Table1[[Product]:[Product]],$P44,Table1[[Salesman]:[Salesman]],Z$6),0)</f>
        <v>0</v>
      </c>
      <c r="AA44">
        <f>IFERROR(AVERAGEIFS(Table1[[Sales Amount]:[Sales Amount]],Table1[[City]:[City]],$O44,Table1[[Product]:[Product]],$P44,Table1[[Salesman]:[Salesman]],AA$6),0)</f>
        <v>45123.305000000008</v>
      </c>
    </row>
    <row r="45" spans="15:27" x14ac:dyDescent="0.35">
      <c r="O45" s="20" t="s">
        <v>22</v>
      </c>
      <c r="P45" t="s">
        <v>21</v>
      </c>
      <c r="Q45">
        <f>IFERROR(AVERAGEIFS(Table1[[Sales Amount]:[Sales Amount]],Table1[[City]:[City]],$O45,Table1[[Product]:[Product]],$P45,Table1[[Salesman]:[Salesman]],Q$6),0)</f>
        <v>73697.2</v>
      </c>
      <c r="R45">
        <f>IFERROR(AVERAGEIFS(Table1[[Sales Amount]:[Sales Amount]],Table1[[City]:[City]],$O45,Table1[[Product]:[Product]],$P45,Table1[[Salesman]:[Salesman]],R$6),0)</f>
        <v>1723.64</v>
      </c>
      <c r="S45">
        <f>IFERROR(AVERAGEIFS(Table1[[Sales Amount]:[Sales Amount]],Table1[[City]:[City]],$O45,Table1[[Product]:[Product]],$P45,Table1[[Salesman]:[Salesman]],S$6),0)</f>
        <v>0</v>
      </c>
      <c r="T45">
        <f>IFERROR(AVERAGEIFS(Table1[[Sales Amount]:[Sales Amount]],Table1[[City]:[City]],$O45,Table1[[Product]:[Product]],$P45,Table1[[Salesman]:[Salesman]],T$6),0)</f>
        <v>10960.56</v>
      </c>
      <c r="U45">
        <f>IFERROR(AVERAGEIFS(Table1[[Sales Amount]:[Sales Amount]],Table1[[City]:[City]],$O45,Table1[[Product]:[Product]],$P45,Table1[[Salesman]:[Salesman]],U$6),0)</f>
        <v>3964.37</v>
      </c>
      <c r="V45">
        <f>IFERROR(AVERAGEIFS(Table1[[Sales Amount]:[Sales Amount]],Table1[[City]:[City]],$O45,Table1[[Product]:[Product]],$P45,Table1[[Salesman]:[Salesman]],V$6),0)</f>
        <v>0</v>
      </c>
      <c r="W45">
        <f>IFERROR(AVERAGEIFS(Table1[[Sales Amount]:[Sales Amount]],Table1[[City]:[City]],$O45,Table1[[Product]:[Product]],$P45,Table1[[Salesman]:[Salesman]],W$6),0)</f>
        <v>16998.04</v>
      </c>
      <c r="X45">
        <f>IFERROR(AVERAGEIFS(Table1[[Sales Amount]:[Sales Amount]],Table1[[City]:[City]],$O45,Table1[[Product]:[Product]],$P45,Table1[[Salesman]:[Salesman]],X$6),0)</f>
        <v>15285.49</v>
      </c>
      <c r="Y45">
        <f>IFERROR(AVERAGEIFS(Table1[[Sales Amount]:[Sales Amount]],Table1[[City]:[City]],$O45,Table1[[Product]:[Product]],$P45,Table1[[Salesman]:[Salesman]],Y$6),0)</f>
        <v>16132.44</v>
      </c>
      <c r="Z45">
        <f>IFERROR(AVERAGEIFS(Table1[[Sales Amount]:[Sales Amount]],Table1[[City]:[City]],$O45,Table1[[Product]:[Product]],$P45,Table1[[Salesman]:[Salesman]],Z$6),0)</f>
        <v>20220.055</v>
      </c>
      <c r="AA45">
        <f>IFERROR(AVERAGEIFS(Table1[[Sales Amount]:[Sales Amount]],Table1[[City]:[City]],$O45,Table1[[Product]:[Product]],$P45,Table1[[Salesman]:[Salesman]],AA$6),0)</f>
        <v>1239.25</v>
      </c>
    </row>
    <row r="46" spans="15:27" x14ac:dyDescent="0.35">
      <c r="O46" s="67" t="s">
        <v>22</v>
      </c>
      <c r="P46" t="s">
        <v>13</v>
      </c>
      <c r="Q46">
        <f>IFERROR(AVERAGEIFS(Table1[[Sales Amount]:[Sales Amount]],Table1[[City]:[City]],$O46,Table1[[Product]:[Product]],$P46,Table1[[Salesman]:[Salesman]],Q$6),0)</f>
        <v>0</v>
      </c>
      <c r="R46">
        <f>IFERROR(AVERAGEIFS(Table1[[Sales Amount]:[Sales Amount]],Table1[[City]:[City]],$O46,Table1[[Product]:[Product]],$P46,Table1[[Salesman]:[Salesman]],R$6),0)</f>
        <v>0</v>
      </c>
      <c r="S46">
        <f>IFERROR(AVERAGEIFS(Table1[[Sales Amount]:[Sales Amount]],Table1[[City]:[City]],$O46,Table1[[Product]:[Product]],$P46,Table1[[Salesman]:[Salesman]],S$6),0)</f>
        <v>648.88</v>
      </c>
      <c r="T46">
        <f>IFERROR(AVERAGEIFS(Table1[[Sales Amount]:[Sales Amount]],Table1[[City]:[City]],$O46,Table1[[Product]:[Product]],$P46,Table1[[Salesman]:[Salesman]],T$6),0)</f>
        <v>20819.68</v>
      </c>
      <c r="U46">
        <f>IFERROR(AVERAGEIFS(Table1[[Sales Amount]:[Sales Amount]],Table1[[City]:[City]],$O46,Table1[[Product]:[Product]],$P46,Table1[[Salesman]:[Salesman]],U$6),0)</f>
        <v>27611.08</v>
      </c>
      <c r="V46">
        <f>IFERROR(AVERAGEIFS(Table1[[Sales Amount]:[Sales Amount]],Table1[[City]:[City]],$O46,Table1[[Product]:[Product]],$P46,Table1[[Salesman]:[Salesman]],V$6),0)</f>
        <v>32806.44</v>
      </c>
      <c r="W46">
        <f>IFERROR(AVERAGEIFS(Table1[[Sales Amount]:[Sales Amount]],Table1[[City]:[City]],$O46,Table1[[Product]:[Product]],$P46,Table1[[Salesman]:[Salesman]],W$6),0)</f>
        <v>32963.933333333327</v>
      </c>
      <c r="X46">
        <f>IFERROR(AVERAGEIFS(Table1[[Sales Amount]:[Sales Amount]],Table1[[City]:[City]],$O46,Table1[[Product]:[Product]],$P46,Table1[[Salesman]:[Salesman]],X$6),0)</f>
        <v>0</v>
      </c>
      <c r="Y46">
        <f>IFERROR(AVERAGEIFS(Table1[[Sales Amount]:[Sales Amount]],Table1[[City]:[City]],$O46,Table1[[Product]:[Product]],$P46,Table1[[Salesman]:[Salesman]],Y$6),0)</f>
        <v>36619.012499999997</v>
      </c>
      <c r="Z46">
        <f>IFERROR(AVERAGEIFS(Table1[[Sales Amount]:[Sales Amount]],Table1[[City]:[City]],$O46,Table1[[Product]:[Product]],$P46,Table1[[Salesman]:[Salesman]],Z$6),0)</f>
        <v>11865.125</v>
      </c>
      <c r="AA46">
        <f>IFERROR(AVERAGEIFS(Table1[[Sales Amount]:[Sales Amount]],Table1[[City]:[City]],$O46,Table1[[Product]:[Product]],$P46,Table1[[Salesman]:[Salesman]],AA$6),0)</f>
        <v>54974.94</v>
      </c>
    </row>
    <row r="47" spans="15:27" x14ac:dyDescent="0.35">
      <c r="O47" s="20" t="s">
        <v>12</v>
      </c>
      <c r="P47" t="s">
        <v>18</v>
      </c>
      <c r="Q47">
        <f>IFERROR(AVERAGEIFS(Table1[[Sales Amount]:[Sales Amount]],Table1[[City]:[City]],$O47,Table1[[Product]:[Product]],$P47,Table1[[Salesman]:[Salesman]],Q$6),0)</f>
        <v>57976.359999999993</v>
      </c>
      <c r="R47">
        <f>IFERROR(AVERAGEIFS(Table1[[Sales Amount]:[Sales Amount]],Table1[[City]:[City]],$O47,Table1[[Product]:[Product]],$P47,Table1[[Salesman]:[Salesman]],R$6),0)</f>
        <v>0</v>
      </c>
      <c r="S47">
        <f>IFERROR(AVERAGEIFS(Table1[[Sales Amount]:[Sales Amount]],Table1[[City]:[City]],$O47,Table1[[Product]:[Product]],$P47,Table1[[Salesman]:[Salesman]],S$6),0)</f>
        <v>0</v>
      </c>
      <c r="T47">
        <f>IFERROR(AVERAGEIFS(Table1[[Sales Amount]:[Sales Amount]],Table1[[City]:[City]],$O47,Table1[[Product]:[Product]],$P47,Table1[[Salesman]:[Salesman]],T$6),0)</f>
        <v>20121.45</v>
      </c>
      <c r="U47">
        <f>IFERROR(AVERAGEIFS(Table1[[Sales Amount]:[Sales Amount]],Table1[[City]:[City]],$O47,Table1[[Product]:[Product]],$P47,Table1[[Salesman]:[Salesman]],U$6),0)</f>
        <v>19757.59</v>
      </c>
      <c r="V47">
        <f>IFERROR(AVERAGEIFS(Table1[[Sales Amount]:[Sales Amount]],Table1[[City]:[City]],$O47,Table1[[Product]:[Product]],$P47,Table1[[Salesman]:[Salesman]],V$6),0)</f>
        <v>17444.115000000002</v>
      </c>
      <c r="W47">
        <f>IFERROR(AVERAGEIFS(Table1[[Sales Amount]:[Sales Amount]],Table1[[City]:[City]],$O47,Table1[[Product]:[Product]],$P47,Table1[[Salesman]:[Salesman]],W$6),0)</f>
        <v>40808.520000000004</v>
      </c>
      <c r="X47">
        <f>IFERROR(AVERAGEIFS(Table1[[Sales Amount]:[Sales Amount]],Table1[[City]:[City]],$O47,Table1[[Product]:[Product]],$P47,Table1[[Salesman]:[Salesman]],X$6),0)</f>
        <v>0</v>
      </c>
      <c r="Y47">
        <f>IFERROR(AVERAGEIFS(Table1[[Sales Amount]:[Sales Amount]],Table1[[City]:[City]],$O47,Table1[[Product]:[Product]],$P47,Table1[[Salesman]:[Salesman]],Y$6),0)</f>
        <v>35403.723333333335</v>
      </c>
      <c r="Z47">
        <f>IFERROR(AVERAGEIFS(Table1[[Sales Amount]:[Sales Amount]],Table1[[City]:[City]],$O47,Table1[[Product]:[Product]],$P47,Table1[[Salesman]:[Salesman]],Z$6),0)</f>
        <v>37156.346000000005</v>
      </c>
      <c r="AA47">
        <f>IFERROR(AVERAGEIFS(Table1[[Sales Amount]:[Sales Amount]],Table1[[City]:[City]],$O47,Table1[[Product]:[Product]],$P47,Table1[[Salesman]:[Salesman]],AA$6),0)</f>
        <v>0</v>
      </c>
    </row>
    <row r="48" spans="15:27" x14ac:dyDescent="0.35">
      <c r="O48" s="20" t="s">
        <v>12</v>
      </c>
      <c r="P48" t="s">
        <v>35</v>
      </c>
      <c r="Q48">
        <f>IFERROR(AVERAGEIFS(Table1[[Sales Amount]:[Sales Amount]],Table1[[City]:[City]],$O48,Table1[[Product]:[Product]],$P48,Table1[[Salesman]:[Salesman]],Q$6),0)</f>
        <v>0</v>
      </c>
      <c r="R48">
        <f>IFERROR(AVERAGEIFS(Table1[[Sales Amount]:[Sales Amount]],Table1[[City]:[City]],$O48,Table1[[Product]:[Product]],$P48,Table1[[Salesman]:[Salesman]],R$6),0)</f>
        <v>10206</v>
      </c>
      <c r="S48">
        <f>IFERROR(AVERAGEIFS(Table1[[Sales Amount]:[Sales Amount]],Table1[[City]:[City]],$O48,Table1[[Product]:[Product]],$P48,Table1[[Salesman]:[Salesman]],S$6),0)</f>
        <v>36615.760000000002</v>
      </c>
      <c r="T48">
        <f>IFERROR(AVERAGEIFS(Table1[[Sales Amount]:[Sales Amount]],Table1[[City]:[City]],$O48,Table1[[Product]:[Product]],$P48,Table1[[Salesman]:[Salesman]],T$6),0)</f>
        <v>39464.214999999997</v>
      </c>
      <c r="U48">
        <f>IFERROR(AVERAGEIFS(Table1[[Sales Amount]:[Sales Amount]],Table1[[City]:[City]],$O48,Table1[[Product]:[Product]],$P48,Table1[[Salesman]:[Salesman]],U$6),0)</f>
        <v>18798.89</v>
      </c>
      <c r="V48">
        <f>IFERROR(AVERAGEIFS(Table1[[Sales Amount]:[Sales Amount]],Table1[[City]:[City]],$O48,Table1[[Product]:[Product]],$P48,Table1[[Salesman]:[Salesman]],V$6),0)</f>
        <v>0</v>
      </c>
      <c r="W48">
        <f>IFERROR(AVERAGEIFS(Table1[[Sales Amount]:[Sales Amount]],Table1[[City]:[City]],$O48,Table1[[Product]:[Product]],$P48,Table1[[Salesman]:[Salesman]],W$6),0)</f>
        <v>0</v>
      </c>
      <c r="X48">
        <f>IFERROR(AVERAGEIFS(Table1[[Sales Amount]:[Sales Amount]],Table1[[City]:[City]],$O48,Table1[[Product]:[Product]],$P48,Table1[[Salesman]:[Salesman]],X$6),0)</f>
        <v>568.54999999999995</v>
      </c>
      <c r="Y48">
        <f>IFERROR(AVERAGEIFS(Table1[[Sales Amount]:[Sales Amount]],Table1[[City]:[City]],$O48,Table1[[Product]:[Product]],$P48,Table1[[Salesman]:[Salesman]],Y$6),0)</f>
        <v>18812.400000000001</v>
      </c>
      <c r="Z48">
        <f>IFERROR(AVERAGEIFS(Table1[[Sales Amount]:[Sales Amount]],Table1[[City]:[City]],$O48,Table1[[Product]:[Product]],$P48,Table1[[Salesman]:[Salesman]],Z$6),0)</f>
        <v>29033.786666666667</v>
      </c>
      <c r="AA48">
        <f>IFERROR(AVERAGEIFS(Table1[[Sales Amount]:[Sales Amount]],Table1[[City]:[City]],$O48,Table1[[Product]:[Product]],$P48,Table1[[Salesman]:[Salesman]],AA$6),0)</f>
        <v>70653.210000000006</v>
      </c>
    </row>
    <row r="49" spans="15:27" x14ac:dyDescent="0.35">
      <c r="O49" s="20" t="s">
        <v>12</v>
      </c>
      <c r="P49" t="s">
        <v>29</v>
      </c>
      <c r="Q49">
        <f>IFERROR(AVERAGEIFS(Table1[[Sales Amount]:[Sales Amount]],Table1[[City]:[City]],$O49,Table1[[Product]:[Product]],$P49,Table1[[Salesman]:[Salesman]],Q$6),0)</f>
        <v>36974</v>
      </c>
      <c r="R49">
        <f>IFERROR(AVERAGEIFS(Table1[[Sales Amount]:[Sales Amount]],Table1[[City]:[City]],$O49,Table1[[Product]:[Product]],$P49,Table1[[Salesman]:[Salesman]],R$6),0)</f>
        <v>56321.014999999999</v>
      </c>
      <c r="S49">
        <f>IFERROR(AVERAGEIFS(Table1[[Sales Amount]:[Sales Amount]],Table1[[City]:[City]],$O49,Table1[[Product]:[Product]],$P49,Table1[[Salesman]:[Salesman]],S$6),0)</f>
        <v>48350.720000000001</v>
      </c>
      <c r="T49">
        <f>IFERROR(AVERAGEIFS(Table1[[Sales Amount]:[Sales Amount]],Table1[[City]:[City]],$O49,Table1[[Product]:[Product]],$P49,Table1[[Salesman]:[Salesman]],T$6),0)</f>
        <v>43663.29</v>
      </c>
      <c r="U49">
        <f>IFERROR(AVERAGEIFS(Table1[[Sales Amount]:[Sales Amount]],Table1[[City]:[City]],$O49,Table1[[Product]:[Product]],$P49,Table1[[Salesman]:[Salesman]],U$6),0)</f>
        <v>18665.899999999998</v>
      </c>
      <c r="V49">
        <f>IFERROR(AVERAGEIFS(Table1[[Sales Amount]:[Sales Amount]],Table1[[City]:[City]],$O49,Table1[[Product]:[Product]],$P49,Table1[[Salesman]:[Salesman]],V$6),0)</f>
        <v>0</v>
      </c>
      <c r="W49">
        <f>IFERROR(AVERAGEIFS(Table1[[Sales Amount]:[Sales Amount]],Table1[[City]:[City]],$O49,Table1[[Product]:[Product]],$P49,Table1[[Salesman]:[Salesman]],W$6),0)</f>
        <v>36974</v>
      </c>
      <c r="X49">
        <f>IFERROR(AVERAGEIFS(Table1[[Sales Amount]:[Sales Amount]],Table1[[City]:[City]],$O49,Table1[[Product]:[Product]],$P49,Table1[[Salesman]:[Salesman]],X$6),0)</f>
        <v>2907.1450000000004</v>
      </c>
      <c r="Y49">
        <f>IFERROR(AVERAGEIFS(Table1[[Sales Amount]:[Sales Amount]],Table1[[City]:[City]],$O49,Table1[[Product]:[Product]],$P49,Table1[[Salesman]:[Salesman]],Y$6),0)</f>
        <v>0</v>
      </c>
      <c r="Z49">
        <f>IFERROR(AVERAGEIFS(Table1[[Sales Amount]:[Sales Amount]],Table1[[City]:[City]],$O49,Table1[[Product]:[Product]],$P49,Table1[[Salesman]:[Salesman]],Z$6),0)</f>
        <v>36925.731999999996</v>
      </c>
      <c r="AA49">
        <f>IFERROR(AVERAGEIFS(Table1[[Sales Amount]:[Sales Amount]],Table1[[City]:[City]],$O49,Table1[[Product]:[Product]],$P49,Table1[[Salesman]:[Salesman]],AA$6),0)</f>
        <v>7327.16</v>
      </c>
    </row>
    <row r="50" spans="15:27" x14ac:dyDescent="0.35">
      <c r="O50" s="20" t="s">
        <v>12</v>
      </c>
      <c r="P50" t="s">
        <v>21</v>
      </c>
      <c r="Q50">
        <f>IFERROR(AVERAGEIFS(Table1[[Sales Amount]:[Sales Amount]],Table1[[City]:[City]],$O50,Table1[[Product]:[Product]],$P50,Table1[[Salesman]:[Salesman]],Q$6),0)</f>
        <v>0</v>
      </c>
      <c r="R50">
        <f>IFERROR(AVERAGEIFS(Table1[[Sales Amount]:[Sales Amount]],Table1[[City]:[City]],$O50,Table1[[Product]:[Product]],$P50,Table1[[Salesman]:[Salesman]],R$6),0)</f>
        <v>26912.1</v>
      </c>
      <c r="S50">
        <f>IFERROR(AVERAGEIFS(Table1[[Sales Amount]:[Sales Amount]],Table1[[City]:[City]],$O50,Table1[[Product]:[Product]],$P50,Table1[[Salesman]:[Salesman]],S$6),0)</f>
        <v>0</v>
      </c>
      <c r="T50">
        <f>IFERROR(AVERAGEIFS(Table1[[Sales Amount]:[Sales Amount]],Table1[[City]:[City]],$O50,Table1[[Product]:[Product]],$P50,Table1[[Salesman]:[Salesman]],T$6),0)</f>
        <v>0</v>
      </c>
      <c r="U50">
        <f>IFERROR(AVERAGEIFS(Table1[[Sales Amount]:[Sales Amount]],Table1[[City]:[City]],$O50,Table1[[Product]:[Product]],$P50,Table1[[Salesman]:[Salesman]],U$6),0)</f>
        <v>22007.600000000002</v>
      </c>
      <c r="V50">
        <f>IFERROR(AVERAGEIFS(Table1[[Sales Amount]:[Sales Amount]],Table1[[City]:[City]],$O50,Table1[[Product]:[Product]],$P50,Table1[[Salesman]:[Salesman]],V$6),0)</f>
        <v>0</v>
      </c>
      <c r="W50">
        <f>IFERROR(AVERAGEIFS(Table1[[Sales Amount]:[Sales Amount]],Table1[[City]:[City]],$O50,Table1[[Product]:[Product]],$P50,Table1[[Salesman]:[Salesman]],W$6),0)</f>
        <v>0</v>
      </c>
      <c r="X50">
        <f>IFERROR(AVERAGEIFS(Table1[[Sales Amount]:[Sales Amount]],Table1[[City]:[City]],$O50,Table1[[Product]:[Product]],$P50,Table1[[Salesman]:[Salesman]],X$6),0)</f>
        <v>4320.6400000000003</v>
      </c>
      <c r="Y50">
        <f>IFERROR(AVERAGEIFS(Table1[[Sales Amount]:[Sales Amount]],Table1[[City]:[City]],$O50,Table1[[Product]:[Product]],$P50,Table1[[Salesman]:[Salesman]],Y$6),0)</f>
        <v>48384.2</v>
      </c>
      <c r="Z50">
        <f>IFERROR(AVERAGEIFS(Table1[[Sales Amount]:[Sales Amount]],Table1[[City]:[City]],$O50,Table1[[Product]:[Product]],$P50,Table1[[Salesman]:[Salesman]],Z$6),0)</f>
        <v>0</v>
      </c>
      <c r="AA50">
        <f>IFERROR(AVERAGEIFS(Table1[[Sales Amount]:[Sales Amount]],Table1[[City]:[City]],$O50,Table1[[Product]:[Product]],$P50,Table1[[Salesman]:[Salesman]],AA$6),0)</f>
        <v>6023.2000000000007</v>
      </c>
    </row>
    <row r="51" spans="15:27" x14ac:dyDescent="0.35">
      <c r="O51" s="67" t="s">
        <v>12</v>
      </c>
      <c r="P51" t="s">
        <v>13</v>
      </c>
      <c r="Q51">
        <f>IFERROR(AVERAGEIFS(Table1[[Sales Amount]:[Sales Amount]],Table1[[City]:[City]],$O51,Table1[[Product]:[Product]],$P51,Table1[[Salesman]:[Salesman]],Q$6),0)</f>
        <v>23541.044999999998</v>
      </c>
      <c r="R51">
        <f>IFERROR(AVERAGEIFS(Table1[[Sales Amount]:[Sales Amount]],Table1[[City]:[City]],$O51,Table1[[Product]:[Product]],$P51,Table1[[Salesman]:[Salesman]],R$6),0)</f>
        <v>14477.980000000001</v>
      </c>
      <c r="S51">
        <f>IFERROR(AVERAGEIFS(Table1[[Sales Amount]:[Sales Amount]],Table1[[City]:[City]],$O51,Table1[[Product]:[Product]],$P51,Table1[[Salesman]:[Salesman]],S$6),0)</f>
        <v>34959.299999999996</v>
      </c>
      <c r="T51">
        <f>IFERROR(AVERAGEIFS(Table1[[Sales Amount]:[Sales Amount]],Table1[[City]:[City]],$O51,Table1[[Product]:[Product]],$P51,Table1[[Salesman]:[Salesman]],T$6),0)</f>
        <v>43728.75</v>
      </c>
      <c r="U51">
        <f>IFERROR(AVERAGEIFS(Table1[[Sales Amount]:[Sales Amount]],Table1[[City]:[City]],$O51,Table1[[Product]:[Product]],$P51,Table1[[Salesman]:[Salesman]],U$6),0)</f>
        <v>43811.429999999993</v>
      </c>
      <c r="V51">
        <f>IFERROR(AVERAGEIFS(Table1[[Sales Amount]:[Sales Amount]],Table1[[City]:[City]],$O51,Table1[[Product]:[Product]],$P51,Table1[[Salesman]:[Salesman]],V$6),0)</f>
        <v>4097.2</v>
      </c>
      <c r="W51">
        <f>IFERROR(AVERAGEIFS(Table1[[Sales Amount]:[Sales Amount]],Table1[[City]:[City]],$O51,Table1[[Product]:[Product]],$P51,Table1[[Salesman]:[Salesman]],W$6),0)</f>
        <v>24938.5</v>
      </c>
      <c r="X51">
        <f>IFERROR(AVERAGEIFS(Table1[[Sales Amount]:[Sales Amount]],Table1[[City]:[City]],$O51,Table1[[Product]:[Product]],$P51,Table1[[Salesman]:[Salesman]],X$6),0)</f>
        <v>33115.54</v>
      </c>
      <c r="Y51">
        <f>IFERROR(AVERAGEIFS(Table1[[Sales Amount]:[Sales Amount]],Table1[[City]:[City]],$O51,Table1[[Product]:[Product]],$P51,Table1[[Salesman]:[Salesman]],Y$6),0)</f>
        <v>21042.98</v>
      </c>
      <c r="Z51">
        <f>IFERROR(AVERAGEIFS(Table1[[Sales Amount]:[Sales Amount]],Table1[[City]:[City]],$O51,Table1[[Product]:[Product]],$P51,Table1[[Salesman]:[Salesman]],Z$6),0)</f>
        <v>36763.660000000003</v>
      </c>
      <c r="AA51">
        <f>IFERROR(AVERAGEIFS(Table1[[Sales Amount]:[Sales Amount]],Table1[[City]:[City]],$O51,Table1[[Product]:[Product]],$P51,Table1[[Salesman]:[Salesman]],AA$6),0)</f>
        <v>0</v>
      </c>
    </row>
    <row r="52" spans="15:27" x14ac:dyDescent="0.35">
      <c r="O52" s="20" t="s">
        <v>17</v>
      </c>
      <c r="P52" t="s">
        <v>18</v>
      </c>
      <c r="Q52">
        <f>IFERROR(AVERAGEIFS(Table1[[Sales Amount]:[Sales Amount]],Table1[[City]:[City]],$O52,Table1[[Product]:[Product]],$P52,Table1[[Salesman]:[Salesman]],Q$6),0)</f>
        <v>33206.910000000003</v>
      </c>
      <c r="R52">
        <f>IFERROR(AVERAGEIFS(Table1[[Sales Amount]:[Sales Amount]],Table1[[City]:[City]],$O52,Table1[[Product]:[Product]],$P52,Table1[[Salesman]:[Salesman]],R$6),0)</f>
        <v>33070.355000000003</v>
      </c>
      <c r="S52">
        <f>IFERROR(AVERAGEIFS(Table1[[Sales Amount]:[Sales Amount]],Table1[[City]:[City]],$O52,Table1[[Product]:[Product]],$P52,Table1[[Salesman]:[Salesman]],S$6),0)</f>
        <v>26943.216666666664</v>
      </c>
      <c r="T52">
        <f>IFERROR(AVERAGEIFS(Table1[[Sales Amount]:[Sales Amount]],Table1[[City]:[City]],$O52,Table1[[Product]:[Product]],$P52,Table1[[Salesman]:[Salesman]],T$6),0)</f>
        <v>66678.084999999992</v>
      </c>
      <c r="U52">
        <f>IFERROR(AVERAGEIFS(Table1[[Sales Amount]:[Sales Amount]],Table1[[City]:[City]],$O52,Table1[[Product]:[Product]],$P52,Table1[[Salesman]:[Salesman]],U$6),0)</f>
        <v>10029.960000000001</v>
      </c>
      <c r="V52">
        <f>IFERROR(AVERAGEIFS(Table1[[Sales Amount]:[Sales Amount]],Table1[[City]:[City]],$O52,Table1[[Product]:[Product]],$P52,Table1[[Salesman]:[Salesman]],V$6),0)</f>
        <v>0</v>
      </c>
      <c r="W52">
        <f>IFERROR(AVERAGEIFS(Table1[[Sales Amount]:[Sales Amount]],Table1[[City]:[City]],$O52,Table1[[Product]:[Product]],$P52,Table1[[Salesman]:[Salesman]],W$6),0)</f>
        <v>33773.479999999996</v>
      </c>
      <c r="X52">
        <f>IFERROR(AVERAGEIFS(Table1[[Sales Amount]:[Sales Amount]],Table1[[City]:[City]],$O52,Table1[[Product]:[Product]],$P52,Table1[[Salesman]:[Salesman]],X$6),0)</f>
        <v>0</v>
      </c>
      <c r="Y52">
        <f>IFERROR(AVERAGEIFS(Table1[[Sales Amount]:[Sales Amount]],Table1[[City]:[City]],$O52,Table1[[Product]:[Product]],$P52,Table1[[Salesman]:[Salesman]],Y$6),0)</f>
        <v>24964.799999999999</v>
      </c>
      <c r="Z52">
        <f>IFERROR(AVERAGEIFS(Table1[[Sales Amount]:[Sales Amount]],Table1[[City]:[City]],$O52,Table1[[Product]:[Product]],$P52,Table1[[Salesman]:[Salesman]],Z$6),0)</f>
        <v>0</v>
      </c>
      <c r="AA52">
        <f>IFERROR(AVERAGEIFS(Table1[[Sales Amount]:[Sales Amount]],Table1[[City]:[City]],$O52,Table1[[Product]:[Product]],$P52,Table1[[Salesman]:[Salesman]],AA$6),0)</f>
        <v>34393.5</v>
      </c>
    </row>
    <row r="53" spans="15:27" x14ac:dyDescent="0.35">
      <c r="O53" s="20" t="s">
        <v>17</v>
      </c>
      <c r="P53" t="s">
        <v>35</v>
      </c>
      <c r="Q53">
        <f>IFERROR(AVERAGEIFS(Table1[[Sales Amount]:[Sales Amount]],Table1[[City]:[City]],$O53,Table1[[Product]:[Product]],$P53,Table1[[Salesman]:[Salesman]],Q$6),0)</f>
        <v>40305.360000000001</v>
      </c>
      <c r="R53">
        <f>IFERROR(AVERAGEIFS(Table1[[Sales Amount]:[Sales Amount]],Table1[[City]:[City]],$O53,Table1[[Product]:[Product]],$P53,Table1[[Salesman]:[Salesman]],R$6),0)</f>
        <v>79998.399999999994</v>
      </c>
      <c r="S53">
        <f>IFERROR(AVERAGEIFS(Table1[[Sales Amount]:[Sales Amount]],Table1[[City]:[City]],$O53,Table1[[Product]:[Product]],$P53,Table1[[Salesman]:[Salesman]],S$6),0)</f>
        <v>12862.3</v>
      </c>
      <c r="T53">
        <f>IFERROR(AVERAGEIFS(Table1[[Sales Amount]:[Sales Amount]],Table1[[City]:[City]],$O53,Table1[[Product]:[Product]],$P53,Table1[[Salesman]:[Salesman]],T$6),0)</f>
        <v>4915.68</v>
      </c>
      <c r="U53">
        <f>IFERROR(AVERAGEIFS(Table1[[Sales Amount]:[Sales Amount]],Table1[[City]:[City]],$O53,Table1[[Product]:[Product]],$P53,Table1[[Salesman]:[Salesman]],U$6),0)</f>
        <v>0</v>
      </c>
      <c r="V53">
        <f>IFERROR(AVERAGEIFS(Table1[[Sales Amount]:[Sales Amount]],Table1[[City]:[City]],$O53,Table1[[Product]:[Product]],$P53,Table1[[Salesman]:[Salesman]],V$6),0)</f>
        <v>10811.635</v>
      </c>
      <c r="W53">
        <f>IFERROR(AVERAGEIFS(Table1[[Sales Amount]:[Sales Amount]],Table1[[City]:[City]],$O53,Table1[[Product]:[Product]],$P53,Table1[[Salesman]:[Salesman]],W$6),0)</f>
        <v>7830.2</v>
      </c>
      <c r="X53">
        <f>IFERROR(AVERAGEIFS(Table1[[Sales Amount]:[Sales Amount]],Table1[[City]:[City]],$O53,Table1[[Product]:[Product]],$P53,Table1[[Salesman]:[Salesman]],X$6),0)</f>
        <v>19846.215</v>
      </c>
      <c r="Y53">
        <f>IFERROR(AVERAGEIFS(Table1[[Sales Amount]:[Sales Amount]],Table1[[City]:[City]],$O53,Table1[[Product]:[Product]],$P53,Table1[[Salesman]:[Salesman]],Y$6),0)</f>
        <v>0</v>
      </c>
      <c r="Z53">
        <f>IFERROR(AVERAGEIFS(Table1[[Sales Amount]:[Sales Amount]],Table1[[City]:[City]],$O53,Table1[[Product]:[Product]],$P53,Table1[[Salesman]:[Salesman]],Z$6),0)</f>
        <v>49062.15</v>
      </c>
      <c r="AA53">
        <f>IFERROR(AVERAGEIFS(Table1[[Sales Amount]:[Sales Amount]],Table1[[City]:[City]],$O53,Table1[[Product]:[Product]],$P53,Table1[[Salesman]:[Salesman]],AA$6),0)</f>
        <v>50120.819999999992</v>
      </c>
    </row>
    <row r="54" spans="15:27" x14ac:dyDescent="0.35">
      <c r="O54" s="20" t="s">
        <v>17</v>
      </c>
      <c r="P54" t="s">
        <v>29</v>
      </c>
      <c r="Q54">
        <f>IFERROR(AVERAGEIFS(Table1[[Sales Amount]:[Sales Amount]],Table1[[City]:[City]],$O54,Table1[[Product]:[Product]],$P54,Table1[[Salesman]:[Salesman]],Q$6),0)</f>
        <v>27393.03</v>
      </c>
      <c r="R54">
        <f>IFERROR(AVERAGEIFS(Table1[[Sales Amount]:[Sales Amount]],Table1[[City]:[City]],$O54,Table1[[Product]:[Product]],$P54,Table1[[Salesman]:[Salesman]],R$6),0)</f>
        <v>8016.84</v>
      </c>
      <c r="S54">
        <f>IFERROR(AVERAGEIFS(Table1[[Sales Amount]:[Sales Amount]],Table1[[City]:[City]],$O54,Table1[[Product]:[Product]],$P54,Table1[[Salesman]:[Salesman]],S$6),0)</f>
        <v>0</v>
      </c>
      <c r="T54">
        <f>IFERROR(AVERAGEIFS(Table1[[Sales Amount]:[Sales Amount]],Table1[[City]:[City]],$O54,Table1[[Product]:[Product]],$P54,Table1[[Salesman]:[Salesman]],T$6),0)</f>
        <v>0</v>
      </c>
      <c r="U54">
        <f>IFERROR(AVERAGEIFS(Table1[[Sales Amount]:[Sales Amount]],Table1[[City]:[City]],$O54,Table1[[Product]:[Product]],$P54,Table1[[Salesman]:[Salesman]],U$6),0)</f>
        <v>4876.95</v>
      </c>
      <c r="V54">
        <f>IFERROR(AVERAGEIFS(Table1[[Sales Amount]:[Sales Amount]],Table1[[City]:[City]],$O54,Table1[[Product]:[Product]],$P54,Table1[[Salesman]:[Salesman]],V$6),0)</f>
        <v>3418.7699999999995</v>
      </c>
      <c r="W54">
        <f>IFERROR(AVERAGEIFS(Table1[[Sales Amount]:[Sales Amount]],Table1[[City]:[City]],$O54,Table1[[Product]:[Product]],$P54,Table1[[Salesman]:[Salesman]],W$6),0)</f>
        <v>0</v>
      </c>
      <c r="X54">
        <f>IFERROR(AVERAGEIFS(Table1[[Sales Amount]:[Sales Amount]],Table1[[City]:[City]],$O54,Table1[[Product]:[Product]],$P54,Table1[[Salesman]:[Salesman]],X$6),0)</f>
        <v>0</v>
      </c>
      <c r="Y54">
        <f>IFERROR(AVERAGEIFS(Table1[[Sales Amount]:[Sales Amount]],Table1[[City]:[City]],$O54,Table1[[Product]:[Product]],$P54,Table1[[Salesman]:[Salesman]],Y$6),0)</f>
        <v>26571.31</v>
      </c>
      <c r="Z54">
        <f>IFERROR(AVERAGEIFS(Table1[[Sales Amount]:[Sales Amount]],Table1[[City]:[City]],$O54,Table1[[Product]:[Product]],$P54,Table1[[Salesman]:[Salesman]],Z$6),0)</f>
        <v>0</v>
      </c>
      <c r="AA54">
        <f>IFERROR(AVERAGEIFS(Table1[[Sales Amount]:[Sales Amount]],Table1[[City]:[City]],$O54,Table1[[Product]:[Product]],$P54,Table1[[Salesman]:[Salesman]],AA$6),0)</f>
        <v>84012.109999999986</v>
      </c>
    </row>
    <row r="55" spans="15:27" x14ac:dyDescent="0.35">
      <c r="O55" s="20" t="s">
        <v>17</v>
      </c>
      <c r="P55" t="s">
        <v>21</v>
      </c>
      <c r="Q55">
        <f>IFERROR(AVERAGEIFS(Table1[[Sales Amount]:[Sales Amount]],Table1[[City]:[City]],$O55,Table1[[Product]:[Product]],$P55,Table1[[Salesman]:[Salesman]],Q$6),0)</f>
        <v>0</v>
      </c>
      <c r="R55">
        <f>IFERROR(AVERAGEIFS(Table1[[Sales Amount]:[Sales Amount]],Table1[[City]:[City]],$O55,Table1[[Product]:[Product]],$P55,Table1[[Salesman]:[Salesman]],R$6),0)</f>
        <v>22946.864999999998</v>
      </c>
      <c r="S55">
        <f>IFERROR(AVERAGEIFS(Table1[[Sales Amount]:[Sales Amount]],Table1[[City]:[City]],$O55,Table1[[Product]:[Product]],$P55,Table1[[Salesman]:[Salesman]],S$6),0)</f>
        <v>14636.1</v>
      </c>
      <c r="T55">
        <f>IFERROR(AVERAGEIFS(Table1[[Sales Amount]:[Sales Amount]],Table1[[City]:[City]],$O55,Table1[[Product]:[Product]],$P55,Table1[[Salesman]:[Salesman]],T$6),0)</f>
        <v>28379.040000000001</v>
      </c>
      <c r="U55">
        <f>IFERROR(AVERAGEIFS(Table1[[Sales Amount]:[Sales Amount]],Table1[[City]:[City]],$O55,Table1[[Product]:[Product]],$P55,Table1[[Salesman]:[Salesman]],U$6),0)</f>
        <v>47752.13</v>
      </c>
      <c r="V55">
        <f>IFERROR(AVERAGEIFS(Table1[[Sales Amount]:[Sales Amount]],Table1[[City]:[City]],$O55,Table1[[Product]:[Product]],$P55,Table1[[Salesman]:[Salesman]],V$6),0)</f>
        <v>0</v>
      </c>
      <c r="W55">
        <f>IFERROR(AVERAGEIFS(Table1[[Sales Amount]:[Sales Amount]],Table1[[City]:[City]],$O55,Table1[[Product]:[Product]],$P55,Table1[[Salesman]:[Salesman]],W$6),0)</f>
        <v>0</v>
      </c>
      <c r="X55">
        <f>IFERROR(AVERAGEIFS(Table1[[Sales Amount]:[Sales Amount]],Table1[[City]:[City]],$O55,Table1[[Product]:[Product]],$P55,Table1[[Salesman]:[Salesman]],X$6),0)</f>
        <v>0</v>
      </c>
      <c r="Y55">
        <f>IFERROR(AVERAGEIFS(Table1[[Sales Amount]:[Sales Amount]],Table1[[City]:[City]],$O55,Table1[[Product]:[Product]],$P55,Table1[[Salesman]:[Salesman]],Y$6),0)</f>
        <v>10356.89</v>
      </c>
      <c r="Z55">
        <f>IFERROR(AVERAGEIFS(Table1[[Sales Amount]:[Sales Amount]],Table1[[City]:[City]],$O55,Table1[[Product]:[Product]],$P55,Table1[[Salesman]:[Salesman]],Z$6),0)</f>
        <v>24239.325000000001</v>
      </c>
      <c r="AA55">
        <f>IFERROR(AVERAGEIFS(Table1[[Sales Amount]:[Sales Amount]],Table1[[City]:[City]],$O55,Table1[[Product]:[Product]],$P55,Table1[[Salesman]:[Salesman]],AA$6),0)</f>
        <v>29542.756666666664</v>
      </c>
    </row>
    <row r="56" spans="15:27" x14ac:dyDescent="0.35">
      <c r="O56" s="67" t="s">
        <v>17</v>
      </c>
      <c r="P56" t="s">
        <v>13</v>
      </c>
      <c r="Q56">
        <f>IFERROR(AVERAGEIFS(Table1[[Sales Amount]:[Sales Amount]],Table1[[City]:[City]],$O56,Table1[[Product]:[Product]],$P56,Table1[[Salesman]:[Salesman]],Q$6),0)</f>
        <v>39545.494999999995</v>
      </c>
      <c r="R56">
        <f>IFERROR(AVERAGEIFS(Table1[[Sales Amount]:[Sales Amount]],Table1[[City]:[City]],$O56,Table1[[Product]:[Product]],$P56,Table1[[Salesman]:[Salesman]],R$6),0)</f>
        <v>26742.87</v>
      </c>
      <c r="S56">
        <f>IFERROR(AVERAGEIFS(Table1[[Sales Amount]:[Sales Amount]],Table1[[City]:[City]],$O56,Table1[[Product]:[Product]],$P56,Table1[[Salesman]:[Salesman]],S$6),0)</f>
        <v>39640.5</v>
      </c>
      <c r="T56">
        <f>IFERROR(AVERAGEIFS(Table1[[Sales Amount]:[Sales Amount]],Table1[[City]:[City]],$O56,Table1[[Product]:[Product]],$P56,Table1[[Salesman]:[Salesman]],T$6),0)</f>
        <v>3445.4749999999999</v>
      </c>
      <c r="U56">
        <f>IFERROR(AVERAGEIFS(Table1[[Sales Amount]:[Sales Amount]],Table1[[City]:[City]],$O56,Table1[[Product]:[Product]],$P56,Table1[[Salesman]:[Salesman]],U$6),0)</f>
        <v>0</v>
      </c>
      <c r="V56">
        <f>IFERROR(AVERAGEIFS(Table1[[Sales Amount]:[Sales Amount]],Table1[[City]:[City]],$O56,Table1[[Product]:[Product]],$P56,Table1[[Salesman]:[Salesman]],V$6),0)</f>
        <v>0</v>
      </c>
      <c r="W56">
        <f>IFERROR(AVERAGEIFS(Table1[[Sales Amount]:[Sales Amount]],Table1[[City]:[City]],$O56,Table1[[Product]:[Product]],$P56,Table1[[Salesman]:[Salesman]],W$6),0)</f>
        <v>19868.28</v>
      </c>
      <c r="X56">
        <f>IFERROR(AVERAGEIFS(Table1[[Sales Amount]:[Sales Amount]],Table1[[City]:[City]],$O56,Table1[[Product]:[Product]],$P56,Table1[[Salesman]:[Salesman]],X$6),0)</f>
        <v>12165.305</v>
      </c>
      <c r="Y56">
        <f>IFERROR(AVERAGEIFS(Table1[[Sales Amount]:[Sales Amount]],Table1[[City]:[City]],$O56,Table1[[Product]:[Product]],$P56,Table1[[Salesman]:[Salesman]],Y$6),0)</f>
        <v>5828.28</v>
      </c>
      <c r="Z56">
        <f>IFERROR(AVERAGEIFS(Table1[[Sales Amount]:[Sales Amount]],Table1[[City]:[City]],$O56,Table1[[Product]:[Product]],$P56,Table1[[Salesman]:[Salesman]],Z$6),0)</f>
        <v>68178.900000000009</v>
      </c>
      <c r="AA56">
        <f>IFERROR(AVERAGEIFS(Table1[[Sales Amount]:[Sales Amount]],Table1[[City]:[City]],$O56,Table1[[Product]:[Product]],$P56,Table1[[Salesman]:[Salesman]],AA$6),0)</f>
        <v>14774</v>
      </c>
    </row>
    <row r="57" spans="15:27" x14ac:dyDescent="0.35">
      <c r="O57" s="20" t="s">
        <v>27</v>
      </c>
      <c r="P57" t="s">
        <v>18</v>
      </c>
      <c r="Q57">
        <f>IFERROR(AVERAGEIFS(Table1[[Sales Amount]:[Sales Amount]],Table1[[City]:[City]],$O57,Table1[[Product]:[Product]],$P57,Table1[[Salesman]:[Salesman]],Q$6),0)</f>
        <v>29453.879999999997</v>
      </c>
      <c r="R57">
        <f>IFERROR(AVERAGEIFS(Table1[[Sales Amount]:[Sales Amount]],Table1[[City]:[City]],$O57,Table1[[Product]:[Product]],$P57,Table1[[Salesman]:[Salesman]],R$6),0)</f>
        <v>0</v>
      </c>
      <c r="S57">
        <f>IFERROR(AVERAGEIFS(Table1[[Sales Amount]:[Sales Amount]],Table1[[City]:[City]],$O57,Table1[[Product]:[Product]],$P57,Table1[[Salesman]:[Salesman]],S$6),0)</f>
        <v>25948.424999999999</v>
      </c>
      <c r="T57">
        <f>IFERROR(AVERAGEIFS(Table1[[Sales Amount]:[Sales Amount]],Table1[[City]:[City]],$O57,Table1[[Product]:[Product]],$P57,Table1[[Salesman]:[Salesman]],T$6),0)</f>
        <v>28324.38</v>
      </c>
      <c r="U57">
        <f>IFERROR(AVERAGEIFS(Table1[[Sales Amount]:[Sales Amount]],Table1[[City]:[City]],$O57,Table1[[Product]:[Product]],$P57,Table1[[Salesman]:[Salesman]],U$6),0)</f>
        <v>4681.07</v>
      </c>
      <c r="V57">
        <f>IFERROR(AVERAGEIFS(Table1[[Sales Amount]:[Sales Amount]],Table1[[City]:[City]],$O57,Table1[[Product]:[Product]],$P57,Table1[[Salesman]:[Salesman]],V$6),0)</f>
        <v>9416.4500000000007</v>
      </c>
      <c r="W57">
        <f>IFERROR(AVERAGEIFS(Table1[[Sales Amount]:[Sales Amount]],Table1[[City]:[City]],$O57,Table1[[Product]:[Product]],$P57,Table1[[Salesman]:[Salesman]],W$6),0)</f>
        <v>28857.571250000001</v>
      </c>
      <c r="X57">
        <f>IFERROR(AVERAGEIFS(Table1[[Sales Amount]:[Sales Amount]],Table1[[City]:[City]],$O57,Table1[[Product]:[Product]],$P57,Table1[[Salesman]:[Salesman]],X$6),0)</f>
        <v>39074.899999999994</v>
      </c>
      <c r="Y57">
        <f>IFERROR(AVERAGEIFS(Table1[[Sales Amount]:[Sales Amount]],Table1[[City]:[City]],$O57,Table1[[Product]:[Product]],$P57,Table1[[Salesman]:[Salesman]],Y$6),0)</f>
        <v>25320.387500000001</v>
      </c>
      <c r="Z57">
        <f>IFERROR(AVERAGEIFS(Table1[[Sales Amount]:[Sales Amount]],Table1[[City]:[City]],$O57,Table1[[Product]:[Product]],$P57,Table1[[Salesman]:[Salesman]],Z$6),0)</f>
        <v>28538.800000000003</v>
      </c>
      <c r="AA57">
        <f>IFERROR(AVERAGEIFS(Table1[[Sales Amount]:[Sales Amount]],Table1[[City]:[City]],$O57,Table1[[Product]:[Product]],$P57,Table1[[Salesman]:[Salesman]],AA$6),0)</f>
        <v>5025.3599999999997</v>
      </c>
    </row>
    <row r="58" spans="15:27" x14ac:dyDescent="0.35">
      <c r="O58" s="20" t="s">
        <v>27</v>
      </c>
      <c r="P58" t="s">
        <v>35</v>
      </c>
      <c r="Q58">
        <f>IFERROR(AVERAGEIFS(Table1[[Sales Amount]:[Sales Amount]],Table1[[City]:[City]],$O58,Table1[[Product]:[Product]],$P58,Table1[[Salesman]:[Salesman]],Q$6),0)</f>
        <v>24770.19</v>
      </c>
      <c r="R58">
        <f>IFERROR(AVERAGEIFS(Table1[[Sales Amount]:[Sales Amount]],Table1[[City]:[City]],$O58,Table1[[Product]:[Product]],$P58,Table1[[Salesman]:[Salesman]],R$6),0)</f>
        <v>32314.829999999998</v>
      </c>
      <c r="S58">
        <f>IFERROR(AVERAGEIFS(Table1[[Sales Amount]:[Sales Amount]],Table1[[City]:[City]],$O58,Table1[[Product]:[Product]],$P58,Table1[[Salesman]:[Salesman]],S$6),0)</f>
        <v>0</v>
      </c>
      <c r="T58">
        <f>IFERROR(AVERAGEIFS(Table1[[Sales Amount]:[Sales Amount]],Table1[[City]:[City]],$O58,Table1[[Product]:[Product]],$P58,Table1[[Salesman]:[Salesman]],T$6),0)</f>
        <v>0</v>
      </c>
      <c r="U58">
        <f>IFERROR(AVERAGEIFS(Table1[[Sales Amount]:[Sales Amount]],Table1[[City]:[City]],$O58,Table1[[Product]:[Product]],$P58,Table1[[Salesman]:[Salesman]],U$6),0)</f>
        <v>0</v>
      </c>
      <c r="V58">
        <f>IFERROR(AVERAGEIFS(Table1[[Sales Amount]:[Sales Amount]],Table1[[City]:[City]],$O58,Table1[[Product]:[Product]],$P58,Table1[[Salesman]:[Salesman]],V$6),0)</f>
        <v>44580.6</v>
      </c>
      <c r="W58">
        <f>IFERROR(AVERAGEIFS(Table1[[Sales Amount]:[Sales Amount]],Table1[[City]:[City]],$O58,Table1[[Product]:[Product]],$P58,Table1[[Salesman]:[Salesman]],W$6),0)</f>
        <v>38274</v>
      </c>
      <c r="X58">
        <f>IFERROR(AVERAGEIFS(Table1[[Sales Amount]:[Sales Amount]],Table1[[City]:[City]],$O58,Table1[[Product]:[Product]],$P58,Table1[[Salesman]:[Salesman]],X$6),0)</f>
        <v>0</v>
      </c>
      <c r="Y58">
        <f>IFERROR(AVERAGEIFS(Table1[[Sales Amount]:[Sales Amount]],Table1[[City]:[City]],$O58,Table1[[Product]:[Product]],$P58,Table1[[Salesman]:[Salesman]],Y$6),0)</f>
        <v>47840.496666666666</v>
      </c>
      <c r="Z58">
        <f>IFERROR(AVERAGEIFS(Table1[[Sales Amount]:[Sales Amount]],Table1[[City]:[City]],$O58,Table1[[Product]:[Product]],$P58,Table1[[Salesman]:[Salesman]],Z$6),0)</f>
        <v>22268.576666666664</v>
      </c>
      <c r="AA58">
        <f>IFERROR(AVERAGEIFS(Table1[[Sales Amount]:[Sales Amount]],Table1[[City]:[City]],$O58,Table1[[Product]:[Product]],$P58,Table1[[Salesman]:[Salesman]],AA$6),0)</f>
        <v>0</v>
      </c>
    </row>
    <row r="59" spans="15:27" x14ac:dyDescent="0.35">
      <c r="O59" s="20" t="s">
        <v>27</v>
      </c>
      <c r="P59" t="s">
        <v>29</v>
      </c>
      <c r="Q59">
        <f>IFERROR(AVERAGEIFS(Table1[[Sales Amount]:[Sales Amount]],Table1[[City]:[City]],$O59,Table1[[Product]:[Product]],$P59,Table1[[Salesman]:[Salesman]],Q$6),0)</f>
        <v>63813.120000000003</v>
      </c>
      <c r="R59">
        <f>IFERROR(AVERAGEIFS(Table1[[Sales Amount]:[Sales Amount]],Table1[[City]:[City]],$O59,Table1[[Product]:[Product]],$P59,Table1[[Salesman]:[Salesman]],R$6),0)</f>
        <v>0</v>
      </c>
      <c r="S59">
        <f>IFERROR(AVERAGEIFS(Table1[[Sales Amount]:[Sales Amount]],Table1[[City]:[City]],$O59,Table1[[Product]:[Product]],$P59,Table1[[Salesman]:[Salesman]],S$6),0)</f>
        <v>69481</v>
      </c>
      <c r="T59">
        <f>IFERROR(AVERAGEIFS(Table1[[Sales Amount]:[Sales Amount]],Table1[[City]:[City]],$O59,Table1[[Product]:[Product]],$P59,Table1[[Salesman]:[Salesman]],T$6),0)</f>
        <v>0</v>
      </c>
      <c r="U59">
        <f>IFERROR(AVERAGEIFS(Table1[[Sales Amount]:[Sales Amount]],Table1[[City]:[City]],$O59,Table1[[Product]:[Product]],$P59,Table1[[Salesman]:[Salesman]],U$6),0)</f>
        <v>4993.08</v>
      </c>
      <c r="V59">
        <f>IFERROR(AVERAGEIFS(Table1[[Sales Amount]:[Sales Amount]],Table1[[City]:[City]],$O59,Table1[[Product]:[Product]],$P59,Table1[[Salesman]:[Salesman]],V$6),0)</f>
        <v>29666.489999999998</v>
      </c>
      <c r="W59">
        <f>IFERROR(AVERAGEIFS(Table1[[Sales Amount]:[Sales Amount]],Table1[[City]:[City]],$O59,Table1[[Product]:[Product]],$P59,Table1[[Salesman]:[Salesman]],W$6),0)</f>
        <v>25639.384999999998</v>
      </c>
      <c r="X59">
        <f>IFERROR(AVERAGEIFS(Table1[[Sales Amount]:[Sales Amount]],Table1[[City]:[City]],$O59,Table1[[Product]:[Product]],$P59,Table1[[Salesman]:[Salesman]],X$6),0)</f>
        <v>9790.9900000000016</v>
      </c>
      <c r="Y59">
        <f>IFERROR(AVERAGEIFS(Table1[[Sales Amount]:[Sales Amount]],Table1[[City]:[City]],$O59,Table1[[Product]:[Product]],$P59,Table1[[Salesman]:[Salesman]],Y$6),0)</f>
        <v>33109.74</v>
      </c>
      <c r="Z59">
        <f>IFERROR(AVERAGEIFS(Table1[[Sales Amount]:[Sales Amount]],Table1[[City]:[City]],$O59,Table1[[Product]:[Product]],$P59,Table1[[Salesman]:[Salesman]],Z$6),0)</f>
        <v>38828.699999999997</v>
      </c>
      <c r="AA59">
        <f>IFERROR(AVERAGEIFS(Table1[[Sales Amount]:[Sales Amount]],Table1[[City]:[City]],$O59,Table1[[Product]:[Product]],$P59,Table1[[Salesman]:[Salesman]],AA$6),0)</f>
        <v>19456.84</v>
      </c>
    </row>
    <row r="60" spans="15:27" x14ac:dyDescent="0.35">
      <c r="O60" s="20" t="s">
        <v>27</v>
      </c>
      <c r="P60" t="s">
        <v>21</v>
      </c>
      <c r="Q60">
        <f>IFERROR(AVERAGEIFS(Table1[[Sales Amount]:[Sales Amount]],Table1[[City]:[City]],$O60,Table1[[Product]:[Product]],$P60,Table1[[Salesman]:[Salesman]],Q$6),0)</f>
        <v>13626.793333333335</v>
      </c>
      <c r="R60">
        <f>IFERROR(AVERAGEIFS(Table1[[Sales Amount]:[Sales Amount]],Table1[[City]:[City]],$O60,Table1[[Product]:[Product]],$P60,Table1[[Salesman]:[Salesman]],R$6),0)</f>
        <v>0</v>
      </c>
      <c r="S60">
        <f>IFERROR(AVERAGEIFS(Table1[[Sales Amount]:[Sales Amount]],Table1[[City]:[City]],$O60,Table1[[Product]:[Product]],$P60,Table1[[Salesman]:[Salesman]],S$6),0)</f>
        <v>0</v>
      </c>
      <c r="T60">
        <f>IFERROR(AVERAGEIFS(Table1[[Sales Amount]:[Sales Amount]],Table1[[City]:[City]],$O60,Table1[[Product]:[Product]],$P60,Table1[[Salesman]:[Salesman]],T$6),0)</f>
        <v>34539.75</v>
      </c>
      <c r="U60">
        <f>IFERROR(AVERAGEIFS(Table1[[Sales Amount]:[Sales Amount]],Table1[[City]:[City]],$O60,Table1[[Product]:[Product]],$P60,Table1[[Salesman]:[Salesman]],U$6),0)</f>
        <v>0</v>
      </c>
      <c r="V60">
        <f>IFERROR(AVERAGEIFS(Table1[[Sales Amount]:[Sales Amount]],Table1[[City]:[City]],$O60,Table1[[Product]:[Product]],$P60,Table1[[Salesman]:[Salesman]],V$6),0)</f>
        <v>23724.26</v>
      </c>
      <c r="W60">
        <f>IFERROR(AVERAGEIFS(Table1[[Sales Amount]:[Sales Amount]],Table1[[City]:[City]],$O60,Table1[[Product]:[Product]],$P60,Table1[[Salesman]:[Salesman]],W$6),0)</f>
        <v>11905.92</v>
      </c>
      <c r="X60">
        <f>IFERROR(AVERAGEIFS(Table1[[Sales Amount]:[Sales Amount]],Table1[[City]:[City]],$O60,Table1[[Product]:[Product]],$P60,Table1[[Salesman]:[Salesman]],X$6),0)</f>
        <v>0</v>
      </c>
      <c r="Y60">
        <f>IFERROR(AVERAGEIFS(Table1[[Sales Amount]:[Sales Amount]],Table1[[City]:[City]],$O60,Table1[[Product]:[Product]],$P60,Table1[[Salesman]:[Salesman]],Y$6),0)</f>
        <v>21818.7</v>
      </c>
      <c r="Z60">
        <f>IFERROR(AVERAGEIFS(Table1[[Sales Amount]:[Sales Amount]],Table1[[City]:[City]],$O60,Table1[[Product]:[Product]],$P60,Table1[[Salesman]:[Salesman]],Z$6),0)</f>
        <v>37650.04</v>
      </c>
      <c r="AA60">
        <f>IFERROR(AVERAGEIFS(Table1[[Sales Amount]:[Sales Amount]],Table1[[City]:[City]],$O60,Table1[[Product]:[Product]],$P60,Table1[[Salesman]:[Salesman]],AA$6),0)</f>
        <v>0</v>
      </c>
    </row>
    <row r="61" spans="15:27" x14ac:dyDescent="0.35">
      <c r="O61" s="67" t="s">
        <v>27</v>
      </c>
      <c r="P61" t="s">
        <v>13</v>
      </c>
      <c r="Q61">
        <f>IFERROR(AVERAGEIFS(Table1[[Sales Amount]:[Sales Amount]],Table1[[City]:[City]],$O61,Table1[[Product]:[Product]],$P61,Table1[[Salesman]:[Salesman]],Q$6),0)</f>
        <v>4640.17</v>
      </c>
      <c r="R61">
        <f>IFERROR(AVERAGEIFS(Table1[[Sales Amount]:[Sales Amount]],Table1[[City]:[City]],$O61,Table1[[Product]:[Product]],$P61,Table1[[Salesman]:[Salesman]],R$6),0)</f>
        <v>6762.2950000000001</v>
      </c>
      <c r="S61">
        <f>IFERROR(AVERAGEIFS(Table1[[Sales Amount]:[Sales Amount]],Table1[[City]:[City]],$O61,Table1[[Product]:[Product]],$P61,Table1[[Salesman]:[Salesman]],S$6),0)</f>
        <v>47076.56</v>
      </c>
      <c r="T61">
        <f>IFERROR(AVERAGEIFS(Table1[[Sales Amount]:[Sales Amount]],Table1[[City]:[City]],$O61,Table1[[Product]:[Product]],$P61,Table1[[Salesman]:[Salesman]],T$6),0)</f>
        <v>29862.899999999998</v>
      </c>
      <c r="U61">
        <f>IFERROR(AVERAGEIFS(Table1[[Sales Amount]:[Sales Amount]],Table1[[City]:[City]],$O61,Table1[[Product]:[Product]],$P61,Table1[[Salesman]:[Salesman]],U$6),0)</f>
        <v>13271.039999999999</v>
      </c>
      <c r="V61">
        <f>IFERROR(AVERAGEIFS(Table1[[Sales Amount]:[Sales Amount]],Table1[[City]:[City]],$O61,Table1[[Product]:[Product]],$P61,Table1[[Salesman]:[Salesman]],V$6),0)</f>
        <v>5751.68</v>
      </c>
      <c r="W61">
        <f>IFERROR(AVERAGEIFS(Table1[[Sales Amount]:[Sales Amount]],Table1[[City]:[City]],$O61,Table1[[Product]:[Product]],$P61,Table1[[Salesman]:[Salesman]],W$6),0)</f>
        <v>24012.626666666667</v>
      </c>
      <c r="X61">
        <f>IFERROR(AVERAGEIFS(Table1[[Sales Amount]:[Sales Amount]],Table1[[City]:[City]],$O61,Table1[[Product]:[Product]],$P61,Table1[[Salesman]:[Salesman]],X$6),0)</f>
        <v>40599.899999999994</v>
      </c>
      <c r="Y61">
        <f>IFERROR(AVERAGEIFS(Table1[[Sales Amount]:[Sales Amount]],Table1[[City]:[City]],$O61,Table1[[Product]:[Product]],$P61,Table1[[Salesman]:[Salesman]],Y$6),0)</f>
        <v>22141.550000000003</v>
      </c>
      <c r="Z61">
        <f>IFERROR(AVERAGEIFS(Table1[[Sales Amount]:[Sales Amount]],Table1[[City]:[City]],$O61,Table1[[Product]:[Product]],$P61,Table1[[Salesman]:[Salesman]],Z$6),0)</f>
        <v>56641.260000000009</v>
      </c>
      <c r="AA61">
        <f>IFERROR(AVERAGEIFS(Table1[[Sales Amount]:[Sales Amount]],Table1[[City]:[City]],$O61,Table1[[Product]:[Product]],$P61,Table1[[Salesman]:[Salesman]],AA$6),0)</f>
        <v>16296.5</v>
      </c>
    </row>
    <row r="62" spans="15:27" x14ac:dyDescent="0.35">
      <c r="O62" s="20" t="s">
        <v>25</v>
      </c>
      <c r="P62" t="s">
        <v>18</v>
      </c>
      <c r="Q62">
        <f>IFERROR(AVERAGEIFS(Table1[[Sales Amount]:[Sales Amount]],Table1[[City]:[City]],$O62,Table1[[Product]:[Product]],$P62,Table1[[Salesman]:[Salesman]],Q$6),0)</f>
        <v>433.16999999999996</v>
      </c>
      <c r="R62">
        <f>IFERROR(AVERAGEIFS(Table1[[Sales Amount]:[Sales Amount]],Table1[[City]:[City]],$O62,Table1[[Product]:[Product]],$P62,Table1[[Salesman]:[Salesman]],R$6),0)</f>
        <v>467.5</v>
      </c>
      <c r="S62">
        <f>IFERROR(AVERAGEIFS(Table1[[Sales Amount]:[Sales Amount]],Table1[[City]:[City]],$O62,Table1[[Product]:[Product]],$P62,Table1[[Salesman]:[Salesman]],S$6),0)</f>
        <v>0</v>
      </c>
      <c r="T62">
        <f>IFERROR(AVERAGEIFS(Table1[[Sales Amount]:[Sales Amount]],Table1[[City]:[City]],$O62,Table1[[Product]:[Product]],$P62,Table1[[Salesman]:[Salesman]],T$6),0)</f>
        <v>27651.474999999999</v>
      </c>
      <c r="U62">
        <f>IFERROR(AVERAGEIFS(Table1[[Sales Amount]:[Sales Amount]],Table1[[City]:[City]],$O62,Table1[[Product]:[Product]],$P62,Table1[[Salesman]:[Salesman]],U$6),0)</f>
        <v>39145.666666666664</v>
      </c>
      <c r="V62">
        <f>IFERROR(AVERAGEIFS(Table1[[Sales Amount]:[Sales Amount]],Table1[[City]:[City]],$O62,Table1[[Product]:[Product]],$P62,Table1[[Salesman]:[Salesman]],V$6),0)</f>
        <v>11713.01</v>
      </c>
      <c r="W62">
        <f>IFERROR(AVERAGEIFS(Table1[[Sales Amount]:[Sales Amount]],Table1[[City]:[City]],$O62,Table1[[Product]:[Product]],$P62,Table1[[Salesman]:[Salesman]],W$6),0)</f>
        <v>0</v>
      </c>
      <c r="X62">
        <f>IFERROR(AVERAGEIFS(Table1[[Sales Amount]:[Sales Amount]],Table1[[City]:[City]],$O62,Table1[[Product]:[Product]],$P62,Table1[[Salesman]:[Salesman]],X$6),0)</f>
        <v>16513.84</v>
      </c>
      <c r="Y62">
        <f>IFERROR(AVERAGEIFS(Table1[[Sales Amount]:[Sales Amount]],Table1[[City]:[City]],$O62,Table1[[Product]:[Product]],$P62,Table1[[Salesman]:[Salesman]],Y$6),0)</f>
        <v>18270.440000000002</v>
      </c>
      <c r="Z62">
        <f>IFERROR(AVERAGEIFS(Table1[[Sales Amount]:[Sales Amount]],Table1[[City]:[City]],$O62,Table1[[Product]:[Product]],$P62,Table1[[Salesman]:[Salesman]],Z$6),0)</f>
        <v>0</v>
      </c>
      <c r="AA62">
        <f>IFERROR(AVERAGEIFS(Table1[[Sales Amount]:[Sales Amount]],Table1[[City]:[City]],$O62,Table1[[Product]:[Product]],$P62,Table1[[Salesman]:[Salesman]],AA$6),0)</f>
        <v>9200.2950000000001</v>
      </c>
    </row>
    <row r="63" spans="15:27" x14ac:dyDescent="0.35">
      <c r="O63" s="20" t="s">
        <v>25</v>
      </c>
      <c r="P63" t="s">
        <v>35</v>
      </c>
      <c r="Q63">
        <f>IFERROR(AVERAGEIFS(Table1[[Sales Amount]:[Sales Amount]],Table1[[City]:[City]],$O63,Table1[[Product]:[Product]],$P63,Table1[[Salesman]:[Salesman]],Q$6),0)</f>
        <v>58004.480000000003</v>
      </c>
      <c r="R63">
        <f>IFERROR(AVERAGEIFS(Table1[[Sales Amount]:[Sales Amount]],Table1[[City]:[City]],$O63,Table1[[Product]:[Product]],$P63,Table1[[Salesman]:[Salesman]],R$6),0)</f>
        <v>16152.32</v>
      </c>
      <c r="S63">
        <f>IFERROR(AVERAGEIFS(Table1[[Sales Amount]:[Sales Amount]],Table1[[City]:[City]],$O63,Table1[[Product]:[Product]],$P63,Table1[[Salesman]:[Salesman]],S$6),0)</f>
        <v>12603.27</v>
      </c>
      <c r="T63">
        <f>IFERROR(AVERAGEIFS(Table1[[Sales Amount]:[Sales Amount]],Table1[[City]:[City]],$O63,Table1[[Product]:[Product]],$P63,Table1[[Salesman]:[Salesman]],T$6),0)</f>
        <v>8953.7950000000019</v>
      </c>
      <c r="U63">
        <f>IFERROR(AVERAGEIFS(Table1[[Sales Amount]:[Sales Amount]],Table1[[City]:[City]],$O63,Table1[[Product]:[Product]],$P63,Table1[[Salesman]:[Salesman]],U$6),0)</f>
        <v>53096.160000000003</v>
      </c>
      <c r="V63">
        <f>IFERROR(AVERAGEIFS(Table1[[Sales Amount]:[Sales Amount]],Table1[[City]:[City]],$O63,Table1[[Product]:[Product]],$P63,Table1[[Salesman]:[Salesman]],V$6),0)</f>
        <v>10522.94</v>
      </c>
      <c r="W63">
        <f>IFERROR(AVERAGEIFS(Table1[[Sales Amount]:[Sales Amount]],Table1[[City]:[City]],$O63,Table1[[Product]:[Product]],$P63,Table1[[Salesman]:[Salesman]],W$6),0)</f>
        <v>40921.019999999997</v>
      </c>
      <c r="X63">
        <f>IFERROR(AVERAGEIFS(Table1[[Sales Amount]:[Sales Amount]],Table1[[City]:[City]],$O63,Table1[[Product]:[Product]],$P63,Table1[[Salesman]:[Salesman]],X$6),0)</f>
        <v>4588.24</v>
      </c>
      <c r="Y63">
        <f>IFERROR(AVERAGEIFS(Table1[[Sales Amount]:[Sales Amount]],Table1[[City]:[City]],$O63,Table1[[Product]:[Product]],$P63,Table1[[Salesman]:[Salesman]],Y$6),0)</f>
        <v>30692.213333333333</v>
      </c>
      <c r="Z63">
        <f>IFERROR(AVERAGEIFS(Table1[[Sales Amount]:[Sales Amount]],Table1[[City]:[City]],$O63,Table1[[Product]:[Product]],$P63,Table1[[Salesman]:[Salesman]],Z$6),0)</f>
        <v>17923.635000000002</v>
      </c>
      <c r="AA63">
        <f>IFERROR(AVERAGEIFS(Table1[[Sales Amount]:[Sales Amount]],Table1[[City]:[City]],$O63,Table1[[Product]:[Product]],$P63,Table1[[Salesman]:[Salesman]],AA$6),0)</f>
        <v>63212.14</v>
      </c>
    </row>
    <row r="64" spans="15:27" x14ac:dyDescent="0.35">
      <c r="O64" s="20" t="s">
        <v>25</v>
      </c>
      <c r="P64" t="s">
        <v>29</v>
      </c>
      <c r="Q64">
        <f>IFERROR(AVERAGEIFS(Table1[[Sales Amount]:[Sales Amount]],Table1[[City]:[City]],$O64,Table1[[Product]:[Product]],$P64,Table1[[Salesman]:[Salesman]],Q$6),0)</f>
        <v>12889.230000000001</v>
      </c>
      <c r="R64">
        <f>IFERROR(AVERAGEIFS(Table1[[Sales Amount]:[Sales Amount]],Table1[[City]:[City]],$O64,Table1[[Product]:[Product]],$P64,Table1[[Salesman]:[Salesman]],R$6),0)</f>
        <v>5182.1400000000003</v>
      </c>
      <c r="S64">
        <f>IFERROR(AVERAGEIFS(Table1[[Sales Amount]:[Sales Amount]],Table1[[City]:[City]],$O64,Table1[[Product]:[Product]],$P64,Table1[[Salesman]:[Salesman]],S$6),0)</f>
        <v>37440.480000000003</v>
      </c>
      <c r="T64">
        <f>IFERROR(AVERAGEIFS(Table1[[Sales Amount]:[Sales Amount]],Table1[[City]:[City]],$O64,Table1[[Product]:[Product]],$P64,Table1[[Salesman]:[Salesman]],T$6),0)</f>
        <v>0</v>
      </c>
      <c r="U64">
        <f>IFERROR(AVERAGEIFS(Table1[[Sales Amount]:[Sales Amount]],Table1[[City]:[City]],$O64,Table1[[Product]:[Product]],$P64,Table1[[Salesman]:[Salesman]],U$6),0)</f>
        <v>0</v>
      </c>
      <c r="V64">
        <f>IFERROR(AVERAGEIFS(Table1[[Sales Amount]:[Sales Amount]],Table1[[City]:[City]],$O64,Table1[[Product]:[Product]],$P64,Table1[[Salesman]:[Salesman]],V$6),0)</f>
        <v>76540.63</v>
      </c>
      <c r="W64">
        <f>IFERROR(AVERAGEIFS(Table1[[Sales Amount]:[Sales Amount]],Table1[[City]:[City]],$O64,Table1[[Product]:[Product]],$P64,Table1[[Salesman]:[Salesman]],W$6),0)</f>
        <v>18480.953333333335</v>
      </c>
      <c r="X64">
        <f>IFERROR(AVERAGEIFS(Table1[[Sales Amount]:[Sales Amount]],Table1[[City]:[City]],$O64,Table1[[Product]:[Product]],$P64,Table1[[Salesman]:[Salesman]],X$6),0)</f>
        <v>15905.174999999999</v>
      </c>
      <c r="Y64">
        <f>IFERROR(AVERAGEIFS(Table1[[Sales Amount]:[Sales Amount]],Table1[[City]:[City]],$O64,Table1[[Product]:[Product]],$P64,Table1[[Salesman]:[Salesman]],Y$6),0)</f>
        <v>39470.859999999993</v>
      </c>
      <c r="Z64">
        <f>IFERROR(AVERAGEIFS(Table1[[Sales Amount]:[Sales Amount]],Table1[[City]:[City]],$O64,Table1[[Product]:[Product]],$P64,Table1[[Salesman]:[Salesman]],Z$6),0)</f>
        <v>34860.480000000003</v>
      </c>
      <c r="AA64">
        <f>IFERROR(AVERAGEIFS(Table1[[Sales Amount]:[Sales Amount]],Table1[[City]:[City]],$O64,Table1[[Product]:[Product]],$P64,Table1[[Salesman]:[Salesman]],AA$6),0)</f>
        <v>18135.640000000003</v>
      </c>
    </row>
    <row r="65" spans="15:27" x14ac:dyDescent="0.35">
      <c r="O65" s="20" t="s">
        <v>25</v>
      </c>
      <c r="P65" t="s">
        <v>21</v>
      </c>
      <c r="Q65">
        <f>IFERROR(AVERAGEIFS(Table1[[Sales Amount]:[Sales Amount]],Table1[[City]:[City]],$O65,Table1[[Product]:[Product]],$P65,Table1[[Salesman]:[Salesman]],Q$6),0)</f>
        <v>62400.94</v>
      </c>
      <c r="R65">
        <f>IFERROR(AVERAGEIFS(Table1[[Sales Amount]:[Sales Amount]],Table1[[City]:[City]],$O65,Table1[[Product]:[Product]],$P65,Table1[[Salesman]:[Salesman]],R$6),0)</f>
        <v>8119.22</v>
      </c>
      <c r="S65">
        <f>IFERROR(AVERAGEIFS(Table1[[Sales Amount]:[Sales Amount]],Table1[[City]:[City]],$O65,Table1[[Product]:[Product]],$P65,Table1[[Salesman]:[Salesman]],S$6),0)</f>
        <v>1727</v>
      </c>
      <c r="T65">
        <f>IFERROR(AVERAGEIFS(Table1[[Sales Amount]:[Sales Amount]],Table1[[City]:[City]],$O65,Table1[[Product]:[Product]],$P65,Table1[[Salesman]:[Salesman]],T$6),0)</f>
        <v>52099.380000000005</v>
      </c>
      <c r="U65">
        <f>IFERROR(AVERAGEIFS(Table1[[Sales Amount]:[Sales Amount]],Table1[[City]:[City]],$O65,Table1[[Product]:[Product]],$P65,Table1[[Salesman]:[Salesman]],U$6),0)</f>
        <v>16694.609999999997</v>
      </c>
      <c r="V65">
        <f>IFERROR(AVERAGEIFS(Table1[[Sales Amount]:[Sales Amount]],Table1[[City]:[City]],$O65,Table1[[Product]:[Product]],$P65,Table1[[Salesman]:[Salesman]],V$6),0)</f>
        <v>718.9</v>
      </c>
      <c r="W65">
        <f>IFERROR(AVERAGEIFS(Table1[[Sales Amount]:[Sales Amount]],Table1[[City]:[City]],$O65,Table1[[Product]:[Product]],$P65,Table1[[Salesman]:[Salesman]],W$6),0)</f>
        <v>24063.87</v>
      </c>
      <c r="X65">
        <f>IFERROR(AVERAGEIFS(Table1[[Sales Amount]:[Sales Amount]],Table1[[City]:[City]],$O65,Table1[[Product]:[Product]],$P65,Table1[[Salesman]:[Salesman]],X$6),0)</f>
        <v>840.65</v>
      </c>
      <c r="Y65">
        <f>IFERROR(AVERAGEIFS(Table1[[Sales Amount]:[Sales Amount]],Table1[[City]:[City]],$O65,Table1[[Product]:[Product]],$P65,Table1[[Salesman]:[Salesman]],Y$6),0)</f>
        <v>0</v>
      </c>
      <c r="Z65">
        <f>IFERROR(AVERAGEIFS(Table1[[Sales Amount]:[Sales Amount]],Table1[[City]:[City]],$O65,Table1[[Product]:[Product]],$P65,Table1[[Salesman]:[Salesman]],Z$6),0)</f>
        <v>0</v>
      </c>
      <c r="AA65">
        <f>IFERROR(AVERAGEIFS(Table1[[Sales Amount]:[Sales Amount]],Table1[[City]:[City]],$O65,Table1[[Product]:[Product]],$P65,Table1[[Salesman]:[Salesman]],AA$6),0)</f>
        <v>40920.5</v>
      </c>
    </row>
    <row r="66" spans="15:27" x14ac:dyDescent="0.35">
      <c r="O66" s="67" t="s">
        <v>25</v>
      </c>
      <c r="P66" t="s">
        <v>13</v>
      </c>
      <c r="Q66">
        <f>IFERROR(AVERAGEIFS(Table1[[Sales Amount]:[Sales Amount]],Table1[[City]:[City]],$O66,Table1[[Product]:[Product]],$P66,Table1[[Salesman]:[Salesman]],Q$6),0)</f>
        <v>9177</v>
      </c>
      <c r="R66">
        <f>IFERROR(AVERAGEIFS(Table1[[Sales Amount]:[Sales Amount]],Table1[[City]:[City]],$O66,Table1[[Product]:[Product]],$P66,Table1[[Salesman]:[Salesman]],R$6),0)</f>
        <v>59166.9</v>
      </c>
      <c r="S66">
        <f>IFERROR(AVERAGEIFS(Table1[[Sales Amount]:[Sales Amount]],Table1[[City]:[City]],$O66,Table1[[Product]:[Product]],$P66,Table1[[Salesman]:[Salesman]],S$6),0)</f>
        <v>20942.18</v>
      </c>
      <c r="T66">
        <f>IFERROR(AVERAGEIFS(Table1[[Sales Amount]:[Sales Amount]],Table1[[City]:[City]],$O66,Table1[[Product]:[Product]],$P66,Table1[[Salesman]:[Salesman]],T$6),0)</f>
        <v>61398.400000000001</v>
      </c>
      <c r="U66">
        <f>IFERROR(AVERAGEIFS(Table1[[Sales Amount]:[Sales Amount]],Table1[[City]:[City]],$O66,Table1[[Product]:[Product]],$P66,Table1[[Salesman]:[Salesman]],U$6),0)</f>
        <v>10449.18</v>
      </c>
      <c r="V66">
        <f>IFERROR(AVERAGEIFS(Table1[[Sales Amount]:[Sales Amount]],Table1[[City]:[City]],$O66,Table1[[Product]:[Product]],$P66,Table1[[Salesman]:[Salesman]],V$6),0)</f>
        <v>0</v>
      </c>
      <c r="W66">
        <f>IFERROR(AVERAGEIFS(Table1[[Sales Amount]:[Sales Amount]],Table1[[City]:[City]],$O66,Table1[[Product]:[Product]],$P66,Table1[[Salesman]:[Salesman]],W$6),0)</f>
        <v>13890.75</v>
      </c>
      <c r="X66">
        <f>IFERROR(AVERAGEIFS(Table1[[Sales Amount]:[Sales Amount]],Table1[[City]:[City]],$O66,Table1[[Product]:[Product]],$P66,Table1[[Salesman]:[Salesman]],X$6),0)</f>
        <v>0</v>
      </c>
      <c r="Y66">
        <f>IFERROR(AVERAGEIFS(Table1[[Sales Amount]:[Sales Amount]],Table1[[City]:[City]],$O66,Table1[[Product]:[Product]],$P66,Table1[[Salesman]:[Salesman]],Y$6),0)</f>
        <v>23506.010000000002</v>
      </c>
      <c r="Z66">
        <f>IFERROR(AVERAGEIFS(Table1[[Sales Amount]:[Sales Amount]],Table1[[City]:[City]],$O66,Table1[[Product]:[Product]],$P66,Table1[[Salesman]:[Salesman]],Z$6),0)</f>
        <v>31968.18</v>
      </c>
      <c r="AA66">
        <f>IFERROR(AVERAGEIFS(Table1[[Sales Amount]:[Sales Amount]],Table1[[City]:[City]],$O66,Table1[[Product]:[Product]],$P66,Table1[[Salesman]:[Salesman]],AA$6),0)</f>
        <v>48278.92</v>
      </c>
    </row>
    <row r="67" spans="15:27" x14ac:dyDescent="0.35">
      <c r="O67" s="20" t="s">
        <v>41</v>
      </c>
      <c r="P67" t="s">
        <v>18</v>
      </c>
      <c r="Q67">
        <f>IFERROR(AVERAGEIFS(Table1[[Sales Amount]:[Sales Amount]],Table1[[City]:[City]],$O67,Table1[[Product]:[Product]],$P67,Table1[[Salesman]:[Salesman]],Q$6),0)</f>
        <v>14672.66</v>
      </c>
      <c r="R67">
        <f>IFERROR(AVERAGEIFS(Table1[[Sales Amount]:[Sales Amount]],Table1[[City]:[City]],$O67,Table1[[Product]:[Product]],$P67,Table1[[Salesman]:[Salesman]],R$6),0)</f>
        <v>0</v>
      </c>
      <c r="S67">
        <f>IFERROR(AVERAGEIFS(Table1[[Sales Amount]:[Sales Amount]],Table1[[City]:[City]],$O67,Table1[[Product]:[Product]],$P67,Table1[[Salesman]:[Salesman]],S$6),0)</f>
        <v>27522.11</v>
      </c>
      <c r="T67">
        <f>IFERROR(AVERAGEIFS(Table1[[Sales Amount]:[Sales Amount]],Table1[[City]:[City]],$O67,Table1[[Product]:[Product]],$P67,Table1[[Salesman]:[Salesman]],T$6),0)</f>
        <v>2517.3200000000002</v>
      </c>
      <c r="U67">
        <f>IFERROR(AVERAGEIFS(Table1[[Sales Amount]:[Sales Amount]],Table1[[City]:[City]],$O67,Table1[[Product]:[Product]],$P67,Table1[[Salesman]:[Salesman]],U$6),0)</f>
        <v>0</v>
      </c>
      <c r="V67">
        <f>IFERROR(AVERAGEIFS(Table1[[Sales Amount]:[Sales Amount]],Table1[[City]:[City]],$O67,Table1[[Product]:[Product]],$P67,Table1[[Salesman]:[Salesman]],V$6),0)</f>
        <v>43125.834999999999</v>
      </c>
      <c r="W67">
        <f>IFERROR(AVERAGEIFS(Table1[[Sales Amount]:[Sales Amount]],Table1[[City]:[City]],$O67,Table1[[Product]:[Product]],$P67,Table1[[Salesman]:[Salesman]],W$6),0)</f>
        <v>49997.700000000004</v>
      </c>
      <c r="X67">
        <f>IFERROR(AVERAGEIFS(Table1[[Sales Amount]:[Sales Amount]],Table1[[City]:[City]],$O67,Table1[[Product]:[Product]],$P67,Table1[[Salesman]:[Salesman]],X$6),0)</f>
        <v>0</v>
      </c>
      <c r="Y67">
        <f>IFERROR(AVERAGEIFS(Table1[[Sales Amount]:[Sales Amount]],Table1[[City]:[City]],$O67,Table1[[Product]:[Product]],$P67,Table1[[Salesman]:[Salesman]],Y$6),0)</f>
        <v>8946.3833333333332</v>
      </c>
      <c r="Z67">
        <f>IFERROR(AVERAGEIFS(Table1[[Sales Amount]:[Sales Amount]],Table1[[City]:[City]],$O67,Table1[[Product]:[Product]],$P67,Table1[[Salesman]:[Salesman]],Z$6),0)</f>
        <v>0</v>
      </c>
      <c r="AA67">
        <f>IFERROR(AVERAGEIFS(Table1[[Sales Amount]:[Sales Amount]],Table1[[City]:[City]],$O67,Table1[[Product]:[Product]],$P67,Table1[[Salesman]:[Salesman]],AA$6),0)</f>
        <v>0</v>
      </c>
    </row>
    <row r="68" spans="15:27" x14ac:dyDescent="0.35">
      <c r="O68" s="20" t="s">
        <v>41</v>
      </c>
      <c r="P68" t="s">
        <v>35</v>
      </c>
      <c r="Q68">
        <f>IFERROR(AVERAGEIFS(Table1[[Sales Amount]:[Sales Amount]],Table1[[City]:[City]],$O68,Table1[[Product]:[Product]],$P68,Table1[[Salesman]:[Salesman]],Q$6),0)</f>
        <v>0</v>
      </c>
      <c r="R68">
        <f>IFERROR(AVERAGEIFS(Table1[[Sales Amount]:[Sales Amount]],Table1[[City]:[City]],$O68,Table1[[Product]:[Product]],$P68,Table1[[Salesman]:[Salesman]],R$6),0)</f>
        <v>21200.399999999998</v>
      </c>
      <c r="S68">
        <f>IFERROR(AVERAGEIFS(Table1[[Sales Amount]:[Sales Amount]],Table1[[City]:[City]],$O68,Table1[[Product]:[Product]],$P68,Table1[[Salesman]:[Salesman]],S$6),0)</f>
        <v>6019.09</v>
      </c>
      <c r="T68">
        <f>IFERROR(AVERAGEIFS(Table1[[Sales Amount]:[Sales Amount]],Table1[[City]:[City]],$O68,Table1[[Product]:[Product]],$P68,Table1[[Salesman]:[Salesman]],T$6),0)</f>
        <v>0</v>
      </c>
      <c r="U68">
        <f>IFERROR(AVERAGEIFS(Table1[[Sales Amount]:[Sales Amount]],Table1[[City]:[City]],$O68,Table1[[Product]:[Product]],$P68,Table1[[Salesman]:[Salesman]],U$6),0)</f>
        <v>0</v>
      </c>
      <c r="V68">
        <f>IFERROR(AVERAGEIFS(Table1[[Sales Amount]:[Sales Amount]],Table1[[City]:[City]],$O68,Table1[[Product]:[Product]],$P68,Table1[[Salesman]:[Salesman]],V$6),0)</f>
        <v>51491.44</v>
      </c>
      <c r="W68">
        <f>IFERROR(AVERAGEIFS(Table1[[Sales Amount]:[Sales Amount]],Table1[[City]:[City]],$O68,Table1[[Product]:[Product]],$P68,Table1[[Salesman]:[Salesman]],W$6),0)</f>
        <v>0</v>
      </c>
      <c r="X68">
        <f>IFERROR(AVERAGEIFS(Table1[[Sales Amount]:[Sales Amount]],Table1[[City]:[City]],$O68,Table1[[Product]:[Product]],$P68,Table1[[Salesman]:[Salesman]],X$6),0)</f>
        <v>0</v>
      </c>
      <c r="Y68">
        <f>IFERROR(AVERAGEIFS(Table1[[Sales Amount]:[Sales Amount]],Table1[[City]:[City]],$O68,Table1[[Product]:[Product]],$P68,Table1[[Salesman]:[Salesman]],Y$6),0)</f>
        <v>0</v>
      </c>
      <c r="Z68">
        <f>IFERROR(AVERAGEIFS(Table1[[Sales Amount]:[Sales Amount]],Table1[[City]:[City]],$O68,Table1[[Product]:[Product]],$P68,Table1[[Salesman]:[Salesman]],Z$6),0)</f>
        <v>9725</v>
      </c>
      <c r="AA68">
        <f>IFERROR(AVERAGEIFS(Table1[[Sales Amount]:[Sales Amount]],Table1[[City]:[City]],$O68,Table1[[Product]:[Product]],$P68,Table1[[Salesman]:[Salesman]],AA$6),0)</f>
        <v>0</v>
      </c>
    </row>
    <row r="69" spans="15:27" x14ac:dyDescent="0.35">
      <c r="O69" s="20" t="s">
        <v>41</v>
      </c>
      <c r="P69" t="s">
        <v>29</v>
      </c>
      <c r="Q69">
        <f>IFERROR(AVERAGEIFS(Table1[[Sales Amount]:[Sales Amount]],Table1[[City]:[City]],$O69,Table1[[Product]:[Product]],$P69,Table1[[Salesman]:[Salesman]],Q$6),0)</f>
        <v>21979.233333333334</v>
      </c>
      <c r="R69">
        <f>IFERROR(AVERAGEIFS(Table1[[Sales Amount]:[Sales Amount]],Table1[[City]:[City]],$O69,Table1[[Product]:[Product]],$P69,Table1[[Salesman]:[Salesman]],R$6),0)</f>
        <v>0</v>
      </c>
      <c r="S69">
        <f>IFERROR(AVERAGEIFS(Table1[[Sales Amount]:[Sales Amount]],Table1[[City]:[City]],$O69,Table1[[Product]:[Product]],$P69,Table1[[Salesman]:[Salesman]],S$6),0)</f>
        <v>0</v>
      </c>
      <c r="T69">
        <f>IFERROR(AVERAGEIFS(Table1[[Sales Amount]:[Sales Amount]],Table1[[City]:[City]],$O69,Table1[[Product]:[Product]],$P69,Table1[[Salesman]:[Salesman]],T$6),0)</f>
        <v>20994.850000000002</v>
      </c>
      <c r="U69">
        <f>IFERROR(AVERAGEIFS(Table1[[Sales Amount]:[Sales Amount]],Table1[[City]:[City]],$O69,Table1[[Product]:[Product]],$P69,Table1[[Salesman]:[Salesman]],U$6),0)</f>
        <v>30933.279999999999</v>
      </c>
      <c r="V69">
        <f>IFERROR(AVERAGEIFS(Table1[[Sales Amount]:[Sales Amount]],Table1[[City]:[City]],$O69,Table1[[Product]:[Product]],$P69,Table1[[Salesman]:[Salesman]],V$6),0)</f>
        <v>0</v>
      </c>
      <c r="W69">
        <f>IFERROR(AVERAGEIFS(Table1[[Sales Amount]:[Sales Amount]],Table1[[City]:[City]],$O69,Table1[[Product]:[Product]],$P69,Table1[[Salesman]:[Salesman]],W$6),0)</f>
        <v>44235.24</v>
      </c>
      <c r="X69">
        <f>IFERROR(AVERAGEIFS(Table1[[Sales Amount]:[Sales Amount]],Table1[[City]:[City]],$O69,Table1[[Product]:[Product]],$P69,Table1[[Salesman]:[Salesman]],X$6),0)</f>
        <v>0</v>
      </c>
      <c r="Y69">
        <f>IFERROR(AVERAGEIFS(Table1[[Sales Amount]:[Sales Amount]],Table1[[City]:[City]],$O69,Table1[[Product]:[Product]],$P69,Table1[[Salesman]:[Salesman]],Y$6),0)</f>
        <v>18075.046666666665</v>
      </c>
      <c r="Z69">
        <f>IFERROR(AVERAGEIFS(Table1[[Sales Amount]:[Sales Amount]],Table1[[City]:[City]],$O69,Table1[[Product]:[Product]],$P69,Table1[[Salesman]:[Salesman]],Z$6),0)</f>
        <v>0</v>
      </c>
      <c r="AA69">
        <f>IFERROR(AVERAGEIFS(Table1[[Sales Amount]:[Sales Amount]],Table1[[City]:[City]],$O69,Table1[[Product]:[Product]],$P69,Table1[[Salesman]:[Salesman]],AA$6),0)</f>
        <v>0</v>
      </c>
    </row>
    <row r="70" spans="15:27" x14ac:dyDescent="0.35">
      <c r="O70" s="20" t="s">
        <v>41</v>
      </c>
      <c r="P70" t="s">
        <v>21</v>
      </c>
      <c r="Q70">
        <f>IFERROR(AVERAGEIFS(Table1[[Sales Amount]:[Sales Amount]],Table1[[City]:[City]],$O70,Table1[[Product]:[Product]],$P70,Table1[[Salesman]:[Salesman]],Q$6),0)</f>
        <v>3698.2</v>
      </c>
      <c r="R70">
        <f>IFERROR(AVERAGEIFS(Table1[[Sales Amount]:[Sales Amount]],Table1[[City]:[City]],$O70,Table1[[Product]:[Product]],$P70,Table1[[Salesman]:[Salesman]],R$6),0)</f>
        <v>4805.1400000000003</v>
      </c>
      <c r="S70">
        <f>IFERROR(AVERAGEIFS(Table1[[Sales Amount]:[Sales Amount]],Table1[[City]:[City]],$O70,Table1[[Product]:[Product]],$P70,Table1[[Salesman]:[Salesman]],S$6),0)</f>
        <v>25214.240000000002</v>
      </c>
      <c r="T70">
        <f>IFERROR(AVERAGEIFS(Table1[[Sales Amount]:[Sales Amount]],Table1[[City]:[City]],$O70,Table1[[Product]:[Product]],$P70,Table1[[Salesman]:[Salesman]],T$6),0)</f>
        <v>2729.6549999999997</v>
      </c>
      <c r="U70">
        <f>IFERROR(AVERAGEIFS(Table1[[Sales Amount]:[Sales Amount]],Table1[[City]:[City]],$O70,Table1[[Product]:[Product]],$P70,Table1[[Salesman]:[Salesman]],U$6),0)</f>
        <v>23947.11</v>
      </c>
      <c r="V70">
        <f>IFERROR(AVERAGEIFS(Table1[[Sales Amount]:[Sales Amount]],Table1[[City]:[City]],$O70,Table1[[Product]:[Product]],$P70,Table1[[Salesman]:[Salesman]],V$6),0)</f>
        <v>0</v>
      </c>
      <c r="W70">
        <f>IFERROR(AVERAGEIFS(Table1[[Sales Amount]:[Sales Amount]],Table1[[City]:[City]],$O70,Table1[[Product]:[Product]],$P70,Table1[[Salesman]:[Salesman]],W$6),0)</f>
        <v>84538.6</v>
      </c>
      <c r="X70">
        <f>IFERROR(AVERAGEIFS(Table1[[Sales Amount]:[Sales Amount]],Table1[[City]:[City]],$O70,Table1[[Product]:[Product]],$P70,Table1[[Salesman]:[Salesman]],X$6),0)</f>
        <v>0</v>
      </c>
      <c r="Y70">
        <f>IFERROR(AVERAGEIFS(Table1[[Sales Amount]:[Sales Amount]],Table1[[City]:[City]],$O70,Table1[[Product]:[Product]],$P70,Table1[[Salesman]:[Salesman]],Y$6),0)</f>
        <v>24585.746000000003</v>
      </c>
      <c r="Z70">
        <f>IFERROR(AVERAGEIFS(Table1[[Sales Amount]:[Sales Amount]],Table1[[City]:[City]],$O70,Table1[[Product]:[Product]],$P70,Table1[[Salesman]:[Salesman]],Z$6),0)</f>
        <v>0</v>
      </c>
      <c r="AA70">
        <f>IFERROR(AVERAGEIFS(Table1[[Sales Amount]:[Sales Amount]],Table1[[City]:[City]],$O70,Table1[[Product]:[Product]],$P70,Table1[[Salesman]:[Salesman]],AA$6),0)</f>
        <v>33174.559999999998</v>
      </c>
    </row>
    <row r="71" spans="15:27" x14ac:dyDescent="0.35">
      <c r="O71" s="67" t="s">
        <v>41</v>
      </c>
      <c r="P71" t="s">
        <v>13</v>
      </c>
      <c r="Q71">
        <f>IFERROR(AVERAGEIFS(Table1[[Sales Amount]:[Sales Amount]],Table1[[City]:[City]],$O71,Table1[[Product]:[Product]],$P71,Table1[[Salesman]:[Salesman]],Q$6),0)</f>
        <v>59238.879999999997</v>
      </c>
      <c r="R71">
        <f>IFERROR(AVERAGEIFS(Table1[[Sales Amount]:[Sales Amount]],Table1[[City]:[City]],$O71,Table1[[Product]:[Product]],$P71,Table1[[Salesman]:[Salesman]],R$6),0)</f>
        <v>10736.76</v>
      </c>
      <c r="S71">
        <f>IFERROR(AVERAGEIFS(Table1[[Sales Amount]:[Sales Amount]],Table1[[City]:[City]],$O71,Table1[[Product]:[Product]],$P71,Table1[[Salesman]:[Salesman]],S$6),0)</f>
        <v>30824.3</v>
      </c>
      <c r="T71">
        <f>IFERROR(AVERAGEIFS(Table1[[Sales Amount]:[Sales Amount]],Table1[[City]:[City]],$O71,Table1[[Product]:[Product]],$P71,Table1[[Salesman]:[Salesman]],T$6),0)</f>
        <v>9772.5950000000012</v>
      </c>
      <c r="U71">
        <f>IFERROR(AVERAGEIFS(Table1[[Sales Amount]:[Sales Amount]],Table1[[City]:[City]],$O71,Table1[[Product]:[Product]],$P71,Table1[[Salesman]:[Salesman]],U$6),0)</f>
        <v>7506.74</v>
      </c>
      <c r="V71">
        <f>IFERROR(AVERAGEIFS(Table1[[Sales Amount]:[Sales Amount]],Table1[[City]:[City]],$O71,Table1[[Product]:[Product]],$P71,Table1[[Salesman]:[Salesman]],V$6),0)</f>
        <v>30989.399999999998</v>
      </c>
      <c r="W71">
        <f>IFERROR(AVERAGEIFS(Table1[[Sales Amount]:[Sales Amount]],Table1[[City]:[City]],$O71,Table1[[Product]:[Product]],$P71,Table1[[Salesman]:[Salesman]],W$6),0)</f>
        <v>46214.549999999996</v>
      </c>
      <c r="X71">
        <f>IFERROR(AVERAGEIFS(Table1[[Sales Amount]:[Sales Amount]],Table1[[City]:[City]],$O71,Table1[[Product]:[Product]],$P71,Table1[[Salesman]:[Salesman]],X$6),0)</f>
        <v>49841.869999999995</v>
      </c>
      <c r="Y71">
        <f>IFERROR(AVERAGEIFS(Table1[[Sales Amount]:[Sales Amount]],Table1[[City]:[City]],$O71,Table1[[Product]:[Product]],$P71,Table1[[Salesman]:[Salesman]],Y$6),0)</f>
        <v>34552.202000000005</v>
      </c>
      <c r="Z71">
        <f>IFERROR(AVERAGEIFS(Table1[[Sales Amount]:[Sales Amount]],Table1[[City]:[City]],$O71,Table1[[Product]:[Product]],$P71,Table1[[Salesman]:[Salesman]],Z$6),0)</f>
        <v>0</v>
      </c>
      <c r="AA71">
        <f>IFERROR(AVERAGEIFS(Table1[[Sales Amount]:[Sales Amount]],Table1[[City]:[City]],$O71,Table1[[Product]:[Product]],$P71,Table1[[Salesman]:[Salesman]],AA$6),0)</f>
        <v>5258.4</v>
      </c>
    </row>
    <row r="72" spans="15:27" x14ac:dyDescent="0.35">
      <c r="O72" s="20" t="s">
        <v>42</v>
      </c>
      <c r="P72" t="s">
        <v>18</v>
      </c>
      <c r="Q72">
        <f>IFERROR(AVERAGEIFS(Table1[[Sales Amount]:[Sales Amount]],Table1[[City]:[City]],$O72,Table1[[Product]:[Product]],$P72,Table1[[Salesman]:[Salesman]],Q$6),0)</f>
        <v>0</v>
      </c>
      <c r="R72">
        <f>IFERROR(AVERAGEIFS(Table1[[Sales Amount]:[Sales Amount]],Table1[[City]:[City]],$O72,Table1[[Product]:[Product]],$P72,Table1[[Salesman]:[Salesman]],R$6),0)</f>
        <v>9625.33</v>
      </c>
      <c r="S72">
        <f>IFERROR(AVERAGEIFS(Table1[[Sales Amount]:[Sales Amount]],Table1[[City]:[City]],$O72,Table1[[Product]:[Product]],$P72,Table1[[Salesman]:[Salesman]],S$6),0)</f>
        <v>8727.9500000000007</v>
      </c>
      <c r="T72">
        <f>IFERROR(AVERAGEIFS(Table1[[Sales Amount]:[Sales Amount]],Table1[[City]:[City]],$O72,Table1[[Product]:[Product]],$P72,Table1[[Salesman]:[Salesman]],T$6),0)</f>
        <v>5454.9</v>
      </c>
      <c r="U72">
        <f>IFERROR(AVERAGEIFS(Table1[[Sales Amount]:[Sales Amount]],Table1[[City]:[City]],$O72,Table1[[Product]:[Product]],$P72,Table1[[Salesman]:[Salesman]],U$6),0)</f>
        <v>0</v>
      </c>
      <c r="V72">
        <f>IFERROR(AVERAGEIFS(Table1[[Sales Amount]:[Sales Amount]],Table1[[City]:[City]],$O72,Table1[[Product]:[Product]],$P72,Table1[[Salesman]:[Salesman]],V$6),0)</f>
        <v>0</v>
      </c>
      <c r="W72">
        <f>IFERROR(AVERAGEIFS(Table1[[Sales Amount]:[Sales Amount]],Table1[[City]:[City]],$O72,Table1[[Product]:[Product]],$P72,Table1[[Salesman]:[Salesman]],W$6),0)</f>
        <v>0</v>
      </c>
      <c r="X72">
        <f>IFERROR(AVERAGEIFS(Table1[[Sales Amount]:[Sales Amount]],Table1[[City]:[City]],$O72,Table1[[Product]:[Product]],$P72,Table1[[Salesman]:[Salesman]],X$6),0)</f>
        <v>2716.98</v>
      </c>
      <c r="Y72">
        <f>IFERROR(AVERAGEIFS(Table1[[Sales Amount]:[Sales Amount]],Table1[[City]:[City]],$O72,Table1[[Product]:[Product]],$P72,Table1[[Salesman]:[Salesman]],Y$6),0)</f>
        <v>36502.044999999998</v>
      </c>
      <c r="Z72">
        <f>IFERROR(AVERAGEIFS(Table1[[Sales Amount]:[Sales Amount]],Table1[[City]:[City]],$O72,Table1[[Product]:[Product]],$P72,Table1[[Salesman]:[Salesman]],Z$6),0)</f>
        <v>32187.74</v>
      </c>
      <c r="AA72">
        <f>IFERROR(AVERAGEIFS(Table1[[Sales Amount]:[Sales Amount]],Table1[[City]:[City]],$O72,Table1[[Product]:[Product]],$P72,Table1[[Salesman]:[Salesman]],AA$6),0)</f>
        <v>46826.94</v>
      </c>
    </row>
    <row r="73" spans="15:27" x14ac:dyDescent="0.35">
      <c r="O73" s="20" t="s">
        <v>42</v>
      </c>
      <c r="P73" t="s">
        <v>35</v>
      </c>
      <c r="Q73">
        <f>IFERROR(AVERAGEIFS(Table1[[Sales Amount]:[Sales Amount]],Table1[[City]:[City]],$O73,Table1[[Product]:[Product]],$P73,Table1[[Salesman]:[Salesman]],Q$6),0)</f>
        <v>41098.490000000005</v>
      </c>
      <c r="R73">
        <f>IFERROR(AVERAGEIFS(Table1[[Sales Amount]:[Sales Amount]],Table1[[City]:[City]],$O73,Table1[[Product]:[Product]],$P73,Table1[[Salesman]:[Salesman]],R$6),0)</f>
        <v>31256.15</v>
      </c>
      <c r="S73">
        <f>IFERROR(AVERAGEIFS(Table1[[Sales Amount]:[Sales Amount]],Table1[[City]:[City]],$O73,Table1[[Product]:[Product]],$P73,Table1[[Salesman]:[Salesman]],S$6),0)</f>
        <v>0</v>
      </c>
      <c r="T73">
        <f>IFERROR(AVERAGEIFS(Table1[[Sales Amount]:[Sales Amount]],Table1[[City]:[City]],$O73,Table1[[Product]:[Product]],$P73,Table1[[Salesman]:[Salesman]],T$6),0)</f>
        <v>0</v>
      </c>
      <c r="U73">
        <f>IFERROR(AVERAGEIFS(Table1[[Sales Amount]:[Sales Amount]],Table1[[City]:[City]],$O73,Table1[[Product]:[Product]],$P73,Table1[[Salesman]:[Salesman]],U$6),0)</f>
        <v>19943.5</v>
      </c>
      <c r="V73">
        <f>IFERROR(AVERAGEIFS(Table1[[Sales Amount]:[Sales Amount]],Table1[[City]:[City]],$O73,Table1[[Product]:[Product]],$P73,Table1[[Salesman]:[Salesman]],V$6),0)</f>
        <v>0</v>
      </c>
      <c r="W73">
        <f>IFERROR(AVERAGEIFS(Table1[[Sales Amount]:[Sales Amount]],Table1[[City]:[City]],$O73,Table1[[Product]:[Product]],$P73,Table1[[Salesman]:[Salesman]],W$6),0)</f>
        <v>0</v>
      </c>
      <c r="X73">
        <f>IFERROR(AVERAGEIFS(Table1[[Sales Amount]:[Sales Amount]],Table1[[City]:[City]],$O73,Table1[[Product]:[Product]],$P73,Table1[[Salesman]:[Salesman]],X$6),0)</f>
        <v>11333.799999999997</v>
      </c>
      <c r="Y73">
        <f>IFERROR(AVERAGEIFS(Table1[[Sales Amount]:[Sales Amount]],Table1[[City]:[City]],$O73,Table1[[Product]:[Product]],$P73,Table1[[Salesman]:[Salesman]],Y$6),0)</f>
        <v>0</v>
      </c>
      <c r="Z73">
        <f>IFERROR(AVERAGEIFS(Table1[[Sales Amount]:[Sales Amount]],Table1[[City]:[City]],$O73,Table1[[Product]:[Product]],$P73,Table1[[Salesman]:[Salesman]],Z$6),0)</f>
        <v>37900.65</v>
      </c>
      <c r="AA73">
        <f>IFERROR(AVERAGEIFS(Table1[[Sales Amount]:[Sales Amount]],Table1[[City]:[City]],$O73,Table1[[Product]:[Product]],$P73,Table1[[Salesman]:[Salesman]],AA$6),0)</f>
        <v>3942</v>
      </c>
    </row>
    <row r="74" spans="15:27" x14ac:dyDescent="0.35">
      <c r="O74" s="20" t="s">
        <v>42</v>
      </c>
      <c r="P74" t="s">
        <v>29</v>
      </c>
      <c r="Q74">
        <f>IFERROR(AVERAGEIFS(Table1[[Sales Amount]:[Sales Amount]],Table1[[City]:[City]],$O74,Table1[[Product]:[Product]],$P74,Table1[[Salesman]:[Salesman]],Q$6),0)</f>
        <v>0</v>
      </c>
      <c r="R74">
        <f>IFERROR(AVERAGEIFS(Table1[[Sales Amount]:[Sales Amount]],Table1[[City]:[City]],$O74,Table1[[Product]:[Product]],$P74,Table1[[Salesman]:[Salesman]],R$6),0)</f>
        <v>4117.97</v>
      </c>
      <c r="S74">
        <f>IFERROR(AVERAGEIFS(Table1[[Sales Amount]:[Sales Amount]],Table1[[City]:[City]],$O74,Table1[[Product]:[Product]],$P74,Table1[[Salesman]:[Salesman]],S$6),0)</f>
        <v>32920.973333333335</v>
      </c>
      <c r="T74">
        <f>IFERROR(AVERAGEIFS(Table1[[Sales Amount]:[Sales Amount]],Table1[[City]:[City]],$O74,Table1[[Product]:[Product]],$P74,Table1[[Salesman]:[Salesman]],T$6),0)</f>
        <v>0</v>
      </c>
      <c r="U74">
        <f>IFERROR(AVERAGEIFS(Table1[[Sales Amount]:[Sales Amount]],Table1[[City]:[City]],$O74,Table1[[Product]:[Product]],$P74,Table1[[Salesman]:[Salesman]],U$6),0)</f>
        <v>22254.525000000001</v>
      </c>
      <c r="V74">
        <f>IFERROR(AVERAGEIFS(Table1[[Sales Amount]:[Sales Amount]],Table1[[City]:[City]],$O74,Table1[[Product]:[Product]],$P74,Table1[[Salesman]:[Salesman]],V$6),0)</f>
        <v>54541.864999999991</v>
      </c>
      <c r="W74">
        <f>IFERROR(AVERAGEIFS(Table1[[Sales Amount]:[Sales Amount]],Table1[[City]:[City]],$O74,Table1[[Product]:[Product]],$P74,Table1[[Salesman]:[Salesman]],W$6),0)</f>
        <v>46072.07</v>
      </c>
      <c r="X74">
        <f>IFERROR(AVERAGEIFS(Table1[[Sales Amount]:[Sales Amount]],Table1[[City]:[City]],$O74,Table1[[Product]:[Product]],$P74,Table1[[Salesman]:[Salesman]],X$6),0)</f>
        <v>16380.48</v>
      </c>
      <c r="Y74">
        <f>IFERROR(AVERAGEIFS(Table1[[Sales Amount]:[Sales Amount]],Table1[[City]:[City]],$O74,Table1[[Product]:[Product]],$P74,Table1[[Salesman]:[Salesman]],Y$6),0)</f>
        <v>2287.52</v>
      </c>
      <c r="Z74">
        <f>IFERROR(AVERAGEIFS(Table1[[Sales Amount]:[Sales Amount]],Table1[[City]:[City]],$O74,Table1[[Product]:[Product]],$P74,Table1[[Salesman]:[Salesman]],Z$6),0)</f>
        <v>13562.199999999999</v>
      </c>
      <c r="AA74">
        <f>IFERROR(AVERAGEIFS(Table1[[Sales Amount]:[Sales Amount]],Table1[[City]:[City]],$O74,Table1[[Product]:[Product]],$P74,Table1[[Salesman]:[Salesman]],AA$6),0)</f>
        <v>33359.199999999997</v>
      </c>
    </row>
    <row r="75" spans="15:27" x14ac:dyDescent="0.35">
      <c r="O75" s="20" t="s">
        <v>42</v>
      </c>
      <c r="P75" t="s">
        <v>21</v>
      </c>
      <c r="Q75">
        <f>IFERROR(AVERAGEIFS(Table1[[Sales Amount]:[Sales Amount]],Table1[[City]:[City]],$O75,Table1[[Product]:[Product]],$P75,Table1[[Salesman]:[Salesman]],Q$6),0)</f>
        <v>0</v>
      </c>
      <c r="R75">
        <f>IFERROR(AVERAGEIFS(Table1[[Sales Amount]:[Sales Amount]],Table1[[City]:[City]],$O75,Table1[[Product]:[Product]],$P75,Table1[[Salesman]:[Salesman]],R$6),0)</f>
        <v>0</v>
      </c>
      <c r="S75">
        <f>IFERROR(AVERAGEIFS(Table1[[Sales Amount]:[Sales Amount]],Table1[[City]:[City]],$O75,Table1[[Product]:[Product]],$P75,Table1[[Salesman]:[Salesman]],S$6),0)</f>
        <v>26594.646666666667</v>
      </c>
      <c r="T75">
        <f>IFERROR(AVERAGEIFS(Table1[[Sales Amount]:[Sales Amount]],Table1[[City]:[City]],$O75,Table1[[Product]:[Product]],$P75,Table1[[Salesman]:[Salesman]],T$6),0)</f>
        <v>0</v>
      </c>
      <c r="U75">
        <f>IFERROR(AVERAGEIFS(Table1[[Sales Amount]:[Sales Amount]],Table1[[City]:[City]],$O75,Table1[[Product]:[Product]],$P75,Table1[[Salesman]:[Salesman]],U$6),0)</f>
        <v>20217.162500000002</v>
      </c>
      <c r="V75">
        <f>IFERROR(AVERAGEIFS(Table1[[Sales Amount]:[Sales Amount]],Table1[[City]:[City]],$O75,Table1[[Product]:[Product]],$P75,Table1[[Salesman]:[Salesman]],V$6),0)</f>
        <v>0</v>
      </c>
      <c r="W75">
        <f>IFERROR(AVERAGEIFS(Table1[[Sales Amount]:[Sales Amount]],Table1[[City]:[City]],$O75,Table1[[Product]:[Product]],$P75,Table1[[Salesman]:[Salesman]],W$6),0)</f>
        <v>18852.3</v>
      </c>
      <c r="X75">
        <f>IFERROR(AVERAGEIFS(Table1[[Sales Amount]:[Sales Amount]],Table1[[City]:[City]],$O75,Table1[[Product]:[Product]],$P75,Table1[[Salesman]:[Salesman]],X$6),0)</f>
        <v>0</v>
      </c>
      <c r="Y75">
        <f>IFERROR(AVERAGEIFS(Table1[[Sales Amount]:[Sales Amount]],Table1[[City]:[City]],$O75,Table1[[Product]:[Product]],$P75,Table1[[Salesman]:[Salesman]],Y$6),0)</f>
        <v>0</v>
      </c>
      <c r="Z75">
        <f>IFERROR(AVERAGEIFS(Table1[[Sales Amount]:[Sales Amount]],Table1[[City]:[City]],$O75,Table1[[Product]:[Product]],$P75,Table1[[Salesman]:[Salesman]],Z$6),0)</f>
        <v>4399.1000000000004</v>
      </c>
      <c r="AA75">
        <f>IFERROR(AVERAGEIFS(Table1[[Sales Amount]:[Sales Amount]],Table1[[City]:[City]],$O75,Table1[[Product]:[Product]],$P75,Table1[[Salesman]:[Salesman]],AA$6),0)</f>
        <v>0</v>
      </c>
    </row>
    <row r="76" spans="15:27" x14ac:dyDescent="0.35">
      <c r="O76" s="67" t="s">
        <v>42</v>
      </c>
      <c r="P76" t="s">
        <v>13</v>
      </c>
      <c r="Q76">
        <f>IFERROR(AVERAGEIFS(Table1[[Sales Amount]:[Sales Amount]],Table1[[City]:[City]],$O76,Table1[[Product]:[Product]],$P76,Table1[[Salesman]:[Salesman]],Q$6),0)</f>
        <v>0</v>
      </c>
      <c r="R76">
        <f>IFERROR(AVERAGEIFS(Table1[[Sales Amount]:[Sales Amount]],Table1[[City]:[City]],$O76,Table1[[Product]:[Product]],$P76,Table1[[Salesman]:[Salesman]],R$6),0)</f>
        <v>24080</v>
      </c>
      <c r="S76">
        <f>IFERROR(AVERAGEIFS(Table1[[Sales Amount]:[Sales Amount]],Table1[[City]:[City]],$O76,Table1[[Product]:[Product]],$P76,Table1[[Salesman]:[Salesman]],S$6),0)</f>
        <v>10810.4</v>
      </c>
      <c r="T76">
        <f>IFERROR(AVERAGEIFS(Table1[[Sales Amount]:[Sales Amount]],Table1[[City]:[City]],$O76,Table1[[Product]:[Product]],$P76,Table1[[Salesman]:[Salesman]],T$6),0)</f>
        <v>26216.596666666665</v>
      </c>
      <c r="U76">
        <f>IFERROR(AVERAGEIFS(Table1[[Sales Amount]:[Sales Amount]],Table1[[City]:[City]],$O76,Table1[[Product]:[Product]],$P76,Table1[[Salesman]:[Salesman]],U$6),0)</f>
        <v>14664.09</v>
      </c>
      <c r="V76">
        <f>IFERROR(AVERAGEIFS(Table1[[Sales Amount]:[Sales Amount]],Table1[[City]:[City]],$O76,Table1[[Product]:[Product]],$P76,Table1[[Salesman]:[Salesman]],V$6),0)</f>
        <v>11955.724999999999</v>
      </c>
      <c r="W76">
        <f>IFERROR(AVERAGEIFS(Table1[[Sales Amount]:[Sales Amount]],Table1[[City]:[City]],$O76,Table1[[Product]:[Product]],$P76,Table1[[Salesman]:[Salesman]],W$6),0)</f>
        <v>23930.005000000001</v>
      </c>
      <c r="X76">
        <f>IFERROR(AVERAGEIFS(Table1[[Sales Amount]:[Sales Amount]],Table1[[City]:[City]],$O76,Table1[[Product]:[Product]],$P76,Table1[[Salesman]:[Salesman]],X$6),0)</f>
        <v>11721.960000000001</v>
      </c>
      <c r="Y76">
        <f>IFERROR(AVERAGEIFS(Table1[[Sales Amount]:[Sales Amount]],Table1[[City]:[City]],$O76,Table1[[Product]:[Product]],$P76,Table1[[Salesman]:[Salesman]],Y$6),0)</f>
        <v>0</v>
      </c>
      <c r="Z76">
        <f>IFERROR(AVERAGEIFS(Table1[[Sales Amount]:[Sales Amount]],Table1[[City]:[City]],$O76,Table1[[Product]:[Product]],$P76,Table1[[Salesman]:[Salesman]],Z$6),0)</f>
        <v>22982.18</v>
      </c>
      <c r="AA76">
        <f>IFERROR(AVERAGEIFS(Table1[[Sales Amount]:[Sales Amount]],Table1[[City]:[City]],$O76,Table1[[Product]:[Product]],$P76,Table1[[Salesman]:[Salesman]],AA$6),0)</f>
        <v>12999.3</v>
      </c>
    </row>
    <row r="77" spans="15:27" x14ac:dyDescent="0.35">
      <c r="O77" s="20" t="s">
        <v>40</v>
      </c>
      <c r="P77" t="s">
        <v>18</v>
      </c>
      <c r="Q77">
        <f>IFERROR(AVERAGEIFS(Table1[[Sales Amount]:[Sales Amount]],Table1[[City]:[City]],$O77,Table1[[Product]:[Product]],$P77,Table1[[Salesman]:[Salesman]],Q$6),0)</f>
        <v>31197.62</v>
      </c>
      <c r="R77">
        <f>IFERROR(AVERAGEIFS(Table1[[Sales Amount]:[Sales Amount]],Table1[[City]:[City]],$O77,Table1[[Product]:[Product]],$P77,Table1[[Salesman]:[Salesman]],R$6),0)</f>
        <v>20910.349999999999</v>
      </c>
      <c r="S77">
        <f>IFERROR(AVERAGEIFS(Table1[[Sales Amount]:[Sales Amount]],Table1[[City]:[City]],$O77,Table1[[Product]:[Product]],$P77,Table1[[Salesman]:[Salesman]],S$6),0)</f>
        <v>11084.04</v>
      </c>
      <c r="T77">
        <f>IFERROR(AVERAGEIFS(Table1[[Sales Amount]:[Sales Amount]],Table1[[City]:[City]],$O77,Table1[[Product]:[Product]],$P77,Table1[[Salesman]:[Salesman]],T$6),0)</f>
        <v>47180.299999999996</v>
      </c>
      <c r="U77">
        <f>IFERROR(AVERAGEIFS(Table1[[Sales Amount]:[Sales Amount]],Table1[[City]:[City]],$O77,Table1[[Product]:[Product]],$P77,Table1[[Salesman]:[Salesman]],U$6),0)</f>
        <v>26789.879999999997</v>
      </c>
      <c r="V77">
        <f>IFERROR(AVERAGEIFS(Table1[[Sales Amount]:[Sales Amount]],Table1[[City]:[City]],$O77,Table1[[Product]:[Product]],$P77,Table1[[Salesman]:[Salesman]],V$6),0)</f>
        <v>27769.006666666668</v>
      </c>
      <c r="W77">
        <f>IFERROR(AVERAGEIFS(Table1[[Sales Amount]:[Sales Amount]],Table1[[City]:[City]],$O77,Table1[[Product]:[Product]],$P77,Table1[[Salesman]:[Salesman]],W$6),0)</f>
        <v>13723.273333333333</v>
      </c>
      <c r="X77">
        <f>IFERROR(AVERAGEIFS(Table1[[Sales Amount]:[Sales Amount]],Table1[[City]:[City]],$O77,Table1[[Product]:[Product]],$P77,Table1[[Salesman]:[Salesman]],X$6),0)</f>
        <v>11324.925000000001</v>
      </c>
      <c r="Y77">
        <f>IFERROR(AVERAGEIFS(Table1[[Sales Amount]:[Sales Amount]],Table1[[City]:[City]],$O77,Table1[[Product]:[Product]],$P77,Table1[[Salesman]:[Salesman]],Y$6),0)</f>
        <v>16412.8</v>
      </c>
      <c r="Z77">
        <f>IFERROR(AVERAGEIFS(Table1[[Sales Amount]:[Sales Amount]],Table1[[City]:[City]],$O77,Table1[[Product]:[Product]],$P77,Table1[[Salesman]:[Salesman]],Z$6),0)</f>
        <v>19303.650000000001</v>
      </c>
      <c r="AA77">
        <f>IFERROR(AVERAGEIFS(Table1[[Sales Amount]:[Sales Amount]],Table1[[City]:[City]],$O77,Table1[[Product]:[Product]],$P77,Table1[[Salesman]:[Salesman]],AA$6),0)</f>
        <v>26633.759999999998</v>
      </c>
    </row>
    <row r="78" spans="15:27" x14ac:dyDescent="0.35">
      <c r="O78" s="20" t="s">
        <v>40</v>
      </c>
      <c r="P78" t="s">
        <v>35</v>
      </c>
      <c r="Q78">
        <f>IFERROR(AVERAGEIFS(Table1[[Sales Amount]:[Sales Amount]],Table1[[City]:[City]],$O78,Table1[[Product]:[Product]],$P78,Table1[[Salesman]:[Salesman]],Q$6),0)</f>
        <v>983.24</v>
      </c>
      <c r="R78">
        <f>IFERROR(AVERAGEIFS(Table1[[Sales Amount]:[Sales Amount]],Table1[[City]:[City]],$O78,Table1[[Product]:[Product]],$P78,Table1[[Salesman]:[Salesman]],R$6),0)</f>
        <v>29736.125000000004</v>
      </c>
      <c r="S78">
        <f>IFERROR(AVERAGEIFS(Table1[[Sales Amount]:[Sales Amount]],Table1[[City]:[City]],$O78,Table1[[Product]:[Product]],$P78,Table1[[Salesman]:[Salesman]],S$6),0)</f>
        <v>0</v>
      </c>
      <c r="T78">
        <f>IFERROR(AVERAGEIFS(Table1[[Sales Amount]:[Sales Amount]],Table1[[City]:[City]],$O78,Table1[[Product]:[Product]],$P78,Table1[[Salesman]:[Salesman]],T$6),0)</f>
        <v>33581.120000000003</v>
      </c>
      <c r="U78">
        <f>IFERROR(AVERAGEIFS(Table1[[Sales Amount]:[Sales Amount]],Table1[[City]:[City]],$O78,Table1[[Product]:[Product]],$P78,Table1[[Salesman]:[Salesman]],U$6),0)</f>
        <v>0</v>
      </c>
      <c r="V78">
        <f>IFERROR(AVERAGEIFS(Table1[[Sales Amount]:[Sales Amount]],Table1[[City]:[City]],$O78,Table1[[Product]:[Product]],$P78,Table1[[Salesman]:[Salesman]],V$6),0)</f>
        <v>1210.5</v>
      </c>
      <c r="W78">
        <f>IFERROR(AVERAGEIFS(Table1[[Sales Amount]:[Sales Amount]],Table1[[City]:[City]],$O78,Table1[[Product]:[Product]],$P78,Table1[[Salesman]:[Salesman]],W$6),0)</f>
        <v>27681.107500000002</v>
      </c>
      <c r="X78">
        <f>IFERROR(AVERAGEIFS(Table1[[Sales Amount]:[Sales Amount]],Table1[[City]:[City]],$O78,Table1[[Product]:[Product]],$P78,Table1[[Salesman]:[Salesman]],X$6),0)</f>
        <v>8441.2300000000014</v>
      </c>
      <c r="Y78">
        <f>IFERROR(AVERAGEIFS(Table1[[Sales Amount]:[Sales Amount]],Table1[[City]:[City]],$O78,Table1[[Product]:[Product]],$P78,Table1[[Salesman]:[Salesman]],Y$6),0)</f>
        <v>21784.39333333333</v>
      </c>
      <c r="Z78">
        <f>IFERROR(AVERAGEIFS(Table1[[Sales Amount]:[Sales Amount]],Table1[[City]:[City]],$O78,Table1[[Product]:[Product]],$P78,Table1[[Salesman]:[Salesman]],Z$6),0)</f>
        <v>53000.22</v>
      </c>
      <c r="AA78">
        <f>IFERROR(AVERAGEIFS(Table1[[Sales Amount]:[Sales Amount]],Table1[[City]:[City]],$O78,Table1[[Product]:[Product]],$P78,Table1[[Salesman]:[Salesman]],AA$6),0)</f>
        <v>0</v>
      </c>
    </row>
    <row r="79" spans="15:27" x14ac:dyDescent="0.35">
      <c r="O79" s="20" t="s">
        <v>40</v>
      </c>
      <c r="P79" t="s">
        <v>29</v>
      </c>
      <c r="Q79">
        <f>IFERROR(AVERAGEIFS(Table1[[Sales Amount]:[Sales Amount]],Table1[[City]:[City]],$O79,Table1[[Product]:[Product]],$P79,Table1[[Salesman]:[Salesman]],Q$6),0)</f>
        <v>0</v>
      </c>
      <c r="R79">
        <f>IFERROR(AVERAGEIFS(Table1[[Sales Amount]:[Sales Amount]],Table1[[City]:[City]],$O79,Table1[[Product]:[Product]],$P79,Table1[[Salesman]:[Salesman]],R$6),0)</f>
        <v>15789.649999999998</v>
      </c>
      <c r="S79">
        <f>IFERROR(AVERAGEIFS(Table1[[Sales Amount]:[Sales Amount]],Table1[[City]:[City]],$O79,Table1[[Product]:[Product]],$P79,Table1[[Salesman]:[Salesman]],S$6),0)</f>
        <v>63433.98</v>
      </c>
      <c r="T79">
        <f>IFERROR(AVERAGEIFS(Table1[[Sales Amount]:[Sales Amount]],Table1[[City]:[City]],$O79,Table1[[Product]:[Product]],$P79,Table1[[Salesman]:[Salesman]],T$6),0)</f>
        <v>0</v>
      </c>
      <c r="U79">
        <f>IFERROR(AVERAGEIFS(Table1[[Sales Amount]:[Sales Amount]],Table1[[City]:[City]],$O79,Table1[[Product]:[Product]],$P79,Table1[[Salesman]:[Salesman]],U$6),0)</f>
        <v>73824.160000000003</v>
      </c>
      <c r="V79">
        <f>IFERROR(AVERAGEIFS(Table1[[Sales Amount]:[Sales Amount]],Table1[[City]:[City]],$O79,Table1[[Product]:[Product]],$P79,Table1[[Salesman]:[Salesman]],V$6),0)</f>
        <v>70178.549999999988</v>
      </c>
      <c r="W79">
        <f>IFERROR(AVERAGEIFS(Table1[[Sales Amount]:[Sales Amount]],Table1[[City]:[City]],$O79,Table1[[Product]:[Product]],$P79,Table1[[Salesman]:[Salesman]],W$6),0)</f>
        <v>17576.114999999998</v>
      </c>
      <c r="X79">
        <f>IFERROR(AVERAGEIFS(Table1[[Sales Amount]:[Sales Amount]],Table1[[City]:[City]],$O79,Table1[[Product]:[Product]],$P79,Table1[[Salesman]:[Salesman]],X$6),0)</f>
        <v>18709.945</v>
      </c>
      <c r="Y79">
        <f>IFERROR(AVERAGEIFS(Table1[[Sales Amount]:[Sales Amount]],Table1[[City]:[City]],$O79,Table1[[Product]:[Product]],$P79,Table1[[Salesman]:[Salesman]],Y$6),0)</f>
        <v>0</v>
      </c>
      <c r="Z79">
        <f>IFERROR(AVERAGEIFS(Table1[[Sales Amount]:[Sales Amount]],Table1[[City]:[City]],$O79,Table1[[Product]:[Product]],$P79,Table1[[Salesman]:[Salesman]],Z$6),0)</f>
        <v>1969.0300000000002</v>
      </c>
      <c r="AA79">
        <f>IFERROR(AVERAGEIFS(Table1[[Sales Amount]:[Sales Amount]],Table1[[City]:[City]],$O79,Table1[[Product]:[Product]],$P79,Table1[[Salesman]:[Salesman]],AA$6),0)</f>
        <v>67747.539999999994</v>
      </c>
    </row>
    <row r="80" spans="15:27" x14ac:dyDescent="0.35">
      <c r="O80" s="20" t="s">
        <v>40</v>
      </c>
      <c r="P80" t="s">
        <v>21</v>
      </c>
      <c r="Q80">
        <f>IFERROR(AVERAGEIFS(Table1[[Sales Amount]:[Sales Amount]],Table1[[City]:[City]],$O80,Table1[[Product]:[Product]],$P80,Table1[[Salesman]:[Salesman]],Q$6),0)</f>
        <v>13234.663333333336</v>
      </c>
      <c r="R80">
        <f>IFERROR(AVERAGEIFS(Table1[[Sales Amount]:[Sales Amount]],Table1[[City]:[City]],$O80,Table1[[Product]:[Product]],$P80,Table1[[Salesman]:[Salesman]],R$6),0)</f>
        <v>22155.755000000001</v>
      </c>
      <c r="S80">
        <f>IFERROR(AVERAGEIFS(Table1[[Sales Amount]:[Sales Amount]],Table1[[City]:[City]],$O80,Table1[[Product]:[Product]],$P80,Table1[[Salesman]:[Salesman]],S$6),0)</f>
        <v>17268.8</v>
      </c>
      <c r="T80">
        <f>IFERROR(AVERAGEIFS(Table1[[Sales Amount]:[Sales Amount]],Table1[[City]:[City]],$O80,Table1[[Product]:[Product]],$P80,Table1[[Salesman]:[Salesman]],T$6),0)</f>
        <v>5409.96</v>
      </c>
      <c r="U80">
        <f>IFERROR(AVERAGEIFS(Table1[[Sales Amount]:[Sales Amount]],Table1[[City]:[City]],$O80,Table1[[Product]:[Product]],$P80,Table1[[Salesman]:[Salesman]],U$6),0)</f>
        <v>15231.744999999999</v>
      </c>
      <c r="V80">
        <f>IFERROR(AVERAGEIFS(Table1[[Sales Amount]:[Sales Amount]],Table1[[City]:[City]],$O80,Table1[[Product]:[Product]],$P80,Table1[[Salesman]:[Salesman]],V$6),0)</f>
        <v>0</v>
      </c>
      <c r="W80">
        <f>IFERROR(AVERAGEIFS(Table1[[Sales Amount]:[Sales Amount]],Table1[[City]:[City]],$O80,Table1[[Product]:[Product]],$P80,Table1[[Salesman]:[Salesman]],W$6),0)</f>
        <v>0</v>
      </c>
      <c r="X80">
        <f>IFERROR(AVERAGEIFS(Table1[[Sales Amount]:[Sales Amount]],Table1[[City]:[City]],$O80,Table1[[Product]:[Product]],$P80,Table1[[Salesman]:[Salesman]],X$6),0)</f>
        <v>29264.159999999996</v>
      </c>
      <c r="Y80">
        <f>IFERROR(AVERAGEIFS(Table1[[Sales Amount]:[Sales Amount]],Table1[[City]:[City]],$O80,Table1[[Product]:[Product]],$P80,Table1[[Salesman]:[Salesman]],Y$6),0)</f>
        <v>22019.413333333334</v>
      </c>
      <c r="Z80">
        <f>IFERROR(AVERAGEIFS(Table1[[Sales Amount]:[Sales Amount]],Table1[[City]:[City]],$O80,Table1[[Product]:[Product]],$P80,Table1[[Salesman]:[Salesman]],Z$6),0)</f>
        <v>36346.324999999997</v>
      </c>
      <c r="AA80">
        <f>IFERROR(AVERAGEIFS(Table1[[Sales Amount]:[Sales Amount]],Table1[[City]:[City]],$O80,Table1[[Product]:[Product]],$P80,Table1[[Salesman]:[Salesman]],AA$6),0)</f>
        <v>0</v>
      </c>
    </row>
    <row r="81" spans="15:27" x14ac:dyDescent="0.35">
      <c r="O81" s="67" t="s">
        <v>40</v>
      </c>
      <c r="P81" t="s">
        <v>13</v>
      </c>
      <c r="Q81">
        <f>IFERROR(AVERAGEIFS(Table1[[Sales Amount]:[Sales Amount]],Table1[[City]:[City]],$O81,Table1[[Product]:[Product]],$P81,Table1[[Salesman]:[Salesman]],Q$6),0)</f>
        <v>29484.36</v>
      </c>
      <c r="R81">
        <f>IFERROR(AVERAGEIFS(Table1[[Sales Amount]:[Sales Amount]],Table1[[City]:[City]],$O81,Table1[[Product]:[Product]],$P81,Table1[[Salesman]:[Salesman]],R$6),0)</f>
        <v>9324.4</v>
      </c>
      <c r="S81">
        <f>IFERROR(AVERAGEIFS(Table1[[Sales Amount]:[Sales Amount]],Table1[[City]:[City]],$O81,Table1[[Product]:[Product]],$P81,Table1[[Salesman]:[Salesman]],S$6),0)</f>
        <v>12677.4</v>
      </c>
      <c r="T81">
        <f>IFERROR(AVERAGEIFS(Table1[[Sales Amount]:[Sales Amount]],Table1[[City]:[City]],$O81,Table1[[Product]:[Product]],$P81,Table1[[Salesman]:[Salesman]],T$6),0)</f>
        <v>0</v>
      </c>
      <c r="U81">
        <f>IFERROR(AVERAGEIFS(Table1[[Sales Amount]:[Sales Amount]],Table1[[City]:[City]],$O81,Table1[[Product]:[Product]],$P81,Table1[[Salesman]:[Salesman]],U$6),0)</f>
        <v>26501.879999999997</v>
      </c>
      <c r="V81">
        <f>IFERROR(AVERAGEIFS(Table1[[Sales Amount]:[Sales Amount]],Table1[[City]:[City]],$O81,Table1[[Product]:[Product]],$P81,Table1[[Salesman]:[Salesman]],V$6),0)</f>
        <v>0</v>
      </c>
      <c r="W81">
        <f>IFERROR(AVERAGEIFS(Table1[[Sales Amount]:[Sales Amount]],Table1[[City]:[City]],$O81,Table1[[Product]:[Product]],$P81,Table1[[Salesman]:[Salesman]],W$6),0)</f>
        <v>3291.51</v>
      </c>
      <c r="X81">
        <f>IFERROR(AVERAGEIFS(Table1[[Sales Amount]:[Sales Amount]],Table1[[City]:[City]],$O81,Table1[[Product]:[Product]],$P81,Table1[[Salesman]:[Salesman]],X$6),0)</f>
        <v>0</v>
      </c>
      <c r="Y81">
        <f>IFERROR(AVERAGEIFS(Table1[[Sales Amount]:[Sales Amount]],Table1[[City]:[City]],$O81,Table1[[Product]:[Product]],$P81,Table1[[Salesman]:[Salesman]],Y$6),0)</f>
        <v>6075.1</v>
      </c>
      <c r="Z81">
        <f>IFERROR(AVERAGEIFS(Table1[[Sales Amount]:[Sales Amount]],Table1[[City]:[City]],$O81,Table1[[Product]:[Product]],$P81,Table1[[Salesman]:[Salesman]],Z$6),0)</f>
        <v>6075.1</v>
      </c>
      <c r="AA81">
        <f>IFERROR(AVERAGEIFS(Table1[[Sales Amount]:[Sales Amount]],Table1[[City]:[City]],$O81,Table1[[Product]:[Product]],$P81,Table1[[Salesman]:[Salesman]],AA$6),0)</f>
        <v>18155.050000000003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EEECAE5-858C-4288-823C-A208D5B27DDD}">
  <ds:schemaRefs/>
</ds:datastoreItem>
</file>

<file path=customXml/itemProps2.xml><?xml version="1.0" encoding="utf-8"?>
<ds:datastoreItem xmlns:ds="http://schemas.openxmlformats.org/officeDocument/2006/customXml" ds:itemID="{8216FD42-444B-4CBC-A59A-89A76CFE380A}">
  <ds:schemaRefs/>
</ds:datastoreItem>
</file>

<file path=customXml/itemProps3.xml><?xml version="1.0" encoding="utf-8"?>
<ds:datastoreItem xmlns:ds="http://schemas.openxmlformats.org/officeDocument/2006/customXml" ds:itemID="{46FDA871-E053-45DD-AC78-6555432C24FC}">
  <ds:schemaRefs/>
</ds:datastoreItem>
</file>

<file path=customXml/itemProps4.xml><?xml version="1.0" encoding="utf-8"?>
<ds:datastoreItem xmlns:ds="http://schemas.openxmlformats.org/officeDocument/2006/customXml" ds:itemID="{5701EDB1-DC5F-4467-BD0E-19A930D2546C}">
  <ds:schemaRefs/>
</ds:datastoreItem>
</file>

<file path=customXml/itemProps5.xml><?xml version="1.0" encoding="utf-8"?>
<ds:datastoreItem xmlns:ds="http://schemas.openxmlformats.org/officeDocument/2006/customXml" ds:itemID="{7B9F9E01-6B07-4458-8AC3-2C28AA20C22D}">
  <ds:schemaRefs/>
</ds:datastoreItem>
</file>

<file path=customXml/itemProps6.xml><?xml version="1.0" encoding="utf-8"?>
<ds:datastoreItem xmlns:ds="http://schemas.openxmlformats.org/officeDocument/2006/customXml" ds:itemID="{C75AB4FE-A124-45E8-9A4A-EC9C8D50F0C0}">
  <ds:schemaRefs/>
</ds:datastoreItem>
</file>

<file path=customXml/itemProps7.xml><?xml version="1.0" encoding="utf-8"?>
<ds:datastoreItem xmlns:ds="http://schemas.openxmlformats.org/officeDocument/2006/customXml" ds:itemID="{60009CF1-3AE4-4408-9EA4-142F62EEAC47}">
  <ds:schemaRefs/>
</ds:datastoreItem>
</file>

<file path=customXml/itemProps8.xml><?xml version="1.0" encoding="utf-8"?>
<ds:datastoreItem xmlns:ds="http://schemas.openxmlformats.org/officeDocument/2006/customXml" ds:itemID="{D38B09C8-7470-4B16-853B-A3D2A799E8D0}">
  <ds:schemaRefs/>
</ds:datastoreItem>
</file>

<file path=customXml/itemProps9.xml><?xml version="1.0" encoding="utf-8"?>
<ds:datastoreItem xmlns:ds="http://schemas.openxmlformats.org/officeDocument/2006/customXml" ds:itemID="{260C1676-16F0-4834-AB99-C3F6BD00B683}">
  <ds:schemaRefs/>
</ds:datastoreItem>
</file>

<file path=customXml/itemProps10.xml><?xml version="1.0" encoding="utf-8"?>
<ds:datastoreItem xmlns:ds="http://schemas.openxmlformats.org/officeDocument/2006/customXml" ds:itemID="{5B3B8EC2-C1C5-416C-8DC0-433A3CAD454D}">
  <ds:schemaRefs/>
</ds:datastoreItem>
</file>

<file path=customXml/itemProps11.xml><?xml version="1.0" encoding="utf-8"?>
<ds:datastoreItem xmlns:ds="http://schemas.openxmlformats.org/officeDocument/2006/customXml" ds:itemID="{F80C71CF-97B3-4301-8378-ACDE3F5AAA7C}">
  <ds:schemaRefs/>
</ds:datastoreItem>
</file>

<file path=customXml/itemProps12.xml><?xml version="1.0" encoding="utf-8"?>
<ds:datastoreItem xmlns:ds="http://schemas.openxmlformats.org/officeDocument/2006/customXml" ds:itemID="{6A3987FF-49DF-4E04-A2DE-3839417FCDC5}">
  <ds:schemaRefs/>
</ds:datastoreItem>
</file>

<file path=customXml/itemProps13.xml><?xml version="1.0" encoding="utf-8"?>
<ds:datastoreItem xmlns:ds="http://schemas.openxmlformats.org/officeDocument/2006/customXml" ds:itemID="{726D8CEE-6C6C-4C84-B8BC-25AA64C94D16}">
  <ds:schemaRefs/>
</ds:datastoreItem>
</file>

<file path=customXml/itemProps14.xml><?xml version="1.0" encoding="utf-8"?>
<ds:datastoreItem xmlns:ds="http://schemas.openxmlformats.org/officeDocument/2006/customXml" ds:itemID="{02A55354-1901-406F-B906-A32AF9D1DA2F}">
  <ds:schemaRefs/>
</ds:datastoreItem>
</file>

<file path=customXml/itemProps15.xml><?xml version="1.0" encoding="utf-8"?>
<ds:datastoreItem xmlns:ds="http://schemas.openxmlformats.org/officeDocument/2006/customXml" ds:itemID="{7F3285D2-606A-436C-9CD9-6AC8DA815AC8}">
  <ds:schemaRefs/>
</ds:datastoreItem>
</file>

<file path=customXml/itemProps16.xml><?xml version="1.0" encoding="utf-8"?>
<ds:datastoreItem xmlns:ds="http://schemas.openxmlformats.org/officeDocument/2006/customXml" ds:itemID="{41F36D9A-C396-48C7-966D-5FF7DFA262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Sheet4</vt:lpstr>
      <vt:lpstr>Calculated item</vt:lpstr>
      <vt:lpstr>PIVOT TABLES</vt:lpstr>
      <vt:lpstr>Sheet3</vt:lpstr>
      <vt:lpstr>Sheet2</vt:lpstr>
      <vt:lpstr>Sheet5</vt:lpstr>
      <vt:lpstr>Sheet6</vt:lpstr>
      <vt:lpstr>VIKAS</vt:lpstr>
      <vt:lpstr>Sheet8</vt:lpstr>
      <vt:lpstr>sheets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Dhakad</dc:creator>
  <cp:lastModifiedBy>Vikas Dhakad</cp:lastModifiedBy>
  <cp:lastPrinted>2025-08-30T05:12:06Z</cp:lastPrinted>
  <dcterms:created xsi:type="dcterms:W3CDTF">2025-08-30T04:41:39Z</dcterms:created>
  <dcterms:modified xsi:type="dcterms:W3CDTF">2026-02-14T11:19:38Z</dcterms:modified>
</cp:coreProperties>
</file>